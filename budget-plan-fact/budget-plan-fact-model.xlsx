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ocuments\Projects IA\PROJECT-pay-gap-calculator\budget-plan-fact\"/>
    </mc:Choice>
  </mc:AlternateContent>
  <xr:revisionPtr revIDLastSave="0" documentId="13_ncr:1_{03EA00B2-26DA-4133-9123-3DDA0A1C0948}" xr6:coauthVersionLast="47" xr6:coauthVersionMax="47" xr10:uidLastSave="{00000000-0000-0000-0000-000000000000}"/>
  <bookViews>
    <workbookView xWindow="1116" yWindow="1116" windowWidth="17280" windowHeight="9960" xr2:uid="{00000000-000D-0000-FFFF-FFFF00000000}"/>
  </bookViews>
  <sheets>
    <sheet name="Settings" sheetId="1" r:id="rId1"/>
    <sheet name="Equalisation" sheetId="2" r:id="rId2"/>
    <sheet name="Data" sheetId="3" r:id="rId3"/>
    <sheet name="Monthly" sheetId="4" r:id="rId4"/>
    <sheet name="Departments" sheetId="5" r:id="rId5"/>
    <sheet name="Summary" sheetId="6" r:id="rId6"/>
    <sheet name="Legend" sheetId="7" r:id="rId7"/>
  </sheets>
  <definedNames>
    <definedName name="_xlnm._FilterDatabase" localSheetId="2" hidden="1">Data!$A$4:$J$88</definedName>
    <definedName name="equalisation_month">Settings!$B$8</definedName>
    <definedName name="fact_months">Settings!$B$7</definedName>
  </definedNames>
  <calcPr calcId="181029"/>
</workbook>
</file>

<file path=xl/calcChain.xml><?xml version="1.0" encoding="utf-8"?>
<calcChain xmlns="http://schemas.openxmlformats.org/spreadsheetml/2006/main">
  <c r="G11" i="5" l="1"/>
  <c r="C11" i="5"/>
  <c r="B11" i="5"/>
  <c r="G10" i="5"/>
  <c r="C10" i="5"/>
  <c r="B10" i="5"/>
  <c r="G9" i="5"/>
  <c r="C9" i="5"/>
  <c r="B9" i="5"/>
  <c r="G8" i="5"/>
  <c r="C8" i="5"/>
  <c r="B8" i="5"/>
  <c r="G7" i="5"/>
  <c r="C7" i="5"/>
  <c r="B7" i="5"/>
  <c r="G6" i="5"/>
  <c r="C6" i="5"/>
  <c r="B6" i="5"/>
  <c r="G5" i="5"/>
  <c r="G12" i="5" s="1"/>
  <c r="C5" i="5"/>
  <c r="B5" i="5"/>
  <c r="B12" i="5" s="1"/>
  <c r="C17" i="4"/>
  <c r="C16" i="4"/>
  <c r="C15" i="4"/>
  <c r="C14" i="4"/>
  <c r="C13" i="4"/>
  <c r="C12" i="4"/>
  <c r="C11" i="4"/>
  <c r="C10" i="4"/>
  <c r="C9" i="4"/>
  <c r="C8" i="4"/>
  <c r="C7" i="4"/>
  <c r="C6" i="4"/>
  <c r="G84" i="3"/>
  <c r="H84" i="3" s="1"/>
  <c r="I84" i="3" s="1"/>
  <c r="F84" i="3"/>
  <c r="G83" i="3"/>
  <c r="H83" i="3" s="1"/>
  <c r="I83" i="3" s="1"/>
  <c r="F83" i="3"/>
  <c r="G82" i="3"/>
  <c r="H82" i="3" s="1"/>
  <c r="I82" i="3" s="1"/>
  <c r="F82" i="3"/>
  <c r="G81" i="3"/>
  <c r="H81" i="3" s="1"/>
  <c r="I81" i="3" s="1"/>
  <c r="F81" i="3"/>
  <c r="G80" i="3"/>
  <c r="H80" i="3" s="1"/>
  <c r="I80" i="3" s="1"/>
  <c r="F80" i="3"/>
  <c r="G79" i="3"/>
  <c r="H79" i="3" s="1"/>
  <c r="I79" i="3" s="1"/>
  <c r="F79" i="3"/>
  <c r="G78" i="3"/>
  <c r="H78" i="3" s="1"/>
  <c r="I78" i="3" s="1"/>
  <c r="F78" i="3"/>
  <c r="G77" i="3"/>
  <c r="H77" i="3" s="1"/>
  <c r="F77" i="3"/>
  <c r="G72" i="3"/>
  <c r="H72" i="3" s="1"/>
  <c r="I72" i="3" s="1"/>
  <c r="F72" i="3"/>
  <c r="G71" i="3"/>
  <c r="H71" i="3" s="1"/>
  <c r="I71" i="3" s="1"/>
  <c r="F71" i="3"/>
  <c r="G70" i="3"/>
  <c r="H70" i="3" s="1"/>
  <c r="I70" i="3" s="1"/>
  <c r="F70" i="3"/>
  <c r="G69" i="3"/>
  <c r="H69" i="3" s="1"/>
  <c r="I69" i="3" s="1"/>
  <c r="F69" i="3"/>
  <c r="G68" i="3"/>
  <c r="H68" i="3" s="1"/>
  <c r="I68" i="3" s="1"/>
  <c r="F68" i="3"/>
  <c r="G67" i="3"/>
  <c r="H67" i="3" s="1"/>
  <c r="I67" i="3" s="1"/>
  <c r="F67" i="3"/>
  <c r="G66" i="3"/>
  <c r="H66" i="3" s="1"/>
  <c r="I66" i="3" s="1"/>
  <c r="F66" i="3"/>
  <c r="G65" i="3"/>
  <c r="F65" i="3"/>
  <c r="G60" i="3"/>
  <c r="H60" i="3" s="1"/>
  <c r="I60" i="3" s="1"/>
  <c r="F60" i="3"/>
  <c r="G59" i="3"/>
  <c r="H59" i="3" s="1"/>
  <c r="I59" i="3" s="1"/>
  <c r="F59" i="3"/>
  <c r="G58" i="3"/>
  <c r="H58" i="3" s="1"/>
  <c r="I58" i="3" s="1"/>
  <c r="F58" i="3"/>
  <c r="G57" i="3"/>
  <c r="H57" i="3" s="1"/>
  <c r="I57" i="3" s="1"/>
  <c r="F57" i="3"/>
  <c r="G56" i="3"/>
  <c r="H56" i="3" s="1"/>
  <c r="I56" i="3" s="1"/>
  <c r="F56" i="3"/>
  <c r="G55" i="3"/>
  <c r="H55" i="3" s="1"/>
  <c r="I55" i="3" s="1"/>
  <c r="F55" i="3"/>
  <c r="G54" i="3"/>
  <c r="H54" i="3" s="1"/>
  <c r="I54" i="3" s="1"/>
  <c r="F54" i="3"/>
  <c r="G53" i="3"/>
  <c r="H53" i="3" s="1"/>
  <c r="F53" i="3"/>
  <c r="G48" i="3"/>
  <c r="H48" i="3" s="1"/>
  <c r="I48" i="3" s="1"/>
  <c r="F48" i="3"/>
  <c r="G47" i="3"/>
  <c r="H47" i="3" s="1"/>
  <c r="I47" i="3" s="1"/>
  <c r="F47" i="3"/>
  <c r="G46" i="3"/>
  <c r="H46" i="3" s="1"/>
  <c r="I46" i="3" s="1"/>
  <c r="F46" i="3"/>
  <c r="G45" i="3"/>
  <c r="H45" i="3" s="1"/>
  <c r="I45" i="3" s="1"/>
  <c r="F45" i="3"/>
  <c r="G44" i="3"/>
  <c r="H44" i="3" s="1"/>
  <c r="I44" i="3" s="1"/>
  <c r="F44" i="3"/>
  <c r="G43" i="3"/>
  <c r="H43" i="3" s="1"/>
  <c r="I43" i="3" s="1"/>
  <c r="F43" i="3"/>
  <c r="G42" i="3"/>
  <c r="H42" i="3" s="1"/>
  <c r="I42" i="3" s="1"/>
  <c r="F42" i="3"/>
  <c r="G41" i="3"/>
  <c r="H41" i="3" s="1"/>
  <c r="F41" i="3"/>
  <c r="G36" i="3"/>
  <c r="H36" i="3" s="1"/>
  <c r="I36" i="3" s="1"/>
  <c r="F36" i="3"/>
  <c r="G35" i="3"/>
  <c r="H35" i="3" s="1"/>
  <c r="I35" i="3" s="1"/>
  <c r="F35" i="3"/>
  <c r="G34" i="3"/>
  <c r="H34" i="3" s="1"/>
  <c r="I34" i="3" s="1"/>
  <c r="F34" i="3"/>
  <c r="G33" i="3"/>
  <c r="H33" i="3" s="1"/>
  <c r="I33" i="3" s="1"/>
  <c r="F33" i="3"/>
  <c r="G32" i="3"/>
  <c r="H32" i="3" s="1"/>
  <c r="I32" i="3" s="1"/>
  <c r="F32" i="3"/>
  <c r="G31" i="3"/>
  <c r="H31" i="3" s="1"/>
  <c r="I31" i="3" s="1"/>
  <c r="F31" i="3"/>
  <c r="G30" i="3"/>
  <c r="H30" i="3" s="1"/>
  <c r="I30" i="3" s="1"/>
  <c r="F30" i="3"/>
  <c r="G29" i="3"/>
  <c r="H29" i="3" s="1"/>
  <c r="F29" i="3"/>
  <c r="G24" i="3"/>
  <c r="H24" i="3" s="1"/>
  <c r="I24" i="3" s="1"/>
  <c r="F24" i="3"/>
  <c r="G23" i="3"/>
  <c r="H23" i="3" s="1"/>
  <c r="I23" i="3" s="1"/>
  <c r="F23" i="3"/>
  <c r="G22" i="3"/>
  <c r="H22" i="3" s="1"/>
  <c r="I22" i="3" s="1"/>
  <c r="F22" i="3"/>
  <c r="G21" i="3"/>
  <c r="H21" i="3" s="1"/>
  <c r="I21" i="3" s="1"/>
  <c r="F21" i="3"/>
  <c r="G20" i="3"/>
  <c r="F20" i="3"/>
  <c r="G19" i="3"/>
  <c r="H19" i="3" s="1"/>
  <c r="I19" i="3" s="1"/>
  <c r="F19" i="3"/>
  <c r="G18" i="3"/>
  <c r="H18" i="3" s="1"/>
  <c r="I18" i="3" s="1"/>
  <c r="F18" i="3"/>
  <c r="G17" i="3"/>
  <c r="F17" i="3"/>
  <c r="F16" i="3"/>
  <c r="G16" i="3" s="1"/>
  <c r="F15" i="3"/>
  <c r="G15" i="3" s="1"/>
  <c r="F14" i="3"/>
  <c r="G14" i="3" s="1"/>
  <c r="G12" i="3"/>
  <c r="F12" i="3"/>
  <c r="G11" i="3"/>
  <c r="H11" i="3" s="1"/>
  <c r="I11" i="3" s="1"/>
  <c r="F11" i="3"/>
  <c r="G10" i="3"/>
  <c r="D11" i="4" s="1"/>
  <c r="E11" i="4" s="1"/>
  <c r="F11" i="4" s="1"/>
  <c r="F10" i="3"/>
  <c r="G9" i="3"/>
  <c r="H9" i="3" s="1"/>
  <c r="I9" i="3" s="1"/>
  <c r="F9" i="3"/>
  <c r="G8" i="3"/>
  <c r="H8" i="3" s="1"/>
  <c r="I8" i="3" s="1"/>
  <c r="F8" i="3"/>
  <c r="G7" i="3"/>
  <c r="F7" i="3"/>
  <c r="G6" i="3"/>
  <c r="F6" i="3"/>
  <c r="G5" i="3"/>
  <c r="F5" i="3"/>
  <c r="D15" i="2"/>
  <c r="C15" i="2"/>
  <c r="B15" i="2"/>
  <c r="E14" i="2"/>
  <c r="F14" i="2" s="1"/>
  <c r="F87" i="3" s="1"/>
  <c r="G87" i="3" s="1"/>
  <c r="H87" i="3" s="1"/>
  <c r="I87" i="3" s="1"/>
  <c r="E13" i="2"/>
  <c r="F13" i="2" s="1"/>
  <c r="E12" i="2"/>
  <c r="F12" i="2" s="1"/>
  <c r="E11" i="2"/>
  <c r="F11" i="2" s="1"/>
  <c r="E10" i="2"/>
  <c r="F10" i="2" s="1"/>
  <c r="E9" i="2"/>
  <c r="E8" i="2"/>
  <c r="F8" i="2" s="1"/>
  <c r="I53" i="3" l="1"/>
  <c r="J53" i="3"/>
  <c r="J54" i="3" s="1"/>
  <c r="J55" i="3" s="1"/>
  <c r="J56" i="3" s="1"/>
  <c r="J57" i="3" s="1"/>
  <c r="J58" i="3" s="1"/>
  <c r="J59" i="3" s="1"/>
  <c r="J60" i="3" s="1"/>
  <c r="F49" i="3"/>
  <c r="F52" i="3"/>
  <c r="G52" i="3" s="1"/>
  <c r="H52" i="3" s="1"/>
  <c r="I52" i="3" s="1"/>
  <c r="F51" i="3"/>
  <c r="G51" i="3" s="1"/>
  <c r="H51" i="3" s="1"/>
  <c r="I51" i="3" s="1"/>
  <c r="F50" i="3"/>
  <c r="G50" i="3" s="1"/>
  <c r="H50" i="3" s="1"/>
  <c r="I50" i="3" s="1"/>
  <c r="D6" i="5"/>
  <c r="E6" i="5" s="1"/>
  <c r="D8" i="5"/>
  <c r="E8" i="5" s="1"/>
  <c r="D7" i="4"/>
  <c r="E7" i="4" s="1"/>
  <c r="F7" i="4" s="1"/>
  <c r="D8" i="4"/>
  <c r="E8" i="4" s="1"/>
  <c r="F8" i="4" s="1"/>
  <c r="D12" i="4"/>
  <c r="D9" i="4"/>
  <c r="E9" i="4" s="1"/>
  <c r="F9" i="4" s="1"/>
  <c r="D11" i="5"/>
  <c r="E11" i="5" s="1"/>
  <c r="H10" i="3"/>
  <c r="I10" i="3" s="1"/>
  <c r="D7" i="5"/>
  <c r="E7" i="5" s="1"/>
  <c r="D6" i="4"/>
  <c r="E6" i="4" s="1"/>
  <c r="D9" i="5"/>
  <c r="E9" i="5" s="1"/>
  <c r="D10" i="5"/>
  <c r="E10" i="5" s="1"/>
  <c r="F8" i="5"/>
  <c r="G49" i="3"/>
  <c r="H49" i="3" s="1"/>
  <c r="I49" i="3" s="1"/>
  <c r="J41" i="3"/>
  <c r="J42" i="3" s="1"/>
  <c r="J43" i="3" s="1"/>
  <c r="J44" i="3" s="1"/>
  <c r="J45" i="3" s="1"/>
  <c r="J46" i="3" s="1"/>
  <c r="J47" i="3" s="1"/>
  <c r="J48" i="3" s="1"/>
  <c r="I41" i="3"/>
  <c r="F61" i="3"/>
  <c r="F63" i="3"/>
  <c r="G63" i="3" s="1"/>
  <c r="H63" i="3" s="1"/>
  <c r="I63" i="3" s="1"/>
  <c r="F62" i="3"/>
  <c r="G62" i="3" s="1"/>
  <c r="H62" i="3" s="1"/>
  <c r="I62" i="3" s="1"/>
  <c r="F64" i="3"/>
  <c r="G64" i="3" s="1"/>
  <c r="H64" i="3" s="1"/>
  <c r="I64" i="3" s="1"/>
  <c r="F76" i="3"/>
  <c r="G76" i="3" s="1"/>
  <c r="H76" i="3" s="1"/>
  <c r="I76" i="3" s="1"/>
  <c r="F75" i="3"/>
  <c r="G75" i="3" s="1"/>
  <c r="H75" i="3" s="1"/>
  <c r="I75" i="3" s="1"/>
  <c r="F74" i="3"/>
  <c r="G74" i="3" s="1"/>
  <c r="H74" i="3" s="1"/>
  <c r="I74" i="3" s="1"/>
  <c r="F73" i="3"/>
  <c r="J29" i="3"/>
  <c r="J30" i="3" s="1"/>
  <c r="J31" i="3" s="1"/>
  <c r="J32" i="3" s="1"/>
  <c r="J33" i="3" s="1"/>
  <c r="J34" i="3" s="1"/>
  <c r="J35" i="3" s="1"/>
  <c r="J36" i="3" s="1"/>
  <c r="I29" i="3"/>
  <c r="H14" i="3"/>
  <c r="I14" i="3" s="1"/>
  <c r="H15" i="3"/>
  <c r="I15" i="3" s="1"/>
  <c r="J77" i="3"/>
  <c r="J78" i="3" s="1"/>
  <c r="J79" i="3" s="1"/>
  <c r="J80" i="3" s="1"/>
  <c r="J81" i="3" s="1"/>
  <c r="J82" i="3" s="1"/>
  <c r="J83" i="3" s="1"/>
  <c r="J84" i="3" s="1"/>
  <c r="I77" i="3"/>
  <c r="F39" i="3"/>
  <c r="G39" i="3" s="1"/>
  <c r="H39" i="3" s="1"/>
  <c r="I39" i="3" s="1"/>
  <c r="F40" i="3"/>
  <c r="G40" i="3" s="1"/>
  <c r="H40" i="3" s="1"/>
  <c r="I40" i="3" s="1"/>
  <c r="F37" i="3"/>
  <c r="F38" i="3"/>
  <c r="G38" i="3" s="1"/>
  <c r="H38" i="3" s="1"/>
  <c r="I38" i="3" s="1"/>
  <c r="H16" i="3"/>
  <c r="I16" i="3" s="1"/>
  <c r="B5" i="6"/>
  <c r="H8" i="5"/>
  <c r="I8" i="5" s="1"/>
  <c r="J8" i="5" s="1"/>
  <c r="F13" i="3"/>
  <c r="H6" i="3"/>
  <c r="I6" i="3" s="1"/>
  <c r="E15" i="2"/>
  <c r="B11" i="6" s="1"/>
  <c r="H65" i="3"/>
  <c r="F9" i="2"/>
  <c r="H7" i="3"/>
  <c r="I7" i="3" s="1"/>
  <c r="D13" i="4"/>
  <c r="E13" i="4" s="1"/>
  <c r="F13" i="4" s="1"/>
  <c r="H12" i="3"/>
  <c r="I12" i="3" s="1"/>
  <c r="F85" i="3"/>
  <c r="F88" i="3"/>
  <c r="G88" i="3" s="1"/>
  <c r="H88" i="3" s="1"/>
  <c r="I88" i="3" s="1"/>
  <c r="D10" i="4"/>
  <c r="E10" i="4" s="1"/>
  <c r="F10" i="4" s="1"/>
  <c r="H20" i="3"/>
  <c r="I20" i="3" s="1"/>
  <c r="E12" i="4"/>
  <c r="F12" i="4" s="1"/>
  <c r="H5" i="3"/>
  <c r="F86" i="3"/>
  <c r="G86" i="3" s="1"/>
  <c r="H86" i="3" s="1"/>
  <c r="I86" i="3" s="1"/>
  <c r="D5" i="5"/>
  <c r="C12" i="5"/>
  <c r="H17" i="3"/>
  <c r="C18" i="4"/>
  <c r="B15" i="6" s="1"/>
  <c r="F26" i="3" l="1"/>
  <c r="G26" i="3" s="1"/>
  <c r="F25" i="3"/>
  <c r="F27" i="3"/>
  <c r="G27" i="3" s="1"/>
  <c r="F28" i="3"/>
  <c r="G28" i="3" s="1"/>
  <c r="G6" i="4"/>
  <c r="F6" i="4"/>
  <c r="J17" i="3"/>
  <c r="J18" i="3" s="1"/>
  <c r="J19" i="3" s="1"/>
  <c r="J20" i="3" s="1"/>
  <c r="J21" i="3" s="1"/>
  <c r="J22" i="3" s="1"/>
  <c r="J23" i="3" s="1"/>
  <c r="J24" i="3" s="1"/>
  <c r="I17" i="3"/>
  <c r="F10" i="5"/>
  <c r="G73" i="3"/>
  <c r="B12" i="6"/>
  <c r="F5" i="5"/>
  <c r="G13" i="3"/>
  <c r="J5" i="3"/>
  <c r="J6" i="3" s="1"/>
  <c r="J7" i="3" s="1"/>
  <c r="J8" i="3" s="1"/>
  <c r="J9" i="3" s="1"/>
  <c r="J10" i="3" s="1"/>
  <c r="J11" i="3" s="1"/>
  <c r="J12" i="3" s="1"/>
  <c r="I5" i="3"/>
  <c r="G61" i="3"/>
  <c r="F9" i="5"/>
  <c r="J65" i="3"/>
  <c r="J66" i="3" s="1"/>
  <c r="J67" i="3" s="1"/>
  <c r="J68" i="3" s="1"/>
  <c r="J69" i="3" s="1"/>
  <c r="J70" i="3" s="1"/>
  <c r="J71" i="3" s="1"/>
  <c r="J72" i="3" s="1"/>
  <c r="I65" i="3"/>
  <c r="B6" i="6"/>
  <c r="B7" i="6" s="1"/>
  <c r="B8" i="6" s="1"/>
  <c r="E5" i="5"/>
  <c r="D12" i="5"/>
  <c r="E12" i="5" s="1"/>
  <c r="F15" i="2"/>
  <c r="J49" i="3"/>
  <c r="J50" i="3" s="1"/>
  <c r="J51" i="3" s="1"/>
  <c r="J52" i="3" s="1"/>
  <c r="F11" i="5"/>
  <c r="G85" i="3"/>
  <c r="F7" i="5"/>
  <c r="G37" i="3"/>
  <c r="H61" i="3" l="1"/>
  <c r="H9" i="5"/>
  <c r="I9" i="5" s="1"/>
  <c r="J9" i="5" s="1"/>
  <c r="H13" i="3"/>
  <c r="I13" i="3" s="1"/>
  <c r="H5" i="5"/>
  <c r="H73" i="3"/>
  <c r="I73" i="3" s="1"/>
  <c r="H10" i="5"/>
  <c r="I10" i="5" s="1"/>
  <c r="J10" i="5" s="1"/>
  <c r="H85" i="3"/>
  <c r="H11" i="5"/>
  <c r="I11" i="5" s="1"/>
  <c r="J11" i="5" s="1"/>
  <c r="B20" i="6"/>
  <c r="G7" i="4"/>
  <c r="G8" i="4" s="1"/>
  <c r="G9" i="4" s="1"/>
  <c r="G10" i="4" s="1"/>
  <c r="G11" i="4" s="1"/>
  <c r="G12" i="4" s="1"/>
  <c r="G13" i="4" s="1"/>
  <c r="H28" i="3"/>
  <c r="I28" i="3" s="1"/>
  <c r="D17" i="4"/>
  <c r="E17" i="4" s="1"/>
  <c r="F17" i="4" s="1"/>
  <c r="J73" i="3"/>
  <c r="J74" i="3" s="1"/>
  <c r="J75" i="3" s="1"/>
  <c r="J76" i="3" s="1"/>
  <c r="H37" i="3"/>
  <c r="H7" i="5"/>
  <c r="I7" i="5" s="1"/>
  <c r="J7" i="5" s="1"/>
  <c r="F6" i="5"/>
  <c r="F12" i="5" s="1"/>
  <c r="G25" i="3"/>
  <c r="J13" i="3"/>
  <c r="J14" i="3" s="1"/>
  <c r="J15" i="3" s="1"/>
  <c r="J16" i="3" s="1"/>
  <c r="H27" i="3"/>
  <c r="I27" i="3" s="1"/>
  <c r="D16" i="4"/>
  <c r="E16" i="4" s="1"/>
  <c r="F16" i="4" s="1"/>
  <c r="H26" i="3"/>
  <c r="I26" i="3" s="1"/>
  <c r="D15" i="4"/>
  <c r="E15" i="4" s="1"/>
  <c r="F15" i="4" s="1"/>
  <c r="H25" i="3" l="1"/>
  <c r="H6" i="5"/>
  <c r="I6" i="5" s="1"/>
  <c r="J6" i="5" s="1"/>
  <c r="I85" i="3"/>
  <c r="J85" i="3"/>
  <c r="J86" i="3" s="1"/>
  <c r="J87" i="3" s="1"/>
  <c r="J88" i="3" s="1"/>
  <c r="I61" i="3"/>
  <c r="J61" i="3"/>
  <c r="J62" i="3" s="1"/>
  <c r="J63" i="3" s="1"/>
  <c r="J64" i="3" s="1"/>
  <c r="I37" i="3"/>
  <c r="J37" i="3"/>
  <c r="J38" i="3" s="1"/>
  <c r="J39" i="3" s="1"/>
  <c r="J40" i="3" s="1"/>
  <c r="I5" i="5"/>
  <c r="H12" i="5"/>
  <c r="D14" i="4"/>
  <c r="E14" i="4" l="1"/>
  <c r="D18" i="4"/>
  <c r="B16" i="6" s="1"/>
  <c r="B17" i="6" s="1"/>
  <c r="B18" i="6" s="1"/>
  <c r="J5" i="5"/>
  <c r="I12" i="5"/>
  <c r="J12" i="5" s="1"/>
  <c r="I25" i="3"/>
  <c r="J25" i="3"/>
  <c r="J26" i="3" s="1"/>
  <c r="J27" i="3" s="1"/>
  <c r="J28" i="3" s="1"/>
  <c r="F14" i="4" l="1"/>
  <c r="E18" i="4"/>
  <c r="F18" i="4" s="1"/>
  <c r="G14" i="4"/>
  <c r="G15" i="4" s="1"/>
  <c r="G16" i="4" s="1"/>
  <c r="G17"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Comp Budget Lab</author>
  </authors>
  <commentList>
    <comment ref="D4" authorId="0" shapeId="0" xr:uid="{00000000-0006-0000-0200-000001000000}">
      <text>
        <r>
          <rPr>
            <sz val="11"/>
            <color theme="1"/>
            <rFont val="Calibri"/>
            <family val="2"/>
            <scheme val="minor"/>
          </rPr>
          <t>Annual payroll including employer contributions, spread over months with holiday-reserve seasonality. Higher at the start and end of the year, lower over the summer.</t>
        </r>
      </text>
    </comment>
    <comment ref="E4" authorId="0" shapeId="0" xr:uid="{00000000-0006-0000-0200-000002000000}">
      <text>
        <r>
          <rPr>
            <sz val="11"/>
            <color theme="1"/>
            <rFont val="Calibri"/>
            <family val="2"/>
            <scheme val="minor"/>
          </rPr>
          <t>Actuals, months 1..fact_months. Empty afterwards.</t>
        </r>
      </text>
    </comment>
    <comment ref="F4" authorId="0" shapeId="0" xr:uid="{00000000-0006-0000-0200-000003000000}">
      <text>
        <r>
          <rPr>
            <sz val="11"/>
            <color theme="1"/>
            <rFont val="Calibri"/>
            <family val="2"/>
            <scheme val="minor"/>
          </rPr>
          <t>Forecast for the remaining months. It carries the department's own deviation forward and adds the monthly equalisation uplift once the equalisation month is reached. A department that overspent for eight months keeps overspending: the uplift sits on top of that, it does not replace it.</t>
        </r>
      </text>
    </comment>
    <comment ref="G4" authorId="0" shapeId="0" xr:uid="{00000000-0006-0000-0200-000004000000}">
      <text>
        <r>
          <rPr>
            <sz val="11"/>
            <color theme="1"/>
            <rFont val="Calibri"/>
            <family val="2"/>
            <scheme val="minor"/>
          </rPr>
          <t>Whichever of the two is known for this month: actual if there is one, otherwise forecast.</t>
        </r>
      </text>
    </comment>
    <comment ref="J4" authorId="0" shapeId="0" xr:uid="{00000000-0006-0000-0200-000005000000}">
      <text>
        <r>
          <rPr>
            <sz val="11"/>
            <color theme="1"/>
            <rFont val="Calibri"/>
            <family val="2"/>
            <scheme val="minor"/>
          </rPr>
          <t>Running total of deviation within the department, from January. It shows whether a department's monthly gaps accumulate or cancel out over the year.</t>
        </r>
      </text>
    </comment>
  </commentList>
</comments>
</file>

<file path=xl/sharedStrings.xml><?xml version="1.0" encoding="utf-8"?>
<sst xmlns="http://schemas.openxmlformats.org/spreadsheetml/2006/main" count="316" uniqueCount="130">
  <si>
    <t>Model settings</t>
  </si>
  <si>
    <t>Payroll budget plan vs actual. Synthetic data, illustration of method. Comp Budget Lab.</t>
  </si>
  <si>
    <t>Only the green cells are meant to be edited. Everything else recalculates.</t>
  </si>
  <si>
    <t>Name</t>
  </si>
  <si>
    <t>Value</t>
  </si>
  <si>
    <t>What it is</t>
  </si>
  <si>
    <t>Notes</t>
  </si>
  <si>
    <t>fact_months</t>
  </si>
  <si>
    <t>Months of actuals</t>
  </si>
  <si>
    <t>Months are numbered from 1 for January, so 8 means actuals run to August. Later months are forecast.</t>
  </si>
  <si>
    <t>equalisation_month</t>
  </si>
  <si>
    <t>Equalisation starts in month</t>
  </si>
  <si>
    <t>Months are numbered from 1 for January, so 9 means September. From that month onwards the forecast carries the cost of closing the pay gap.</t>
  </si>
  <si>
    <t>Scenario</t>
  </si>
  <si>
    <t>Full equalisation: every unexplained residual brought to zero. The budget was approved before that decision was taken, so it contains no money for it. From the equalisation month onwards the forecast therefore runs above plan.</t>
  </si>
  <si>
    <t>Cost of closing the pay gap, by department</t>
  </si>
  <si>
    <t>What it costs to raise pay for the people who are underpaid for reasons that grade and tenure do not explain. Each figure is the annual cost of those raises plus the employer contributions due on them. The monthly uplift is that annual cost divided by twelve.</t>
  </si>
  <si>
    <t>The figures come from a separate calculator that measures the gap and prices the two ways of closing it: bringing every category to a 5% threshold, or bringing every unexplained difference to zero. This workbook takes its output and asks a different question: what that decision does to a budget already approved. Calculator and method: https://olgadimitrovagit.github.io/comp-budget-lab/</t>
  </si>
  <si>
    <t>Department</t>
  </si>
  <si>
    <t>Recipients</t>
  </si>
  <si>
    <t>Adjustment, EUR</t>
  </si>
  <si>
    <t>Contributions, EUR</t>
  </si>
  <si>
    <t>Annual cost, EUR</t>
  </si>
  <si>
    <t>Monthly uplift, EUR</t>
  </si>
  <si>
    <t>Run-rate deviation, %</t>
  </si>
  <si>
    <t>Engineering</t>
  </si>
  <si>
    <t>Sales</t>
  </si>
  <si>
    <t>Operations</t>
  </si>
  <si>
    <t>Manufacturing</t>
  </si>
  <si>
    <t>Marketing</t>
  </si>
  <si>
    <t>Customer Support</t>
  </si>
  <si>
    <t>Legal</t>
  </si>
  <si>
    <t>TOTAL</t>
  </si>
  <si>
    <t>Plan vs actual by department and month</t>
  </si>
  <si>
    <t>Yellow: from the CSV. Blue: calculated here. Deviation is actual (or forecast) minus plan: positive means overspend.</t>
  </si>
  <si>
    <t>Month</t>
  </si>
  <si>
    <t>#</t>
  </si>
  <si>
    <t>Plan, EUR</t>
  </si>
  <si>
    <t>Actual, EUR</t>
  </si>
  <si>
    <t>Forecast, EUR</t>
  </si>
  <si>
    <t>Expected, EUR</t>
  </si>
  <si>
    <t>Deviation, EUR</t>
  </si>
  <si>
    <t>Deviation, %</t>
  </si>
  <si>
    <t>Cumulative, EUR</t>
  </si>
  <si>
    <t>Jan</t>
  </si>
  <si>
    <t>Feb</t>
  </si>
  <si>
    <t>Mar</t>
  </si>
  <si>
    <t>Apr</t>
  </si>
  <si>
    <t>May</t>
  </si>
  <si>
    <t>Jun</t>
  </si>
  <si>
    <t>Jul</t>
  </si>
  <si>
    <t>Aug</t>
  </si>
  <si>
    <t>Sep</t>
  </si>
  <si>
    <t>Oct</t>
  </si>
  <si>
    <t>Nov</t>
  </si>
  <si>
    <t>Dec</t>
  </si>
  <si>
    <t>Company total by month</t>
  </si>
  <si>
    <t>Two different quantities, and the dashboard must keep them apart: the monthly deviation says how far this month ran from plan, while the cumulative one carries every month before it. On this dataset both are positive from January, and the monthly figure roughly doubles once equalisation starts.</t>
  </si>
  <si>
    <t>YEAR</t>
  </si>
  <si>
    <t>By department: eight months of actuals against the year</t>
  </si>
  <si>
    <t>Sign of the deviation is stable within a department: it either underspends all year or overspends all year. On this dataset six of seven overspend; Engineering is the one that does not.</t>
  </si>
  <si>
    <t>Plan 8M, EUR</t>
  </si>
  <si>
    <t>Actual 8M, EUR</t>
  </si>
  <si>
    <t>Deviation 8M, EUR</t>
  </si>
  <si>
    <t>Deviation 8M, %</t>
  </si>
  <si>
    <t>Equalisation, EUR</t>
  </si>
  <si>
    <t>Year plan, EUR</t>
  </si>
  <si>
    <t>Year expected, EUR</t>
  </si>
  <si>
    <t>Year deviation, EUR</t>
  </si>
  <si>
    <t>Year, %</t>
  </si>
  <si>
    <t>Summary</t>
  </si>
  <si>
    <t>cells_for_check</t>
  </si>
  <si>
    <t>Every figure here is a formula. Change an actual on the Data sheet and watch this recalculate.</t>
  </si>
  <si>
    <t>plan8</t>
  </si>
  <si>
    <t>B5</t>
  </si>
  <si>
    <t>fact8</t>
  </si>
  <si>
    <t>B6</t>
  </si>
  <si>
    <t>Eight months of actuals</t>
  </si>
  <si>
    <t>yplan</t>
  </si>
  <si>
    <t>B15</t>
  </si>
  <si>
    <t>Plan, Jan-Aug</t>
  </si>
  <si>
    <t>yexp</t>
  </si>
  <si>
    <t>B16</t>
  </si>
  <si>
    <t>Actual, Jan-Aug</t>
  </si>
  <si>
    <t>ydelta</t>
  </si>
  <si>
    <t>B17</t>
  </si>
  <si>
    <t>Accumulated deviation</t>
  </si>
  <si>
    <t>cross</t>
  </si>
  <si>
    <t>B20</t>
  </si>
  <si>
    <t>As % of plan</t>
  </si>
  <si>
    <t>Cost of closing the gap</t>
  </si>
  <si>
    <t>Annual cost of equalisation</t>
  </si>
  <si>
    <t>Charged this year (from month 9)</t>
  </si>
  <si>
    <t>Full year</t>
  </si>
  <si>
    <t>Plan</t>
  </si>
  <si>
    <t>Expected (actual + forecast)</t>
  </si>
  <si>
    <t>Deviation</t>
  </si>
  <si>
    <t>First month the cumulative is above plan</t>
  </si>
  <si>
    <t>Deviation is expected minus plan throughout. A positive figure means the company spent more than planned, a negative one less. On this dataset the deviation is positive from January and the cumulative never returns to plan.</t>
  </si>
  <si>
    <t>Legend and method</t>
  </si>
  <si>
    <t>Colours</t>
  </si>
  <si>
    <t>Yellow</t>
  </si>
  <si>
    <t>Source data. Comes from the CSV, never calculated.</t>
  </si>
  <si>
    <t>Blue</t>
  </si>
  <si>
    <t>Calculated by formula. These cells recalculate themselves.</t>
  </si>
  <si>
    <t>Green</t>
  </si>
  <si>
    <t>A setting on the Settings sheet. These are meant to be changed.</t>
  </si>
  <si>
    <t>Order of calculation</t>
  </si>
  <si>
    <t>1. Plan</t>
  </si>
  <si>
    <t>Annual payroll including employer contributions, spread over twelve months with holiday-reserve seasonality: higher at the start and end of the year, lower over the summer, when headcount is thin and accrued leave is taken. The seasonal coefficients sum to twelve, so seasonality moves money inside the year without changing the annual total.</t>
  </si>
  <si>
    <t>2. Actual</t>
  </si>
  <si>
    <t>Months 1..fact_months. Each department's deviation keeps a stable sign: it either underspends all year or overspends all year. One department is deliberately well outside the others' range: budgets rarely break evenly, they break in one place.</t>
  </si>
  <si>
    <t>3. Forecast</t>
  </si>
  <si>
    <t>For the remaining months, the department's own deviation carries forward and the monthly equalisation uplift is added on top, from the equalisation month onwards. The uplift is the annual cost of closing the pay gap divided by twelve. This is why deviation runs higher in the last four months than in the first eight: the pay rise lands on top of a gap that was already there.</t>
  </si>
  <si>
    <t>4. Deviation</t>
  </si>
  <si>
    <t>Expected minus plan. Positive is an overspend. Shown both per month and as a running total from January.</t>
  </si>
  <si>
    <t>5. Year</t>
  </si>
  <si>
    <t>Plan against actual plus forecast. The accumulated deviation is set against the cost of equalisation charged this year.</t>
  </si>
  <si>
    <t>Two quantities not to confuse</t>
  </si>
  <si>
    <t>Monthly deviation</t>
  </si>
  <si>
    <t>How far this one month ran from plan. It answers: is this month worse than the last. On this dataset it roughly doubles in the equalisation month.</t>
  </si>
  <si>
    <t>Cumulative deviation</t>
  </si>
  <si>
    <t>The same figure carried from January, so it answers a different question: how much of the year's budget has gone. A month can improve while the cumulative still grows. Both are correct; do not read one for the other.</t>
  </si>
  <si>
    <t>What this model does not do</t>
  </si>
  <si>
    <t>No explanation of variances</t>
  </si>
  <si>
    <t>It shows where and by how much, not why. Causes belong in the conversation, not on the screen.</t>
  </si>
  <si>
    <t>Employer contributions</t>
  </si>
  <si>
    <t>A raise to base pay brings employer contributions with it, and those are part of the budget line. The rates here are Spain 2026: 31.5% on annual pay up to a ceiling of 61,214 EUR, and 0.96% on anything above it (the employer share of the first band of the solidarity contribution, 0.96% of the combined 1.15%). The scale is regressive, so a raise to someone already above the ceiling attracts almost no contributions while the same raise below it attracts the full rate. That is why the effective rate on the Equalisation sheet differs so much between departments. Rates and ceiling are specific to one country and one year: in another jurisdiction the numbers change, the structure does not.</t>
  </si>
  <si>
    <t>Synthetic data</t>
  </si>
  <si>
    <t>Generated from a seeded PRNG, not from any real organisation. The workbook illustrates a budgeting approach and is not legal or actuarial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</si>
</sst>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3"/>
      <name val="Calibri"/>
    </font>
    <font>
      <sz val="9"/>
      <color rgb="FF6B7280"/>
      <name val="Calibri"/>
    </font>
    <font>
      <b/>
      <sz val="10"/>
      <color rgb="FFFFFFFF"/>
      <name val="Calibri"/>
    </font>
    <font>
      <b/>
      <sz val="11"/>
      <name val="Calibri"/>
    </font>
    <font>
      <sz val="11"/>
      <name val="Calibri"/>
    </font>
  </fonts>
  <fills count="6">
    <fill>
      <patternFill patternType="none"/>
    </fill>
    <fill>
      <patternFill patternType="gray125"/>
    </fill>
    <fill>
      <patternFill patternType="solid">
        <fgColor rgb="FF1F3B57"/>
      </patternFill>
    </fill>
    <fill>
      <patternFill patternType="solid">
        <fgColor rgb="FFE6F4EA"/>
      </patternFill>
    </fill>
    <fill>
      <patternFill patternType="solid">
        <fgColor rgb="FFFFF4D6"/>
      </patternFill>
    </fill>
    <fill>
      <patternFill patternType="solid">
        <fgColor rgb="FFEAF3F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2">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0" fillId="0" borderId="1" xfId="0" applyBorder="1"/>
    <xf numFmtId="0" fontId="4" fillId="3" borderId="1" xfId="0" applyFont="1" applyFill="1" applyBorder="1"/>
    <xf numFmtId="0" fontId="0" fillId="0" borderId="1" xfId="0" applyBorder="1" applyAlignment="1">
      <alignment vertical="top" wrapText="1"/>
    </xf>
    <xf numFmtId="0" fontId="4" fillId="0" borderId="0" xfId="0" applyFont="1"/>
    <xf numFmtId="0" fontId="0" fillId="4" borderId="1" xfId="0" applyFill="1" applyBorder="1"/>
    <xf numFmtId="4" fontId="0" fillId="4" borderId="1" xfId="0" applyNumberFormat="1" applyFill="1" applyBorder="1"/>
    <xf numFmtId="4" fontId="0" fillId="5" borderId="1" xfId="0" applyNumberFormat="1" applyFill="1" applyBorder="1"/>
    <xf numFmtId="2" fontId="0" fillId="4" borderId="1" xfId="0" applyNumberFormat="1" applyFill="1" applyBorder="1"/>
    <xf numFmtId="3" fontId="4" fillId="0" borderId="1" xfId="0" applyNumberFormat="1" applyFont="1" applyBorder="1"/>
    <xf numFmtId="4" fontId="4" fillId="0" borderId="1" xfId="0" applyNumberFormat="1" applyFont="1" applyBorder="1"/>
    <xf numFmtId="10" fontId="0" fillId="5" borderId="1" xfId="0" applyNumberFormat="1" applyFill="1" applyBorder="1"/>
    <xf numFmtId="10" fontId="4" fillId="0" borderId="1" xfId="0" applyNumberFormat="1" applyFont="1" applyBorder="1"/>
    <xf numFmtId="0" fontId="0" fillId="5" borderId="1" xfId="0" applyFill="1" applyBorder="1"/>
    <xf numFmtId="0" fontId="4" fillId="0" borderId="0" xfId="0" applyFont="1" applyAlignment="1">
      <alignment vertical="top"/>
    </xf>
    <xf numFmtId="0" fontId="5" fillId="0" borderId="0" xfId="0" applyFont="1"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tabSelected="1" workbookViewId="0"/>
  </sheetViews>
  <sheetFormatPr defaultRowHeight="14.4" x14ac:dyDescent="0.3"/>
  <cols>
    <col min="1" max="1" width="24" customWidth="1"/>
    <col min="2" max="2" width="14" customWidth="1"/>
    <col min="3" max="3" width="34" customWidth="1"/>
    <col min="4" max="4" width="76" customWidth="1"/>
  </cols>
  <sheetData>
    <row r="1" spans="1:4" ht="17.399999999999999" x14ac:dyDescent="0.35">
      <c r="A1" s="1" t="s">
        <v>0</v>
      </c>
    </row>
    <row r="2" spans="1:4" x14ac:dyDescent="0.3">
      <c r="A2" s="2" t="s">
        <v>1</v>
      </c>
    </row>
    <row r="4" spans="1:4" x14ac:dyDescent="0.3">
      <c r="A4" s="2" t="s">
        <v>2</v>
      </c>
    </row>
    <row r="6" spans="1:4" ht="30" customHeight="1" x14ac:dyDescent="0.3">
      <c r="A6" s="3" t="s">
        <v>3</v>
      </c>
      <c r="B6" s="3" t="s">
        <v>4</v>
      </c>
      <c r="C6" s="3" t="s">
        <v>5</v>
      </c>
      <c r="D6" s="3" t="s">
        <v>6</v>
      </c>
    </row>
    <row r="7" spans="1:4" ht="28.05" customHeight="1" x14ac:dyDescent="0.3">
      <c r="A7" s="4" t="s">
        <v>7</v>
      </c>
      <c r="B7" s="5">
        <v>8</v>
      </c>
      <c r="C7" s="4" t="s">
        <v>8</v>
      </c>
      <c r="D7" s="6" t="s">
        <v>9</v>
      </c>
    </row>
    <row r="8" spans="1:4" ht="28.05" customHeight="1" x14ac:dyDescent="0.3">
      <c r="A8" s="4" t="s">
        <v>10</v>
      </c>
      <c r="B8" s="5">
        <v>9</v>
      </c>
      <c r="C8" s="4" t="s">
        <v>11</v>
      </c>
      <c r="D8" s="6" t="s">
        <v>12</v>
      </c>
    </row>
    <row r="11" spans="1:4" x14ac:dyDescent="0.3">
      <c r="A11" s="7" t="s">
        <v>13</v>
      </c>
    </row>
    <row r="12" spans="1:4" x14ac:dyDescent="0.3">
      <c r="A12" s="20" t="s">
        <v>14</v>
      </c>
      <c r="B12" s="21"/>
      <c r="C12" s="21"/>
      <c r="D12" s="21"/>
    </row>
    <row r="13" spans="1:4" x14ac:dyDescent="0.3">
      <c r="A13" s="21"/>
      <c r="B13" s="21"/>
      <c r="C13" s="21"/>
      <c r="D13" s="21"/>
    </row>
    <row r="14" spans="1:4" x14ac:dyDescent="0.3">
      <c r="A14" s="21"/>
      <c r="B14" s="21"/>
      <c r="C14" s="21"/>
      <c r="D14" s="21"/>
    </row>
  </sheetData>
  <mergeCells count="1">
    <mergeCell ref="A12:D1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
  <sheetViews>
    <sheetView workbookViewId="0">
      <pane ySplit="7" topLeftCell="A8" activePane="bottomLeft" state="frozen"/>
      <selection pane="bottomLeft"/>
    </sheetView>
  </sheetViews>
  <sheetFormatPr defaultRowHeight="14.4" x14ac:dyDescent="0.3"/>
  <cols>
    <col min="1" max="1" width="22" customWidth="1"/>
    <col min="2" max="2" width="12" customWidth="1"/>
    <col min="3" max="6" width="18" customWidth="1"/>
    <col min="7" max="7" width="20" customWidth="1"/>
  </cols>
  <sheetData>
    <row r="1" spans="1:7" ht="17.399999999999999" x14ac:dyDescent="0.35">
      <c r="A1" s="1" t="s">
        <v>15</v>
      </c>
    </row>
    <row r="2" spans="1:7" x14ac:dyDescent="0.3">
      <c r="A2" s="20" t="s">
        <v>16</v>
      </c>
      <c r="B2" s="21"/>
      <c r="C2" s="21"/>
      <c r="D2" s="21"/>
      <c r="E2" s="21"/>
      <c r="F2" s="21"/>
    </row>
    <row r="3" spans="1:7" x14ac:dyDescent="0.3">
      <c r="A3" s="21"/>
      <c r="B3" s="21"/>
      <c r="C3" s="21"/>
      <c r="D3" s="21"/>
      <c r="E3" s="21"/>
      <c r="F3" s="21"/>
    </row>
    <row r="4" spans="1:7" x14ac:dyDescent="0.3">
      <c r="A4" s="20" t="s">
        <v>17</v>
      </c>
      <c r="B4" s="21"/>
      <c r="C4" s="21"/>
      <c r="D4" s="21"/>
      <c r="E4" s="21"/>
      <c r="F4" s="21"/>
    </row>
    <row r="5" spans="1:7" x14ac:dyDescent="0.3">
      <c r="A5" s="21"/>
      <c r="B5" s="21"/>
      <c r="C5" s="21"/>
      <c r="D5" s="21"/>
      <c r="E5" s="21"/>
      <c r="F5" s="21"/>
    </row>
    <row r="7" spans="1:7" ht="30" customHeight="1" x14ac:dyDescent="0.3">
      <c r="A7" s="3" t="s">
        <v>18</v>
      </c>
      <c r="B7" s="3" t="s">
        <v>19</v>
      </c>
      <c r="C7" s="3" t="s">
        <v>20</v>
      </c>
      <c r="D7" s="3" t="s">
        <v>21</v>
      </c>
      <c r="E7" s="3" t="s">
        <v>22</v>
      </c>
      <c r="F7" s="3" t="s">
        <v>23</v>
      </c>
      <c r="G7" s="3" t="s">
        <v>24</v>
      </c>
    </row>
    <row r="8" spans="1:7" x14ac:dyDescent="0.3">
      <c r="A8" s="4" t="s">
        <v>25</v>
      </c>
      <c r="B8" s="8">
        <v>8</v>
      </c>
      <c r="C8" s="9">
        <v>77733.194175898621</v>
      </c>
      <c r="D8" s="9">
        <v>20260.68759868668</v>
      </c>
      <c r="E8" s="10">
        <f t="shared" ref="E8:E14" si="0">C8+D8</f>
        <v>97993.881774585301</v>
      </c>
      <c r="F8" s="10">
        <f t="shared" ref="F8:F14" si="1">E8/12</f>
        <v>8166.1568145487754</v>
      </c>
      <c r="G8" s="11">
        <v>-1.4409976867000001</v>
      </c>
    </row>
    <row r="9" spans="1:7" x14ac:dyDescent="0.3">
      <c r="A9" s="4" t="s">
        <v>26</v>
      </c>
      <c r="B9" s="8">
        <v>7</v>
      </c>
      <c r="C9" s="9">
        <v>124991.43000000009</v>
      </c>
      <c r="D9" s="9">
        <v>4650.7850279999993</v>
      </c>
      <c r="E9" s="10">
        <f t="shared" si="0"/>
        <v>129642.21502800009</v>
      </c>
      <c r="F9" s="10">
        <f t="shared" si="1"/>
        <v>10803.517919000007</v>
      </c>
      <c r="G9" s="11">
        <v>9.2535006260999992</v>
      </c>
    </row>
    <row r="10" spans="1:7" x14ac:dyDescent="0.3">
      <c r="A10" s="4" t="s">
        <v>27</v>
      </c>
      <c r="B10" s="8">
        <v>12</v>
      </c>
      <c r="C10" s="9">
        <v>16228.18659397073</v>
      </c>
      <c r="D10" s="9">
        <v>5111.8787771007783</v>
      </c>
      <c r="E10" s="10">
        <f t="shared" si="0"/>
        <v>21340.065371071509</v>
      </c>
      <c r="F10" s="10">
        <f t="shared" si="1"/>
        <v>1778.3387809226258</v>
      </c>
      <c r="G10" s="11">
        <v>1.3274111283000001</v>
      </c>
    </row>
    <row r="11" spans="1:7" x14ac:dyDescent="0.3">
      <c r="A11" s="4" t="s">
        <v>28</v>
      </c>
      <c r="B11" s="8">
        <v>12</v>
      </c>
      <c r="C11" s="9">
        <v>65975.976152303687</v>
      </c>
      <c r="D11" s="9">
        <v>20782.43248797566</v>
      </c>
      <c r="E11" s="10">
        <f t="shared" si="0"/>
        <v>86758.408640279347</v>
      </c>
      <c r="F11" s="10">
        <f t="shared" si="1"/>
        <v>7229.8673866899453</v>
      </c>
      <c r="G11" s="11">
        <v>2.3558404946999998</v>
      </c>
    </row>
    <row r="12" spans="1:7" x14ac:dyDescent="0.3">
      <c r="A12" s="4" t="s">
        <v>29</v>
      </c>
      <c r="B12" s="8">
        <v>0</v>
      </c>
      <c r="C12" s="9">
        <v>0</v>
      </c>
      <c r="D12" s="9">
        <v>0</v>
      </c>
      <c r="E12" s="10">
        <f t="shared" si="0"/>
        <v>0</v>
      </c>
      <c r="F12" s="10">
        <f t="shared" si="1"/>
        <v>0</v>
      </c>
      <c r="G12" s="11">
        <v>2.4329916587999998</v>
      </c>
    </row>
    <row r="13" spans="1:7" x14ac:dyDescent="0.3">
      <c r="A13" s="4" t="s">
        <v>30</v>
      </c>
      <c r="B13" s="8">
        <v>10</v>
      </c>
      <c r="C13" s="9">
        <v>31975.109378364668</v>
      </c>
      <c r="D13" s="9">
        <v>10072.15945418487</v>
      </c>
      <c r="E13" s="10">
        <f t="shared" si="0"/>
        <v>42047.26883254954</v>
      </c>
      <c r="F13" s="10">
        <f t="shared" si="1"/>
        <v>3503.9390693791283</v>
      </c>
      <c r="G13" s="11">
        <v>2.1339525171</v>
      </c>
    </row>
    <row r="14" spans="1:7" x14ac:dyDescent="0.3">
      <c r="A14" s="4" t="s">
        <v>31</v>
      </c>
      <c r="B14" s="8">
        <v>3</v>
      </c>
      <c r="C14" s="9">
        <v>18287.125943342169</v>
      </c>
      <c r="D14" s="9">
        <v>175.55640905608479</v>
      </c>
      <c r="E14" s="10">
        <f t="shared" si="0"/>
        <v>18462.682352398253</v>
      </c>
      <c r="F14" s="10">
        <f t="shared" si="1"/>
        <v>1538.5568626998545</v>
      </c>
      <c r="G14" s="11">
        <v>2.6526177826000001</v>
      </c>
    </row>
    <row r="15" spans="1:7" x14ac:dyDescent="0.3">
      <c r="A15" s="7" t="s">
        <v>32</v>
      </c>
      <c r="B15" s="12">
        <f>SUM(B8:B14)</f>
        <v>52</v>
      </c>
      <c r="C15" s="13">
        <f>SUM(C8:C14)</f>
        <v>335191.02224387997</v>
      </c>
      <c r="D15" s="13">
        <f>SUM(D8:D14)</f>
        <v>61053.499755004072</v>
      </c>
      <c r="E15" s="13">
        <f>SUM(E8:E14)</f>
        <v>396244.5219988841</v>
      </c>
      <c r="F15" s="13">
        <f>SUM(F8:F14)</f>
        <v>33020.376833240334</v>
      </c>
    </row>
  </sheetData>
  <mergeCells count="2">
    <mergeCell ref="A4:F5"/>
    <mergeCell ref="A2:F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88"/>
  <sheetViews>
    <sheetView workbookViewId="0">
      <pane ySplit="4" topLeftCell="A5" activePane="bottomLeft" state="frozen"/>
      <selection pane="bottomLeft"/>
    </sheetView>
  </sheetViews>
  <sheetFormatPr defaultRowHeight="14.4" x14ac:dyDescent="0.3"/>
  <cols>
    <col min="1" max="1" width="22" customWidth="1"/>
    <col min="2" max="2" width="8" customWidth="1"/>
    <col min="3" max="3" width="5" customWidth="1"/>
    <col min="4" max="8" width="15" customWidth="1"/>
    <col min="9" max="9" width="12" customWidth="1"/>
    <col min="10" max="10" width="16" customWidth="1"/>
  </cols>
  <sheetData>
    <row r="1" spans="1:10" ht="17.399999999999999" x14ac:dyDescent="0.35">
      <c r="A1" s="1" t="s">
        <v>33</v>
      </c>
    </row>
    <row r="2" spans="1:10" x14ac:dyDescent="0.3">
      <c r="A2" s="2" t="s">
        <v>34</v>
      </c>
    </row>
    <row r="4" spans="1:10" ht="30" customHeight="1" x14ac:dyDescent="0.3">
      <c r="A4" s="3" t="s">
        <v>18</v>
      </c>
      <c r="B4" s="3" t="s">
        <v>35</v>
      </c>
      <c r="C4" s="3" t="s">
        <v>36</v>
      </c>
      <c r="D4" s="3" t="s">
        <v>37</v>
      </c>
      <c r="E4" s="3" t="s">
        <v>38</v>
      </c>
      <c r="F4" s="3" t="s">
        <v>39</v>
      </c>
      <c r="G4" s="3" t="s">
        <v>40</v>
      </c>
      <c r="H4" s="3" t="s">
        <v>41</v>
      </c>
      <c r="I4" s="3" t="s">
        <v>42</v>
      </c>
      <c r="J4" s="3" t="s">
        <v>43</v>
      </c>
    </row>
    <row r="5" spans="1:10" x14ac:dyDescent="0.3">
      <c r="A5" s="4" t="s">
        <v>25</v>
      </c>
      <c r="B5" s="4" t="s">
        <v>44</v>
      </c>
      <c r="C5" s="4">
        <v>1</v>
      </c>
      <c r="D5" s="9">
        <v>344781.5</v>
      </c>
      <c r="E5" s="9">
        <v>339390.97</v>
      </c>
      <c r="F5" s="10" t="str">
        <f>IF(C5&lt;=fact_months,"",ROUND(D5*(1+Equalisation!$G$8/100)+IF(C5&gt;=equalisation_month,Equalisation!$F$8,0),2))</f>
        <v/>
      </c>
      <c r="G5" s="10">
        <f t="shared" ref="G5:G36" si="0">IF(C5&lt;=fact_months,E5,F5)</f>
        <v>339390.97</v>
      </c>
      <c r="H5" s="10">
        <f t="shared" ref="H5:H36" si="1">G5-D5</f>
        <v>-5390.5300000000279</v>
      </c>
      <c r="I5" s="14">
        <f t="shared" ref="I5:I36" si="2">IF(D5=0,"",H5/D5)</f>
        <v>-1.5634626567840874E-2</v>
      </c>
      <c r="J5" s="10">
        <f>H5</f>
        <v>-5390.5300000000279</v>
      </c>
    </row>
    <row r="6" spans="1:10" x14ac:dyDescent="0.3">
      <c r="A6" s="4" t="s">
        <v>25</v>
      </c>
      <c r="B6" s="4" t="s">
        <v>45</v>
      </c>
      <c r="C6" s="4">
        <v>2</v>
      </c>
      <c r="D6" s="9">
        <v>343785.02</v>
      </c>
      <c r="E6" s="9">
        <v>338508.59</v>
      </c>
      <c r="F6" s="10" t="str">
        <f>IF(C6&lt;=fact_months,"",ROUND(D6*(1+Equalisation!$G$8/100)+IF(C6&gt;=equalisation_month,Equalisation!$F$8,0),2))</f>
        <v/>
      </c>
      <c r="G6" s="10">
        <f t="shared" si="0"/>
        <v>338508.59</v>
      </c>
      <c r="H6" s="10">
        <f t="shared" si="1"/>
        <v>-5276.429999999993</v>
      </c>
      <c r="I6" s="14">
        <f t="shared" si="2"/>
        <v>-1.5348050941835665E-2</v>
      </c>
      <c r="J6" s="10">
        <f t="shared" ref="J6:J16" si="3">J5+H6</f>
        <v>-10666.960000000021</v>
      </c>
    </row>
    <row r="7" spans="1:10" x14ac:dyDescent="0.3">
      <c r="A7" s="4" t="s">
        <v>25</v>
      </c>
      <c r="B7" s="4" t="s">
        <v>46</v>
      </c>
      <c r="C7" s="4">
        <v>3</v>
      </c>
      <c r="D7" s="9">
        <v>339466.94</v>
      </c>
      <c r="E7" s="9">
        <v>334197.65000000002</v>
      </c>
      <c r="F7" s="10" t="str">
        <f>IF(C7&lt;=fact_months,"",ROUND(D7*(1+Equalisation!$G$8/100)+IF(C7&gt;=equalisation_month,Equalisation!$F$8,0),2))</f>
        <v/>
      </c>
      <c r="G7" s="10">
        <f t="shared" si="0"/>
        <v>334197.65000000002</v>
      </c>
      <c r="H7" s="10">
        <f t="shared" si="1"/>
        <v>-5269.289999999979</v>
      </c>
      <c r="I7" s="14">
        <f t="shared" si="2"/>
        <v>-1.5522247910208809E-2</v>
      </c>
      <c r="J7" s="10">
        <f t="shared" si="3"/>
        <v>-15936.25</v>
      </c>
    </row>
    <row r="8" spans="1:10" x14ac:dyDescent="0.3">
      <c r="A8" s="4" t="s">
        <v>25</v>
      </c>
      <c r="B8" s="4" t="s">
        <v>47</v>
      </c>
      <c r="C8" s="4">
        <v>4</v>
      </c>
      <c r="D8" s="9">
        <v>333820.23</v>
      </c>
      <c r="E8" s="9">
        <v>329204.23</v>
      </c>
      <c r="F8" s="10" t="str">
        <f>IF(C8&lt;=fact_months,"",ROUND(D8*(1+Equalisation!$G$8/100)+IF(C8&gt;=equalisation_month,Equalisation!$F$8,0),2))</f>
        <v/>
      </c>
      <c r="G8" s="10">
        <f t="shared" si="0"/>
        <v>329204.23</v>
      </c>
      <c r="H8" s="10">
        <f t="shared" si="1"/>
        <v>-4616</v>
      </c>
      <c r="I8" s="14">
        <f t="shared" si="2"/>
        <v>-1.3827801868089301E-2</v>
      </c>
      <c r="J8" s="10">
        <f t="shared" si="3"/>
        <v>-20552.25</v>
      </c>
    </row>
    <row r="9" spans="1:10" x14ac:dyDescent="0.3">
      <c r="A9" s="4" t="s">
        <v>25</v>
      </c>
      <c r="B9" s="4" t="s">
        <v>48</v>
      </c>
      <c r="C9" s="4">
        <v>5</v>
      </c>
      <c r="D9" s="9">
        <v>327509.2</v>
      </c>
      <c r="E9" s="9">
        <v>323076.76</v>
      </c>
      <c r="F9" s="10" t="str">
        <f>IF(C9&lt;=fact_months,"",ROUND(D9*(1+Equalisation!$G$8/100)+IF(C9&gt;=equalisation_month,Equalisation!$F$8,0),2))</f>
        <v/>
      </c>
      <c r="G9" s="10">
        <f t="shared" si="0"/>
        <v>323076.76</v>
      </c>
      <c r="H9" s="10">
        <f t="shared" si="1"/>
        <v>-4432.4400000000023</v>
      </c>
      <c r="I9" s="14">
        <f t="shared" si="2"/>
        <v>-1.3533787753137934E-2</v>
      </c>
      <c r="J9" s="10">
        <f t="shared" si="3"/>
        <v>-24984.690000000002</v>
      </c>
    </row>
    <row r="10" spans="1:10" x14ac:dyDescent="0.3">
      <c r="A10" s="4" t="s">
        <v>25</v>
      </c>
      <c r="B10" s="4" t="s">
        <v>49</v>
      </c>
      <c r="C10" s="4">
        <v>6</v>
      </c>
      <c r="D10" s="9">
        <v>321530.33</v>
      </c>
      <c r="E10" s="9">
        <v>316766.49</v>
      </c>
      <c r="F10" s="10" t="str">
        <f>IF(C10&lt;=fact_months,"",ROUND(D10*(1+Equalisation!$G$8/100)+IF(C10&gt;=equalisation_month,Equalisation!$F$8,0),2))</f>
        <v/>
      </c>
      <c r="G10" s="10">
        <f t="shared" si="0"/>
        <v>316766.49</v>
      </c>
      <c r="H10" s="10">
        <f t="shared" si="1"/>
        <v>-4763.8400000000256</v>
      </c>
      <c r="I10" s="14">
        <f t="shared" si="2"/>
        <v>-1.4816145027438081E-2</v>
      </c>
      <c r="J10" s="10">
        <f t="shared" si="3"/>
        <v>-29748.530000000028</v>
      </c>
    </row>
    <row r="11" spans="1:10" x14ac:dyDescent="0.3">
      <c r="A11" s="4" t="s">
        <v>25</v>
      </c>
      <c r="B11" s="4" t="s">
        <v>50</v>
      </c>
      <c r="C11" s="4">
        <v>7</v>
      </c>
      <c r="D11" s="9">
        <v>319537.38</v>
      </c>
      <c r="E11" s="9">
        <v>314541.87</v>
      </c>
      <c r="F11" s="10" t="str">
        <f>IF(C11&lt;=fact_months,"",ROUND(D11*(1+Equalisation!$G$8/100)+IF(C11&gt;=equalisation_month,Equalisation!$F$8,0),2))</f>
        <v/>
      </c>
      <c r="G11" s="10">
        <f t="shared" si="0"/>
        <v>314541.87</v>
      </c>
      <c r="H11" s="10">
        <f t="shared" si="1"/>
        <v>-4995.5100000000093</v>
      </c>
      <c r="I11" s="14">
        <f t="shared" si="2"/>
        <v>-1.5633570006739147E-2</v>
      </c>
      <c r="J11" s="10">
        <f t="shared" si="3"/>
        <v>-34744.040000000037</v>
      </c>
    </row>
    <row r="12" spans="1:10" x14ac:dyDescent="0.3">
      <c r="A12" s="4" t="s">
        <v>25</v>
      </c>
      <c r="B12" s="4" t="s">
        <v>51</v>
      </c>
      <c r="C12" s="4">
        <v>8</v>
      </c>
      <c r="D12" s="9">
        <v>320201.7</v>
      </c>
      <c r="E12" s="9">
        <v>315820.53000000003</v>
      </c>
      <c r="F12" s="10" t="str">
        <f>IF(C12&lt;=fact_months,"",ROUND(D12*(1+Equalisation!$G$8/100)+IF(C12&gt;=equalisation_month,Equalisation!$F$8,0),2))</f>
        <v/>
      </c>
      <c r="G12" s="10">
        <f t="shared" si="0"/>
        <v>315820.53000000003</v>
      </c>
      <c r="H12" s="10">
        <f t="shared" si="1"/>
        <v>-4381.1699999999837</v>
      </c>
      <c r="I12" s="14">
        <f t="shared" si="2"/>
        <v>-1.3682531979061895E-2</v>
      </c>
      <c r="J12" s="10">
        <f t="shared" si="3"/>
        <v>-39125.210000000021</v>
      </c>
    </row>
    <row r="13" spans="1:10" x14ac:dyDescent="0.3">
      <c r="A13" s="4" t="s">
        <v>25</v>
      </c>
      <c r="B13" s="4" t="s">
        <v>52</v>
      </c>
      <c r="C13" s="4">
        <v>9</v>
      </c>
      <c r="D13" s="9">
        <v>327177.05</v>
      </c>
      <c r="E13" s="4"/>
      <c r="F13" s="10">
        <f>IF(C13&lt;=fact_months,"",ROUND(D13*(1+Equalisation!$G$8/100)+IF(C13&gt;=equalisation_month,Equalisation!$F$8,0),2))</f>
        <v>330628.59000000003</v>
      </c>
      <c r="G13" s="10">
        <f t="shared" si="0"/>
        <v>330628.59000000003</v>
      </c>
      <c r="H13" s="10">
        <f t="shared" si="1"/>
        <v>3451.5400000000373</v>
      </c>
      <c r="I13" s="14">
        <f t="shared" si="2"/>
        <v>1.0549456326475337E-2</v>
      </c>
      <c r="J13" s="10">
        <f t="shared" si="3"/>
        <v>-35673.669999999984</v>
      </c>
    </row>
    <row r="14" spans="1:10" x14ac:dyDescent="0.3">
      <c r="A14" s="4" t="s">
        <v>25</v>
      </c>
      <c r="B14" s="4" t="s">
        <v>53</v>
      </c>
      <c r="C14" s="4">
        <v>10</v>
      </c>
      <c r="D14" s="9">
        <v>334152.39</v>
      </c>
      <c r="E14" s="4"/>
      <c r="F14" s="10">
        <f>IF(C14&lt;=fact_months,"",ROUND(D14*(1+Equalisation!$G$8/100)+IF(C14&gt;=equalisation_month,Equalisation!$F$8,0),2))</f>
        <v>337503.42</v>
      </c>
      <c r="G14" s="10">
        <f t="shared" si="0"/>
        <v>337503.42</v>
      </c>
      <c r="H14" s="10">
        <f t="shared" si="1"/>
        <v>3351.0299999999697</v>
      </c>
      <c r="I14" s="14">
        <f t="shared" si="2"/>
        <v>1.0028448397451144E-2</v>
      </c>
      <c r="J14" s="10">
        <f t="shared" si="3"/>
        <v>-32322.640000000014</v>
      </c>
    </row>
    <row r="15" spans="1:10" x14ac:dyDescent="0.3">
      <c r="A15" s="4" t="s">
        <v>25</v>
      </c>
      <c r="B15" s="4" t="s">
        <v>54</v>
      </c>
      <c r="C15" s="4">
        <v>11</v>
      </c>
      <c r="D15" s="9">
        <v>336809.67</v>
      </c>
      <c r="E15" s="4"/>
      <c r="F15" s="10">
        <f>IF(C15&lt;=fact_months,"",ROUND(D15*(1+Equalisation!$G$8/100)+IF(C15&gt;=equalisation_month,Equalisation!$F$8,0),2))</f>
        <v>340122.41</v>
      </c>
      <c r="G15" s="10">
        <f t="shared" si="0"/>
        <v>340122.41</v>
      </c>
      <c r="H15" s="10">
        <f t="shared" si="1"/>
        <v>3312.7399999999907</v>
      </c>
      <c r="I15" s="14">
        <f t="shared" si="2"/>
        <v>9.83564397067338E-3</v>
      </c>
      <c r="J15" s="10">
        <f t="shared" si="3"/>
        <v>-29009.900000000023</v>
      </c>
    </row>
    <row r="16" spans="1:10" x14ac:dyDescent="0.3">
      <c r="A16" s="4" t="s">
        <v>25</v>
      </c>
      <c r="B16" s="4" t="s">
        <v>55</v>
      </c>
      <c r="C16" s="4">
        <v>12</v>
      </c>
      <c r="D16" s="9">
        <v>337141.83</v>
      </c>
      <c r="E16" s="4"/>
      <c r="F16" s="10">
        <f>IF(C16&lt;=fact_months,"",ROUND(D16*(1+Equalisation!$G$8/100)+IF(C16&gt;=equalisation_month,Equalisation!$F$8,0),2))</f>
        <v>340449.78</v>
      </c>
      <c r="G16" s="10">
        <f t="shared" si="0"/>
        <v>340449.78</v>
      </c>
      <c r="H16" s="10">
        <f t="shared" si="1"/>
        <v>3307.9500000000116</v>
      </c>
      <c r="I16" s="14">
        <f t="shared" si="2"/>
        <v>9.8117459942600755E-3</v>
      </c>
      <c r="J16" s="10">
        <f t="shared" si="3"/>
        <v>-25701.950000000012</v>
      </c>
    </row>
    <row r="17" spans="1:10" x14ac:dyDescent="0.3">
      <c r="A17" s="4" t="s">
        <v>26</v>
      </c>
      <c r="B17" s="4" t="s">
        <v>44</v>
      </c>
      <c r="C17" s="4">
        <v>1</v>
      </c>
      <c r="D17" s="9">
        <v>242722.7</v>
      </c>
      <c r="E17" s="9">
        <v>265002.40999999997</v>
      </c>
      <c r="F17" s="10" t="str">
        <f>IF(C17&lt;=fact_months,"",ROUND(D17*(1+Equalisation!$G$9/100)+IF(C17&gt;=equalisation_month,Equalisation!$F$9,0),2))</f>
        <v/>
      </c>
      <c r="G17" s="10">
        <f t="shared" si="0"/>
        <v>265002.40999999997</v>
      </c>
      <c r="H17" s="10">
        <f t="shared" si="1"/>
        <v>22279.709999999963</v>
      </c>
      <c r="I17" s="14">
        <f t="shared" si="2"/>
        <v>9.179079665807921E-2</v>
      </c>
      <c r="J17" s="10">
        <f>H17</f>
        <v>22279.709999999963</v>
      </c>
    </row>
    <row r="18" spans="1:10" x14ac:dyDescent="0.3">
      <c r="A18" s="4" t="s">
        <v>26</v>
      </c>
      <c r="B18" s="4" t="s">
        <v>45</v>
      </c>
      <c r="C18" s="4">
        <v>2</v>
      </c>
      <c r="D18" s="9">
        <v>242021.19</v>
      </c>
      <c r="E18" s="9">
        <v>264156.19</v>
      </c>
      <c r="F18" s="10" t="str">
        <f>IF(C18&lt;=fact_months,"",ROUND(D18*(1+Equalisation!$G$9/100)+IF(C18&gt;=equalisation_month,Equalisation!$F$9,0),2))</f>
        <v/>
      </c>
      <c r="G18" s="10">
        <f t="shared" si="0"/>
        <v>264156.19</v>
      </c>
      <c r="H18" s="10">
        <f t="shared" si="1"/>
        <v>22135</v>
      </c>
      <c r="I18" s="14">
        <f t="shared" si="2"/>
        <v>9.1458933823108629E-2</v>
      </c>
      <c r="J18" s="10">
        <f t="shared" ref="J18:J28" si="4">J17+H18</f>
        <v>44414.709999999963</v>
      </c>
    </row>
    <row r="19" spans="1:10" x14ac:dyDescent="0.3">
      <c r="A19" s="4" t="s">
        <v>26</v>
      </c>
      <c r="B19" s="4" t="s">
        <v>46</v>
      </c>
      <c r="C19" s="4">
        <v>3</v>
      </c>
      <c r="D19" s="9">
        <v>238981.31</v>
      </c>
      <c r="E19" s="9">
        <v>260934.23</v>
      </c>
      <c r="F19" s="10" t="str">
        <f>IF(C19&lt;=fact_months,"",ROUND(D19*(1+Equalisation!$G$9/100)+IF(C19&gt;=equalisation_month,Equalisation!$F$9,0),2))</f>
        <v/>
      </c>
      <c r="G19" s="10">
        <f t="shared" si="0"/>
        <v>260934.23</v>
      </c>
      <c r="H19" s="10">
        <f t="shared" si="1"/>
        <v>21952.920000000013</v>
      </c>
      <c r="I19" s="14">
        <f t="shared" si="2"/>
        <v>9.1860405317888721E-2</v>
      </c>
      <c r="J19" s="10">
        <f t="shared" si="4"/>
        <v>66367.629999999976</v>
      </c>
    </row>
    <row r="20" spans="1:10" x14ac:dyDescent="0.3">
      <c r="A20" s="4" t="s">
        <v>26</v>
      </c>
      <c r="B20" s="4" t="s">
        <v>47</v>
      </c>
      <c r="C20" s="4">
        <v>4</v>
      </c>
      <c r="D20" s="9">
        <v>235006.07999999999</v>
      </c>
      <c r="E20" s="9">
        <v>256556.14</v>
      </c>
      <c r="F20" s="10" t="str">
        <f>IF(C20&lt;=fact_months,"",ROUND(D20*(1+Equalisation!$G$9/100)+IF(C20&gt;=equalisation_month,Equalisation!$F$9,0),2))</f>
        <v/>
      </c>
      <c r="G20" s="10">
        <f t="shared" si="0"/>
        <v>256556.14</v>
      </c>
      <c r="H20" s="10">
        <f t="shared" si="1"/>
        <v>21550.060000000027</v>
      </c>
      <c r="I20" s="14">
        <f t="shared" si="2"/>
        <v>9.170001048483524E-2</v>
      </c>
      <c r="J20" s="10">
        <f t="shared" si="4"/>
        <v>87917.69</v>
      </c>
    </row>
    <row r="21" spans="1:10" x14ac:dyDescent="0.3">
      <c r="A21" s="4" t="s">
        <v>26</v>
      </c>
      <c r="B21" s="4" t="s">
        <v>48</v>
      </c>
      <c r="C21" s="4">
        <v>5</v>
      </c>
      <c r="D21" s="9">
        <v>230563.18</v>
      </c>
      <c r="E21" s="9">
        <v>251854.83</v>
      </c>
      <c r="F21" s="10" t="str">
        <f>IF(C21&lt;=fact_months,"",ROUND(D21*(1+Equalisation!$G$9/100)+IF(C21&gt;=equalisation_month,Equalisation!$F$9,0),2))</f>
        <v/>
      </c>
      <c r="G21" s="10">
        <f t="shared" si="0"/>
        <v>251854.83</v>
      </c>
      <c r="H21" s="10">
        <f t="shared" si="1"/>
        <v>21291.649999999994</v>
      </c>
      <c r="I21" s="14">
        <f t="shared" si="2"/>
        <v>9.2346271421134954E-2</v>
      </c>
      <c r="J21" s="10">
        <f t="shared" si="4"/>
        <v>109209.34</v>
      </c>
    </row>
    <row r="22" spans="1:10" x14ac:dyDescent="0.3">
      <c r="A22" s="4" t="s">
        <v>26</v>
      </c>
      <c r="B22" s="4" t="s">
        <v>49</v>
      </c>
      <c r="C22" s="4">
        <v>6</v>
      </c>
      <c r="D22" s="9">
        <v>226354.11</v>
      </c>
      <c r="E22" s="9">
        <v>247496.37</v>
      </c>
      <c r="F22" s="10" t="str">
        <f>IF(C22&lt;=fact_months,"",ROUND(D22*(1+Equalisation!$G$9/100)+IF(C22&gt;=equalisation_month,Equalisation!$F$9,0),2))</f>
        <v/>
      </c>
      <c r="G22" s="10">
        <f t="shared" si="0"/>
        <v>247496.37</v>
      </c>
      <c r="H22" s="10">
        <f t="shared" si="1"/>
        <v>21142.260000000009</v>
      </c>
      <c r="I22" s="14">
        <f t="shared" si="2"/>
        <v>9.3403472991941738E-2</v>
      </c>
      <c r="J22" s="10">
        <f t="shared" si="4"/>
        <v>130351.6</v>
      </c>
    </row>
    <row r="23" spans="1:10" x14ac:dyDescent="0.3">
      <c r="A23" s="4" t="s">
        <v>26</v>
      </c>
      <c r="B23" s="4" t="s">
        <v>50</v>
      </c>
      <c r="C23" s="4">
        <v>7</v>
      </c>
      <c r="D23" s="9">
        <v>224951.09</v>
      </c>
      <c r="E23" s="9">
        <v>245883.64</v>
      </c>
      <c r="F23" s="10" t="str">
        <f>IF(C23&lt;=fact_months,"",ROUND(D23*(1+Equalisation!$G$9/100)+IF(C23&gt;=equalisation_month,Equalisation!$F$9,0),2))</f>
        <v/>
      </c>
      <c r="G23" s="10">
        <f t="shared" si="0"/>
        <v>245883.64</v>
      </c>
      <c r="H23" s="10">
        <f t="shared" si="1"/>
        <v>20932.550000000017</v>
      </c>
      <c r="I23" s="14">
        <f t="shared" si="2"/>
        <v>9.3053783380200636E-2</v>
      </c>
      <c r="J23" s="10">
        <f t="shared" si="4"/>
        <v>151284.15000000002</v>
      </c>
    </row>
    <row r="24" spans="1:10" x14ac:dyDescent="0.3">
      <c r="A24" s="4" t="s">
        <v>26</v>
      </c>
      <c r="B24" s="4" t="s">
        <v>51</v>
      </c>
      <c r="C24" s="4">
        <v>8</v>
      </c>
      <c r="D24" s="9">
        <v>225418.77</v>
      </c>
      <c r="E24" s="9">
        <v>246561.5</v>
      </c>
      <c r="F24" s="10" t="str">
        <f>IF(C24&lt;=fact_months,"",ROUND(D24*(1+Equalisation!$G$9/100)+IF(C24&gt;=equalisation_month,Equalisation!$F$9,0),2))</f>
        <v/>
      </c>
      <c r="G24" s="10">
        <f t="shared" si="0"/>
        <v>246561.5</v>
      </c>
      <c r="H24" s="10">
        <f t="shared" si="1"/>
        <v>21142.73000000001</v>
      </c>
      <c r="I24" s="14">
        <f t="shared" si="2"/>
        <v>9.3793121131838367E-2</v>
      </c>
      <c r="J24" s="10">
        <f t="shared" si="4"/>
        <v>172426.88000000003</v>
      </c>
    </row>
    <row r="25" spans="1:10" x14ac:dyDescent="0.3">
      <c r="A25" s="4" t="s">
        <v>26</v>
      </c>
      <c r="B25" s="4" t="s">
        <v>52</v>
      </c>
      <c r="C25" s="4">
        <v>9</v>
      </c>
      <c r="D25" s="9">
        <v>230329.34</v>
      </c>
      <c r="E25" s="4"/>
      <c r="F25" s="10">
        <f>IF(C25&lt;=fact_months,"",ROUND(D25*(1+Equalisation!$G$9/100)+IF(C25&gt;=equalisation_month,Equalisation!$F$9,0),2))</f>
        <v>262446.38</v>
      </c>
      <c r="G25" s="10">
        <f t="shared" si="0"/>
        <v>262446.38</v>
      </c>
      <c r="H25" s="10">
        <f t="shared" si="1"/>
        <v>32117.040000000008</v>
      </c>
      <c r="I25" s="14">
        <f t="shared" si="2"/>
        <v>0.13943963891009287</v>
      </c>
      <c r="J25" s="10">
        <f t="shared" si="4"/>
        <v>204543.92000000004</v>
      </c>
    </row>
    <row r="26" spans="1:10" x14ac:dyDescent="0.3">
      <c r="A26" s="4" t="s">
        <v>26</v>
      </c>
      <c r="B26" s="4" t="s">
        <v>53</v>
      </c>
      <c r="C26" s="4">
        <v>10</v>
      </c>
      <c r="D26" s="9">
        <v>235239.92</v>
      </c>
      <c r="E26" s="4"/>
      <c r="F26" s="10">
        <f>IF(C26&lt;=fact_months,"",ROUND(D26*(1+Equalisation!$G$9/100)+IF(C26&gt;=equalisation_month,Equalisation!$F$9,0),2))</f>
        <v>267811.37</v>
      </c>
      <c r="G26" s="10">
        <f t="shared" si="0"/>
        <v>267811.37</v>
      </c>
      <c r="H26" s="10">
        <f t="shared" si="1"/>
        <v>32571.449999999983</v>
      </c>
      <c r="I26" s="14">
        <f t="shared" si="2"/>
        <v>0.13846055550435479</v>
      </c>
      <c r="J26" s="10">
        <f t="shared" si="4"/>
        <v>237115.37000000002</v>
      </c>
    </row>
    <row r="27" spans="1:10" x14ac:dyDescent="0.3">
      <c r="A27" s="4" t="s">
        <v>26</v>
      </c>
      <c r="B27" s="4" t="s">
        <v>54</v>
      </c>
      <c r="C27" s="4">
        <v>11</v>
      </c>
      <c r="D27" s="9">
        <v>237110.61</v>
      </c>
      <c r="E27" s="4"/>
      <c r="F27" s="10">
        <f>IF(C27&lt;=fact_months,"",ROUND(D27*(1+Equalisation!$G$9/100)+IF(C27&gt;=equalisation_month,Equalisation!$F$9,0),2))</f>
        <v>269855.15999999997</v>
      </c>
      <c r="G27" s="10">
        <f t="shared" si="0"/>
        <v>269855.15999999997</v>
      </c>
      <c r="H27" s="10">
        <f t="shared" si="1"/>
        <v>32744.549999999988</v>
      </c>
      <c r="I27" s="14">
        <f t="shared" si="2"/>
        <v>0.13809820657118629</v>
      </c>
      <c r="J27" s="10">
        <f t="shared" si="4"/>
        <v>269859.92000000004</v>
      </c>
    </row>
    <row r="28" spans="1:10" x14ac:dyDescent="0.3">
      <c r="A28" s="4" t="s">
        <v>26</v>
      </c>
      <c r="B28" s="4" t="s">
        <v>55</v>
      </c>
      <c r="C28" s="4">
        <v>12</v>
      </c>
      <c r="D28" s="9">
        <v>237344.45</v>
      </c>
      <c r="E28" s="4"/>
      <c r="F28" s="10">
        <f>IF(C28&lt;=fact_months,"",ROUND(D28*(1+Equalisation!$G$9/100)+IF(C28&gt;=equalisation_month,Equalisation!$F$9,0),2))</f>
        <v>270110.64</v>
      </c>
      <c r="G28" s="10">
        <f t="shared" si="0"/>
        <v>270110.64</v>
      </c>
      <c r="H28" s="10">
        <f t="shared" si="1"/>
        <v>32766.190000000002</v>
      </c>
      <c r="I28" s="14">
        <f t="shared" si="2"/>
        <v>0.13805332292370856</v>
      </c>
      <c r="J28" s="10">
        <f t="shared" si="4"/>
        <v>302626.11000000004</v>
      </c>
    </row>
    <row r="29" spans="1:10" x14ac:dyDescent="0.3">
      <c r="A29" s="4" t="s">
        <v>27</v>
      </c>
      <c r="B29" s="4" t="s">
        <v>44</v>
      </c>
      <c r="C29" s="4">
        <v>1</v>
      </c>
      <c r="D29" s="9">
        <v>228268.11</v>
      </c>
      <c r="E29" s="9">
        <v>231375.28</v>
      </c>
      <c r="F29" s="10" t="str">
        <f>IF(C29&lt;=fact_months,"",ROUND(D29*(1+Equalisation!$G$10/100)+IF(C29&gt;=equalisation_month,Equalisation!$F$10,0),2))</f>
        <v/>
      </c>
      <c r="G29" s="10">
        <f t="shared" si="0"/>
        <v>231375.28</v>
      </c>
      <c r="H29" s="10">
        <f t="shared" si="1"/>
        <v>3107.1700000000128</v>
      </c>
      <c r="I29" s="14">
        <f t="shared" si="2"/>
        <v>1.3611932039039588E-2</v>
      </c>
      <c r="J29" s="10">
        <f>H29</f>
        <v>3107.1700000000128</v>
      </c>
    </row>
    <row r="30" spans="1:10" x14ac:dyDescent="0.3">
      <c r="A30" s="4" t="s">
        <v>27</v>
      </c>
      <c r="B30" s="4" t="s">
        <v>45</v>
      </c>
      <c r="C30" s="4">
        <v>2</v>
      </c>
      <c r="D30" s="9">
        <v>227608.38</v>
      </c>
      <c r="E30" s="9">
        <v>230675.34</v>
      </c>
      <c r="F30" s="10" t="str">
        <f>IF(C30&lt;=fact_months,"",ROUND(D30*(1+Equalisation!$G$10/100)+IF(C30&gt;=equalisation_month,Equalisation!$F$10,0),2))</f>
        <v/>
      </c>
      <c r="G30" s="10">
        <f t="shared" si="0"/>
        <v>230675.34</v>
      </c>
      <c r="H30" s="10">
        <f t="shared" si="1"/>
        <v>3066.9599999999919</v>
      </c>
      <c r="I30" s="14">
        <f t="shared" si="2"/>
        <v>1.347472355806931E-2</v>
      </c>
      <c r="J30" s="10">
        <f t="shared" ref="J30:J40" si="5">J29+H30</f>
        <v>6174.1300000000047</v>
      </c>
    </row>
    <row r="31" spans="1:10" x14ac:dyDescent="0.3">
      <c r="A31" s="4" t="s">
        <v>27</v>
      </c>
      <c r="B31" s="4" t="s">
        <v>46</v>
      </c>
      <c r="C31" s="4">
        <v>3</v>
      </c>
      <c r="D31" s="9">
        <v>224749.53</v>
      </c>
      <c r="E31" s="9">
        <v>227510.09</v>
      </c>
      <c r="F31" s="10" t="str">
        <f>IF(C31&lt;=fact_months,"",ROUND(D31*(1+Equalisation!$G$10/100)+IF(C31&gt;=equalisation_month,Equalisation!$F$10,0),2))</f>
        <v/>
      </c>
      <c r="G31" s="10">
        <f t="shared" si="0"/>
        <v>227510.09</v>
      </c>
      <c r="H31" s="10">
        <f t="shared" si="1"/>
        <v>2760.5599999999977</v>
      </c>
      <c r="I31" s="14">
        <f t="shared" si="2"/>
        <v>1.2282828800576347E-2</v>
      </c>
      <c r="J31" s="10">
        <f t="shared" si="5"/>
        <v>8934.6900000000023</v>
      </c>
    </row>
    <row r="32" spans="1:10" x14ac:dyDescent="0.3">
      <c r="A32" s="4" t="s">
        <v>27</v>
      </c>
      <c r="B32" s="4" t="s">
        <v>47</v>
      </c>
      <c r="C32" s="4">
        <v>4</v>
      </c>
      <c r="D32" s="9">
        <v>221011.03</v>
      </c>
      <c r="E32" s="9">
        <v>224034.68</v>
      </c>
      <c r="F32" s="10" t="str">
        <f>IF(C32&lt;=fact_months,"",ROUND(D32*(1+Equalisation!$G$10/100)+IF(C32&gt;=equalisation_month,Equalisation!$F$10,0),2))</f>
        <v/>
      </c>
      <c r="G32" s="10">
        <f t="shared" si="0"/>
        <v>224034.68</v>
      </c>
      <c r="H32" s="10">
        <f t="shared" si="1"/>
        <v>3023.6499999999942</v>
      </c>
      <c r="I32" s="14">
        <f t="shared" si="2"/>
        <v>1.3680991396673706E-2</v>
      </c>
      <c r="J32" s="10">
        <f t="shared" si="5"/>
        <v>11958.339999999997</v>
      </c>
    </row>
    <row r="33" spans="1:10" x14ac:dyDescent="0.3">
      <c r="A33" s="4" t="s">
        <v>27</v>
      </c>
      <c r="B33" s="4" t="s">
        <v>48</v>
      </c>
      <c r="C33" s="4">
        <v>5</v>
      </c>
      <c r="D33" s="9">
        <v>216832.72</v>
      </c>
      <c r="E33" s="9">
        <v>219772.95</v>
      </c>
      <c r="F33" s="10" t="str">
        <f>IF(C33&lt;=fact_months,"",ROUND(D33*(1+Equalisation!$G$10/100)+IF(C33&gt;=equalisation_month,Equalisation!$F$10,0),2))</f>
        <v/>
      </c>
      <c r="G33" s="10">
        <f t="shared" si="0"/>
        <v>219772.95</v>
      </c>
      <c r="H33" s="10">
        <f t="shared" si="1"/>
        <v>2940.2300000000105</v>
      </c>
      <c r="I33" s="14">
        <f t="shared" si="2"/>
        <v>1.3559900000332102E-2</v>
      </c>
      <c r="J33" s="10">
        <f t="shared" si="5"/>
        <v>14898.570000000007</v>
      </c>
    </row>
    <row r="34" spans="1:10" x14ac:dyDescent="0.3">
      <c r="A34" s="4" t="s">
        <v>27</v>
      </c>
      <c r="B34" s="4" t="s">
        <v>49</v>
      </c>
      <c r="C34" s="4">
        <v>6</v>
      </c>
      <c r="D34" s="9">
        <v>212874.31</v>
      </c>
      <c r="E34" s="9">
        <v>216005.13</v>
      </c>
      <c r="F34" s="10" t="str">
        <f>IF(C34&lt;=fact_months,"",ROUND(D34*(1+Equalisation!$G$10/100)+IF(C34&gt;=equalisation_month,Equalisation!$F$10,0),2))</f>
        <v/>
      </c>
      <c r="G34" s="10">
        <f t="shared" si="0"/>
        <v>216005.13</v>
      </c>
      <c r="H34" s="10">
        <f t="shared" si="1"/>
        <v>3130.820000000007</v>
      </c>
      <c r="I34" s="14">
        <f t="shared" si="2"/>
        <v>1.4707364171843972E-2</v>
      </c>
      <c r="J34" s="10">
        <f t="shared" si="5"/>
        <v>18029.390000000014</v>
      </c>
    </row>
    <row r="35" spans="1:10" x14ac:dyDescent="0.3">
      <c r="A35" s="4" t="s">
        <v>27</v>
      </c>
      <c r="B35" s="4" t="s">
        <v>50</v>
      </c>
      <c r="C35" s="4">
        <v>7</v>
      </c>
      <c r="D35" s="9">
        <v>211554.84</v>
      </c>
      <c r="E35" s="9">
        <v>214050.87</v>
      </c>
      <c r="F35" s="10" t="str">
        <f>IF(C35&lt;=fact_months,"",ROUND(D35*(1+Equalisation!$G$10/100)+IF(C35&gt;=equalisation_month,Equalisation!$F$10,0),2))</f>
        <v/>
      </c>
      <c r="G35" s="10">
        <f t="shared" si="0"/>
        <v>214050.87</v>
      </c>
      <c r="H35" s="10">
        <f t="shared" si="1"/>
        <v>2496.0299999999988</v>
      </c>
      <c r="I35" s="14">
        <f t="shared" si="2"/>
        <v>1.1798501041148475E-2</v>
      </c>
      <c r="J35" s="10">
        <f t="shared" si="5"/>
        <v>20525.420000000013</v>
      </c>
    </row>
    <row r="36" spans="1:10" x14ac:dyDescent="0.3">
      <c r="A36" s="4" t="s">
        <v>27</v>
      </c>
      <c r="B36" s="4" t="s">
        <v>51</v>
      </c>
      <c r="C36" s="4">
        <v>8</v>
      </c>
      <c r="D36" s="9">
        <v>211994.66</v>
      </c>
      <c r="E36" s="9">
        <v>214730.95</v>
      </c>
      <c r="F36" s="10" t="str">
        <f>IF(C36&lt;=fact_months,"",ROUND(D36*(1+Equalisation!$G$10/100)+IF(C36&gt;=equalisation_month,Equalisation!$F$10,0),2))</f>
        <v/>
      </c>
      <c r="G36" s="10">
        <f t="shared" si="0"/>
        <v>214730.95</v>
      </c>
      <c r="H36" s="10">
        <f t="shared" si="1"/>
        <v>2736.2900000000081</v>
      </c>
      <c r="I36" s="14">
        <f t="shared" si="2"/>
        <v>1.2907353421072059E-2</v>
      </c>
      <c r="J36" s="10">
        <f t="shared" si="5"/>
        <v>23261.710000000021</v>
      </c>
    </row>
    <row r="37" spans="1:10" x14ac:dyDescent="0.3">
      <c r="A37" s="4" t="s">
        <v>27</v>
      </c>
      <c r="B37" s="4" t="s">
        <v>52</v>
      </c>
      <c r="C37" s="4">
        <v>9</v>
      </c>
      <c r="D37" s="9">
        <v>216612.8</v>
      </c>
      <c r="E37" s="4"/>
      <c r="F37" s="10">
        <f>IF(C37&lt;=fact_months,"",ROUND(D37*(1+Equalisation!$G$10/100)+IF(C37&gt;=equalisation_month,Equalisation!$F$10,0),2))</f>
        <v>221266.48</v>
      </c>
      <c r="G37" s="10">
        <f t="shared" ref="G37:G68" si="6">IF(C37&lt;=fact_months,E37,F37)</f>
        <v>221266.48</v>
      </c>
      <c r="H37" s="10">
        <f t="shared" ref="H37:H68" si="7">G37-D37</f>
        <v>4653.6800000000221</v>
      </c>
      <c r="I37" s="14">
        <f t="shared" ref="I37:I68" si="8">IF(D37=0,"",H37/D37)</f>
        <v>2.1483864296108181E-2</v>
      </c>
      <c r="J37" s="10">
        <f t="shared" si="5"/>
        <v>27915.390000000043</v>
      </c>
    </row>
    <row r="38" spans="1:10" x14ac:dyDescent="0.3">
      <c r="A38" s="4" t="s">
        <v>27</v>
      </c>
      <c r="B38" s="4" t="s">
        <v>53</v>
      </c>
      <c r="C38" s="4">
        <v>10</v>
      </c>
      <c r="D38" s="9">
        <v>221230.95</v>
      </c>
      <c r="E38" s="4"/>
      <c r="F38" s="10">
        <f>IF(C38&lt;=fact_months,"",ROUND(D38*(1+Equalisation!$G$10/100)+IF(C38&gt;=equalisation_month,Equalisation!$F$10,0),2))</f>
        <v>225945.93</v>
      </c>
      <c r="G38" s="10">
        <f t="shared" si="6"/>
        <v>225945.93</v>
      </c>
      <c r="H38" s="10">
        <f t="shared" si="7"/>
        <v>4714.9799999999814</v>
      </c>
      <c r="I38" s="14">
        <f t="shared" si="8"/>
        <v>2.1312479108370603E-2</v>
      </c>
      <c r="J38" s="10">
        <f t="shared" si="5"/>
        <v>32630.370000000024</v>
      </c>
    </row>
    <row r="39" spans="1:10" x14ac:dyDescent="0.3">
      <c r="A39" s="4" t="s">
        <v>27</v>
      </c>
      <c r="B39" s="4" t="s">
        <v>54</v>
      </c>
      <c r="C39" s="4">
        <v>11</v>
      </c>
      <c r="D39" s="9">
        <v>222990.24</v>
      </c>
      <c r="E39" s="4"/>
      <c r="F39" s="10">
        <f>IF(C39&lt;=fact_months,"",ROUND(D39*(1+Equalisation!$G$10/100)+IF(C39&gt;=equalisation_month,Equalisation!$F$10,0),2))</f>
        <v>227728.58</v>
      </c>
      <c r="G39" s="10">
        <f t="shared" si="6"/>
        <v>227728.58</v>
      </c>
      <c r="H39" s="10">
        <f t="shared" si="7"/>
        <v>4738.3399999999965</v>
      </c>
      <c r="I39" s="14">
        <f t="shared" si="8"/>
        <v>2.1249091440055837E-2</v>
      </c>
      <c r="J39" s="10">
        <f t="shared" si="5"/>
        <v>37368.710000000021</v>
      </c>
    </row>
    <row r="40" spans="1:10" x14ac:dyDescent="0.3">
      <c r="A40" s="4" t="s">
        <v>27</v>
      </c>
      <c r="B40" s="4" t="s">
        <v>55</v>
      </c>
      <c r="C40" s="4">
        <v>12</v>
      </c>
      <c r="D40" s="9">
        <v>223210.15</v>
      </c>
      <c r="E40" s="4"/>
      <c r="F40" s="10">
        <f>IF(C40&lt;=fact_months,"",ROUND(D40*(1+Equalisation!$G$10/100)+IF(C40&gt;=equalisation_month,Equalisation!$F$10,0),2))</f>
        <v>227951.41</v>
      </c>
      <c r="G40" s="10">
        <f t="shared" si="6"/>
        <v>227951.41</v>
      </c>
      <c r="H40" s="10">
        <f t="shared" si="7"/>
        <v>4741.2600000000093</v>
      </c>
      <c r="I40" s="14">
        <f t="shared" si="8"/>
        <v>2.1241238357664335E-2</v>
      </c>
      <c r="J40" s="10">
        <f t="shared" si="5"/>
        <v>42109.97000000003</v>
      </c>
    </row>
    <row r="41" spans="1:10" x14ac:dyDescent="0.3">
      <c r="A41" s="4" t="s">
        <v>28</v>
      </c>
      <c r="B41" s="4" t="s">
        <v>44</v>
      </c>
      <c r="C41" s="4">
        <v>1</v>
      </c>
      <c r="D41" s="9">
        <v>218080.32</v>
      </c>
      <c r="E41" s="9">
        <v>223330.68</v>
      </c>
      <c r="F41" s="10" t="str">
        <f>IF(C41&lt;=fact_months,"",ROUND(D41*(1+Equalisation!$G$11/100)+IF(C41&gt;=equalisation_month,Equalisation!$F$11,0),2))</f>
        <v/>
      </c>
      <c r="G41" s="10">
        <f t="shared" si="6"/>
        <v>223330.68</v>
      </c>
      <c r="H41" s="10">
        <f t="shared" si="7"/>
        <v>5250.359999999986</v>
      </c>
      <c r="I41" s="14">
        <f t="shared" si="8"/>
        <v>2.4075349852751435E-2</v>
      </c>
      <c r="J41" s="10">
        <f>H41</f>
        <v>5250.359999999986</v>
      </c>
    </row>
    <row r="42" spans="1:10" x14ac:dyDescent="0.3">
      <c r="A42" s="4" t="s">
        <v>28</v>
      </c>
      <c r="B42" s="4" t="s">
        <v>45</v>
      </c>
      <c r="C42" s="4">
        <v>2</v>
      </c>
      <c r="D42" s="9">
        <v>217450.03</v>
      </c>
      <c r="E42" s="9">
        <v>222415.48</v>
      </c>
      <c r="F42" s="10" t="str">
        <f>IF(C42&lt;=fact_months,"",ROUND(D42*(1+Equalisation!$G$11/100)+IF(C42&gt;=equalisation_month,Equalisation!$F$11,0),2))</f>
        <v/>
      </c>
      <c r="G42" s="10">
        <f t="shared" si="6"/>
        <v>222415.48</v>
      </c>
      <c r="H42" s="10">
        <f t="shared" si="7"/>
        <v>4965.4500000000116</v>
      </c>
      <c r="I42" s="14">
        <f t="shared" si="8"/>
        <v>2.2834901425398801E-2</v>
      </c>
      <c r="J42" s="10">
        <f t="shared" ref="J42:J52" si="9">J41+H42</f>
        <v>10215.809999999998</v>
      </c>
    </row>
    <row r="43" spans="1:10" x14ac:dyDescent="0.3">
      <c r="A43" s="4" t="s">
        <v>28</v>
      </c>
      <c r="B43" s="4" t="s">
        <v>46</v>
      </c>
      <c r="C43" s="4">
        <v>3</v>
      </c>
      <c r="D43" s="9">
        <v>214718.77</v>
      </c>
      <c r="E43" s="9">
        <v>220091.97</v>
      </c>
      <c r="F43" s="10" t="str">
        <f>IF(C43&lt;=fact_months,"",ROUND(D43*(1+Equalisation!$G$11/100)+IF(C43&gt;=equalisation_month,Equalisation!$F$11,0),2))</f>
        <v/>
      </c>
      <c r="G43" s="10">
        <f t="shared" si="6"/>
        <v>220091.97</v>
      </c>
      <c r="H43" s="10">
        <f t="shared" si="7"/>
        <v>5373.2000000000116</v>
      </c>
      <c r="I43" s="14">
        <f t="shared" si="8"/>
        <v>2.5024360935003549E-2</v>
      </c>
      <c r="J43" s="10">
        <f t="shared" si="9"/>
        <v>15589.010000000009</v>
      </c>
    </row>
    <row r="44" spans="1:10" x14ac:dyDescent="0.3">
      <c r="A44" s="4" t="s">
        <v>28</v>
      </c>
      <c r="B44" s="4" t="s">
        <v>47</v>
      </c>
      <c r="C44" s="4">
        <v>4</v>
      </c>
      <c r="D44" s="9">
        <v>211147.13</v>
      </c>
      <c r="E44" s="9">
        <v>215942.53</v>
      </c>
      <c r="F44" s="10" t="str">
        <f>IF(C44&lt;=fact_months,"",ROUND(D44*(1+Equalisation!$G$11/100)+IF(C44&gt;=equalisation_month,Equalisation!$F$11,0),2))</f>
        <v/>
      </c>
      <c r="G44" s="10">
        <f t="shared" si="6"/>
        <v>215942.53</v>
      </c>
      <c r="H44" s="10">
        <f t="shared" si="7"/>
        <v>4795.3999999999942</v>
      </c>
      <c r="I44" s="14">
        <f t="shared" si="8"/>
        <v>2.2711177746057899E-2</v>
      </c>
      <c r="J44" s="10">
        <f t="shared" si="9"/>
        <v>20384.410000000003</v>
      </c>
    </row>
    <row r="45" spans="1:10" x14ac:dyDescent="0.3">
      <c r="A45" s="4" t="s">
        <v>28</v>
      </c>
      <c r="B45" s="4" t="s">
        <v>48</v>
      </c>
      <c r="C45" s="4">
        <v>5</v>
      </c>
      <c r="D45" s="9">
        <v>207155.29</v>
      </c>
      <c r="E45" s="9">
        <v>212011.11</v>
      </c>
      <c r="F45" s="10" t="str">
        <f>IF(C45&lt;=fact_months,"",ROUND(D45*(1+Equalisation!$G$11/100)+IF(C45&gt;=equalisation_month,Equalisation!$F$11,0),2))</f>
        <v/>
      </c>
      <c r="G45" s="10">
        <f t="shared" si="6"/>
        <v>212011.11</v>
      </c>
      <c r="H45" s="10">
        <f t="shared" si="7"/>
        <v>4855.8199999999779</v>
      </c>
      <c r="I45" s="14">
        <f t="shared" si="8"/>
        <v>2.3440482741232328E-2</v>
      </c>
      <c r="J45" s="10">
        <f t="shared" si="9"/>
        <v>25240.229999999981</v>
      </c>
    </row>
    <row r="46" spans="1:10" x14ac:dyDescent="0.3">
      <c r="A46" s="4" t="s">
        <v>28</v>
      </c>
      <c r="B46" s="4" t="s">
        <v>49</v>
      </c>
      <c r="C46" s="4">
        <v>6</v>
      </c>
      <c r="D46" s="9">
        <v>203373.55</v>
      </c>
      <c r="E46" s="9">
        <v>208166.37</v>
      </c>
      <c r="F46" s="10" t="str">
        <f>IF(C46&lt;=fact_months,"",ROUND(D46*(1+Equalisation!$G$11/100)+IF(C46&gt;=equalisation_month,Equalisation!$F$11,0),2))</f>
        <v/>
      </c>
      <c r="G46" s="10">
        <f t="shared" si="6"/>
        <v>208166.37</v>
      </c>
      <c r="H46" s="10">
        <f t="shared" si="7"/>
        <v>4792.820000000007</v>
      </c>
      <c r="I46" s="14">
        <f t="shared" si="8"/>
        <v>2.3566584740247722E-2</v>
      </c>
      <c r="J46" s="10">
        <f t="shared" si="9"/>
        <v>30033.049999999988</v>
      </c>
    </row>
    <row r="47" spans="1:10" x14ac:dyDescent="0.3">
      <c r="A47" s="4" t="s">
        <v>28</v>
      </c>
      <c r="B47" s="4" t="s">
        <v>50</v>
      </c>
      <c r="C47" s="4">
        <v>7</v>
      </c>
      <c r="D47" s="9">
        <v>202112.97</v>
      </c>
      <c r="E47" s="9">
        <v>206774.17</v>
      </c>
      <c r="F47" s="10" t="str">
        <f>IF(C47&lt;=fact_months,"",ROUND(D47*(1+Equalisation!$G$11/100)+IF(C47&gt;=equalisation_month,Equalisation!$F$11,0),2))</f>
        <v/>
      </c>
      <c r="G47" s="10">
        <f t="shared" si="6"/>
        <v>206774.17</v>
      </c>
      <c r="H47" s="10">
        <f t="shared" si="7"/>
        <v>4661.2000000000116</v>
      </c>
      <c r="I47" s="14">
        <f t="shared" si="8"/>
        <v>2.3062349734408492E-2</v>
      </c>
      <c r="J47" s="10">
        <f t="shared" si="9"/>
        <v>34694.25</v>
      </c>
    </row>
    <row r="48" spans="1:10" x14ac:dyDescent="0.3">
      <c r="A48" s="4" t="s">
        <v>28</v>
      </c>
      <c r="B48" s="4" t="s">
        <v>51</v>
      </c>
      <c r="C48" s="4">
        <v>8</v>
      </c>
      <c r="D48" s="9">
        <v>202533.16</v>
      </c>
      <c r="E48" s="9">
        <v>207573.4</v>
      </c>
      <c r="F48" s="10" t="str">
        <f>IF(C48&lt;=fact_months,"",ROUND(D48*(1+Equalisation!$G$11/100)+IF(C48&gt;=equalisation_month,Equalisation!$F$11,0),2))</f>
        <v/>
      </c>
      <c r="G48" s="10">
        <f t="shared" si="6"/>
        <v>207573.4</v>
      </c>
      <c r="H48" s="10">
        <f t="shared" si="7"/>
        <v>5040.2399999999907</v>
      </c>
      <c r="I48" s="14">
        <f t="shared" si="8"/>
        <v>2.4885998914943069E-2</v>
      </c>
      <c r="J48" s="10">
        <f t="shared" si="9"/>
        <v>39734.489999999991</v>
      </c>
    </row>
    <row r="49" spans="1:10" x14ac:dyDescent="0.3">
      <c r="A49" s="4" t="s">
        <v>28</v>
      </c>
      <c r="B49" s="4" t="s">
        <v>52</v>
      </c>
      <c r="C49" s="4">
        <v>9</v>
      </c>
      <c r="D49" s="9">
        <v>206945.19</v>
      </c>
      <c r="E49" s="4"/>
      <c r="F49" s="10">
        <f>IF(C49&lt;=fact_months,"",ROUND(D49*(1+Equalisation!$G$11/100)+IF(C49&gt;=equalisation_month,Equalisation!$F$11,0),2))</f>
        <v>219050.36</v>
      </c>
      <c r="G49" s="10">
        <f t="shared" si="6"/>
        <v>219050.36</v>
      </c>
      <c r="H49" s="10">
        <f t="shared" si="7"/>
        <v>12105.169999999984</v>
      </c>
      <c r="I49" s="14">
        <f t="shared" si="8"/>
        <v>5.8494570470567511E-2</v>
      </c>
      <c r="J49" s="10">
        <f t="shared" si="9"/>
        <v>51839.659999999974</v>
      </c>
    </row>
    <row r="50" spans="1:10" x14ac:dyDescent="0.3">
      <c r="A50" s="4" t="s">
        <v>28</v>
      </c>
      <c r="B50" s="4" t="s">
        <v>53</v>
      </c>
      <c r="C50" s="4">
        <v>10</v>
      </c>
      <c r="D50" s="9">
        <v>211357.22</v>
      </c>
      <c r="E50" s="4"/>
      <c r="F50" s="10">
        <f>IF(C50&lt;=fact_months,"",ROUND(D50*(1+Equalisation!$G$11/100)+IF(C50&gt;=equalisation_month,Equalisation!$F$11,0),2))</f>
        <v>223566.33</v>
      </c>
      <c r="G50" s="10">
        <f t="shared" si="6"/>
        <v>223566.33</v>
      </c>
      <c r="H50" s="10">
        <f t="shared" si="7"/>
        <v>12209.109999999986</v>
      </c>
      <c r="I50" s="14">
        <f t="shared" si="8"/>
        <v>5.776528476292405E-2</v>
      </c>
      <c r="J50" s="10">
        <f t="shared" si="9"/>
        <v>64048.76999999996</v>
      </c>
    </row>
    <row r="51" spans="1:10" x14ac:dyDescent="0.3">
      <c r="A51" s="4" t="s">
        <v>28</v>
      </c>
      <c r="B51" s="4" t="s">
        <v>54</v>
      </c>
      <c r="C51" s="4">
        <v>11</v>
      </c>
      <c r="D51" s="9">
        <v>213038</v>
      </c>
      <c r="E51" s="4"/>
      <c r="F51" s="10">
        <f>IF(C51&lt;=fact_months,"",ROUND(D51*(1+Equalisation!$G$11/100)+IF(C51&gt;=equalisation_month,Equalisation!$F$11,0),2))</f>
        <v>225286.7</v>
      </c>
      <c r="G51" s="10">
        <f t="shared" si="6"/>
        <v>225286.7</v>
      </c>
      <c r="H51" s="10">
        <f t="shared" si="7"/>
        <v>12248.700000000012</v>
      </c>
      <c r="I51" s="14">
        <f t="shared" si="8"/>
        <v>5.7495376411720027E-2</v>
      </c>
      <c r="J51" s="10">
        <f t="shared" si="9"/>
        <v>76297.469999999972</v>
      </c>
    </row>
    <row r="52" spans="1:10" x14ac:dyDescent="0.3">
      <c r="A52" s="4" t="s">
        <v>28</v>
      </c>
      <c r="B52" s="4" t="s">
        <v>55</v>
      </c>
      <c r="C52" s="4">
        <v>12</v>
      </c>
      <c r="D52" s="9">
        <v>213248.09</v>
      </c>
      <c r="E52" s="4"/>
      <c r="F52" s="10">
        <f>IF(C52&lt;=fact_months,"",ROUND(D52*(1+Equalisation!$G$11/100)+IF(C52&gt;=equalisation_month,Equalisation!$F$11,0),2))</f>
        <v>225501.74</v>
      </c>
      <c r="G52" s="10">
        <f t="shared" si="6"/>
        <v>225501.74</v>
      </c>
      <c r="H52" s="10">
        <f t="shared" si="7"/>
        <v>12253.649999999994</v>
      </c>
      <c r="I52" s="14">
        <f t="shared" si="8"/>
        <v>5.7461944911206445E-2</v>
      </c>
      <c r="J52" s="10">
        <f t="shared" si="9"/>
        <v>88551.119999999966</v>
      </c>
    </row>
    <row r="53" spans="1:10" x14ac:dyDescent="0.3">
      <c r="A53" s="4" t="s">
        <v>29</v>
      </c>
      <c r="B53" s="4" t="s">
        <v>44</v>
      </c>
      <c r="C53" s="4">
        <v>1</v>
      </c>
      <c r="D53" s="9">
        <v>201149.39</v>
      </c>
      <c r="E53" s="9">
        <v>206028.79</v>
      </c>
      <c r="F53" s="10" t="str">
        <f>IF(C53&lt;=fact_months,"",ROUND(D53*(1+Equalisation!$G$12/100)+IF(C53&gt;=equalisation_month,Equalisation!$F$12,0),2))</f>
        <v/>
      </c>
      <c r="G53" s="10">
        <f t="shared" si="6"/>
        <v>206028.79</v>
      </c>
      <c r="H53" s="10">
        <f t="shared" si="7"/>
        <v>4879.3999999999942</v>
      </c>
      <c r="I53" s="14">
        <f t="shared" si="8"/>
        <v>2.4257592826903398E-2</v>
      </c>
      <c r="J53" s="10">
        <f>H53</f>
        <v>4879.3999999999942</v>
      </c>
    </row>
    <row r="54" spans="1:10" x14ac:dyDescent="0.3">
      <c r="A54" s="4" t="s">
        <v>29</v>
      </c>
      <c r="B54" s="4" t="s">
        <v>45</v>
      </c>
      <c r="C54" s="4">
        <v>2</v>
      </c>
      <c r="D54" s="9">
        <v>200568.03</v>
      </c>
      <c r="E54" s="9">
        <v>205554.38</v>
      </c>
      <c r="F54" s="10" t="str">
        <f>IF(C54&lt;=fact_months,"",ROUND(D54*(1+Equalisation!$G$12/100)+IF(C54&gt;=equalisation_month,Equalisation!$F$12,0),2))</f>
        <v/>
      </c>
      <c r="G54" s="10">
        <f t="shared" si="6"/>
        <v>205554.38</v>
      </c>
      <c r="H54" s="10">
        <f t="shared" si="7"/>
        <v>4986.3500000000058</v>
      </c>
      <c r="I54" s="14">
        <f t="shared" si="8"/>
        <v>2.4861140631435658E-2</v>
      </c>
      <c r="J54" s="10">
        <f t="shared" ref="J54:J64" si="10">J53+H54</f>
        <v>9865.75</v>
      </c>
    </row>
    <row r="55" spans="1:10" x14ac:dyDescent="0.3">
      <c r="A55" s="4" t="s">
        <v>29</v>
      </c>
      <c r="B55" s="4" t="s">
        <v>46</v>
      </c>
      <c r="C55" s="4">
        <v>3</v>
      </c>
      <c r="D55" s="9">
        <v>198048.82</v>
      </c>
      <c r="E55" s="9">
        <v>202930.76</v>
      </c>
      <c r="F55" s="10" t="str">
        <f>IF(C55&lt;=fact_months,"",ROUND(D55*(1+Equalisation!$G$12/100)+IF(C55&gt;=equalisation_month,Equalisation!$F$12,0),2))</f>
        <v/>
      </c>
      <c r="G55" s="10">
        <f t="shared" si="6"/>
        <v>202930.76</v>
      </c>
      <c r="H55" s="10">
        <f t="shared" si="7"/>
        <v>4881.9400000000023</v>
      </c>
      <c r="I55" s="14">
        <f t="shared" si="8"/>
        <v>2.4650184737278424E-2</v>
      </c>
      <c r="J55" s="10">
        <f t="shared" si="10"/>
        <v>14747.690000000002</v>
      </c>
    </row>
    <row r="56" spans="1:10" x14ac:dyDescent="0.3">
      <c r="A56" s="4" t="s">
        <v>29</v>
      </c>
      <c r="B56" s="4" t="s">
        <v>47</v>
      </c>
      <c r="C56" s="4">
        <v>4</v>
      </c>
      <c r="D56" s="9">
        <v>194754.46</v>
      </c>
      <c r="E56" s="9">
        <v>199716.9</v>
      </c>
      <c r="F56" s="10" t="str">
        <f>IF(C56&lt;=fact_months,"",ROUND(D56*(1+Equalisation!$G$12/100)+IF(C56&gt;=equalisation_month,Equalisation!$F$12,0),2))</f>
        <v/>
      </c>
      <c r="G56" s="10">
        <f t="shared" si="6"/>
        <v>199716.9</v>
      </c>
      <c r="H56" s="10">
        <f t="shared" si="7"/>
        <v>4962.4400000000023</v>
      </c>
      <c r="I56" s="14">
        <f t="shared" si="8"/>
        <v>2.5480494772751303E-2</v>
      </c>
      <c r="J56" s="10">
        <f t="shared" si="10"/>
        <v>19710.130000000005</v>
      </c>
    </row>
    <row r="57" spans="1:10" x14ac:dyDescent="0.3">
      <c r="A57" s="4" t="s">
        <v>29</v>
      </c>
      <c r="B57" s="4" t="s">
        <v>48</v>
      </c>
      <c r="C57" s="4">
        <v>5</v>
      </c>
      <c r="D57" s="9">
        <v>191072.54</v>
      </c>
      <c r="E57" s="9">
        <v>195939</v>
      </c>
      <c r="F57" s="10" t="str">
        <f>IF(C57&lt;=fact_months,"",ROUND(D57*(1+Equalisation!$G$12/100)+IF(C57&gt;=equalisation_month,Equalisation!$F$12,0),2))</f>
        <v/>
      </c>
      <c r="G57" s="10">
        <f t="shared" si="6"/>
        <v>195939</v>
      </c>
      <c r="H57" s="10">
        <f t="shared" si="7"/>
        <v>4866.4599999999919</v>
      </c>
      <c r="I57" s="14">
        <f t="shared" si="8"/>
        <v>2.5469175214816276E-2</v>
      </c>
      <c r="J57" s="10">
        <f t="shared" si="10"/>
        <v>24576.589999999997</v>
      </c>
    </row>
    <row r="58" spans="1:10" x14ac:dyDescent="0.3">
      <c r="A58" s="4" t="s">
        <v>29</v>
      </c>
      <c r="B58" s="4" t="s">
        <v>49</v>
      </c>
      <c r="C58" s="4">
        <v>6</v>
      </c>
      <c r="D58" s="9">
        <v>187584.4</v>
      </c>
      <c r="E58" s="9">
        <v>192322.3</v>
      </c>
      <c r="F58" s="10" t="str">
        <f>IF(C58&lt;=fact_months,"",ROUND(D58*(1+Equalisation!$G$12/100)+IF(C58&gt;=equalisation_month,Equalisation!$F$12,0),2))</f>
        <v/>
      </c>
      <c r="G58" s="10">
        <f t="shared" si="6"/>
        <v>192322.3</v>
      </c>
      <c r="H58" s="10">
        <f t="shared" si="7"/>
        <v>4737.8999999999942</v>
      </c>
      <c r="I58" s="14">
        <f t="shared" si="8"/>
        <v>2.5257430788487713E-2</v>
      </c>
      <c r="J58" s="10">
        <f t="shared" si="10"/>
        <v>29314.489999999991</v>
      </c>
    </row>
    <row r="59" spans="1:10" x14ac:dyDescent="0.3">
      <c r="A59" s="4" t="s">
        <v>29</v>
      </c>
      <c r="B59" s="4" t="s">
        <v>50</v>
      </c>
      <c r="C59" s="4">
        <v>7</v>
      </c>
      <c r="D59" s="9">
        <v>186421.68</v>
      </c>
      <c r="E59" s="9">
        <v>191051.81</v>
      </c>
      <c r="F59" s="10" t="str">
        <f>IF(C59&lt;=fact_months,"",ROUND(D59*(1+Equalisation!$G$12/100)+IF(C59&gt;=equalisation_month,Equalisation!$F$12,0),2))</f>
        <v/>
      </c>
      <c r="G59" s="10">
        <f t="shared" si="6"/>
        <v>191051.81</v>
      </c>
      <c r="H59" s="10">
        <f t="shared" si="7"/>
        <v>4630.1300000000047</v>
      </c>
      <c r="I59" s="14">
        <f t="shared" si="8"/>
        <v>2.4836864467694984E-2</v>
      </c>
      <c r="J59" s="10">
        <f t="shared" si="10"/>
        <v>33944.619999999995</v>
      </c>
    </row>
    <row r="60" spans="1:10" x14ac:dyDescent="0.3">
      <c r="A60" s="4" t="s">
        <v>29</v>
      </c>
      <c r="B60" s="4" t="s">
        <v>51</v>
      </c>
      <c r="C60" s="4">
        <v>8</v>
      </c>
      <c r="D60" s="9">
        <v>186809.26</v>
      </c>
      <c r="E60" s="9">
        <v>191091.16</v>
      </c>
      <c r="F60" s="10" t="str">
        <f>IF(C60&lt;=fact_months,"",ROUND(D60*(1+Equalisation!$G$12/100)+IF(C60&gt;=equalisation_month,Equalisation!$F$12,0),2))</f>
        <v/>
      </c>
      <c r="G60" s="10">
        <f t="shared" si="6"/>
        <v>191091.16</v>
      </c>
      <c r="H60" s="10">
        <f t="shared" si="7"/>
        <v>4281.8999999999942</v>
      </c>
      <c r="I60" s="14">
        <f t="shared" si="8"/>
        <v>2.2921240628007381E-2</v>
      </c>
      <c r="J60" s="10">
        <f t="shared" si="10"/>
        <v>38226.51999999999</v>
      </c>
    </row>
    <row r="61" spans="1:10" x14ac:dyDescent="0.3">
      <c r="A61" s="4" t="s">
        <v>29</v>
      </c>
      <c r="B61" s="4" t="s">
        <v>52</v>
      </c>
      <c r="C61" s="4">
        <v>9</v>
      </c>
      <c r="D61" s="9">
        <v>190878.75</v>
      </c>
      <c r="E61" s="4"/>
      <c r="F61" s="10">
        <f>IF(C61&lt;=fact_months,"",ROUND(D61*(1+Equalisation!$G$12/100)+IF(C61&gt;=equalisation_month,Equalisation!$F$12,0),2))</f>
        <v>195522.81</v>
      </c>
      <c r="G61" s="10">
        <f t="shared" si="6"/>
        <v>195522.81</v>
      </c>
      <c r="H61" s="10">
        <f t="shared" si="7"/>
        <v>4644.0599999999977</v>
      </c>
      <c r="I61" s="14">
        <f t="shared" si="8"/>
        <v>2.4329895286929519E-2</v>
      </c>
      <c r="J61" s="10">
        <f t="shared" si="10"/>
        <v>42870.579999999987</v>
      </c>
    </row>
    <row r="62" spans="1:10" x14ac:dyDescent="0.3">
      <c r="A62" s="4" t="s">
        <v>29</v>
      </c>
      <c r="B62" s="4" t="s">
        <v>53</v>
      </c>
      <c r="C62" s="4">
        <v>10</v>
      </c>
      <c r="D62" s="9">
        <v>194948.25</v>
      </c>
      <c r="E62" s="4"/>
      <c r="F62" s="10">
        <f>IF(C62&lt;=fact_months,"",ROUND(D62*(1+Equalisation!$G$12/100)+IF(C62&gt;=equalisation_month,Equalisation!$F$12,0),2))</f>
        <v>199691.32</v>
      </c>
      <c r="G62" s="10">
        <f t="shared" si="6"/>
        <v>199691.32</v>
      </c>
      <c r="H62" s="10">
        <f t="shared" si="7"/>
        <v>4743.070000000007</v>
      </c>
      <c r="I62" s="14">
        <f t="shared" si="8"/>
        <v>2.4329892676646273E-2</v>
      </c>
      <c r="J62" s="10">
        <f t="shared" si="10"/>
        <v>47613.649999999994</v>
      </c>
    </row>
    <row r="63" spans="1:10" x14ac:dyDescent="0.3">
      <c r="A63" s="4" t="s">
        <v>29</v>
      </c>
      <c r="B63" s="4" t="s">
        <v>54</v>
      </c>
      <c r="C63" s="4">
        <v>11</v>
      </c>
      <c r="D63" s="9">
        <v>196498.53</v>
      </c>
      <c r="E63" s="4"/>
      <c r="F63" s="10">
        <f>IF(C63&lt;=fact_months,"",ROUND(D63*(1+Equalisation!$G$12/100)+IF(C63&gt;=equalisation_month,Equalisation!$F$12,0),2))</f>
        <v>201279.32</v>
      </c>
      <c r="G63" s="10">
        <f t="shared" si="6"/>
        <v>201279.32</v>
      </c>
      <c r="H63" s="10">
        <f t="shared" si="7"/>
        <v>4780.7900000000081</v>
      </c>
      <c r="I63" s="14">
        <f t="shared" si="8"/>
        <v>2.432990211173594E-2</v>
      </c>
      <c r="J63" s="10">
        <f t="shared" si="10"/>
        <v>52394.44</v>
      </c>
    </row>
    <row r="64" spans="1:10" x14ac:dyDescent="0.3">
      <c r="A64" s="4" t="s">
        <v>29</v>
      </c>
      <c r="B64" s="4" t="s">
        <v>55</v>
      </c>
      <c r="C64" s="4">
        <v>12</v>
      </c>
      <c r="D64" s="9">
        <v>196692.32</v>
      </c>
      <c r="E64" s="4"/>
      <c r="F64" s="10">
        <f>IF(C64&lt;=fact_months,"",ROUND(D64*(1+Equalisation!$G$12/100)+IF(C64&gt;=equalisation_month,Equalisation!$F$12,0),2))</f>
        <v>201477.83</v>
      </c>
      <c r="G64" s="10">
        <f t="shared" si="6"/>
        <v>201477.83</v>
      </c>
      <c r="H64" s="10">
        <f t="shared" si="7"/>
        <v>4785.5099999999802</v>
      </c>
      <c r="I64" s="14">
        <f t="shared" si="8"/>
        <v>2.432992808260119E-2</v>
      </c>
      <c r="J64" s="10">
        <f t="shared" si="10"/>
        <v>57179.949999999983</v>
      </c>
    </row>
    <row r="65" spans="1:10" x14ac:dyDescent="0.3">
      <c r="A65" s="4" t="s">
        <v>30</v>
      </c>
      <c r="B65" s="4" t="s">
        <v>44</v>
      </c>
      <c r="C65" s="4">
        <v>1</v>
      </c>
      <c r="D65" s="9">
        <v>122126.73</v>
      </c>
      <c r="E65" s="9">
        <v>124851.35</v>
      </c>
      <c r="F65" s="10" t="str">
        <f>IF(C65&lt;=fact_months,"",ROUND(D65*(1+Equalisation!$G$13/100)+IF(C65&gt;=equalisation_month,Equalisation!$F$13,0),2))</f>
        <v/>
      </c>
      <c r="G65" s="10">
        <f t="shared" si="6"/>
        <v>124851.35</v>
      </c>
      <c r="H65" s="10">
        <f t="shared" si="7"/>
        <v>2724.6200000000099</v>
      </c>
      <c r="I65" s="14">
        <f t="shared" si="8"/>
        <v>2.2309776082598872E-2</v>
      </c>
      <c r="J65" s="10">
        <f>H65</f>
        <v>2724.6200000000099</v>
      </c>
    </row>
    <row r="66" spans="1:10" x14ac:dyDescent="0.3">
      <c r="A66" s="4" t="s">
        <v>30</v>
      </c>
      <c r="B66" s="4" t="s">
        <v>45</v>
      </c>
      <c r="C66" s="4">
        <v>2</v>
      </c>
      <c r="D66" s="9">
        <v>121773.77</v>
      </c>
      <c r="E66" s="9">
        <v>124473.78</v>
      </c>
      <c r="F66" s="10" t="str">
        <f>IF(C66&lt;=fact_months,"",ROUND(D66*(1+Equalisation!$G$13/100)+IF(C66&gt;=equalisation_month,Equalisation!$F$13,0),2))</f>
        <v/>
      </c>
      <c r="G66" s="10">
        <f t="shared" si="6"/>
        <v>124473.78</v>
      </c>
      <c r="H66" s="10">
        <f t="shared" si="7"/>
        <v>2700.0099999999948</v>
      </c>
      <c r="I66" s="14">
        <f t="shared" si="8"/>
        <v>2.2172344668313995E-2</v>
      </c>
      <c r="J66" s="10">
        <f t="shared" ref="J66:J76" si="11">J65+H66</f>
        <v>5424.6300000000047</v>
      </c>
    </row>
    <row r="67" spans="1:10" x14ac:dyDescent="0.3">
      <c r="A67" s="4" t="s">
        <v>30</v>
      </c>
      <c r="B67" s="4" t="s">
        <v>46</v>
      </c>
      <c r="C67" s="4">
        <v>3</v>
      </c>
      <c r="D67" s="9">
        <v>120244.24</v>
      </c>
      <c r="E67" s="9">
        <v>122904.25</v>
      </c>
      <c r="F67" s="10" t="str">
        <f>IF(C67&lt;=fact_months,"",ROUND(D67*(1+Equalisation!$G$13/100)+IF(C67&gt;=equalisation_month,Equalisation!$F$13,0),2))</f>
        <v/>
      </c>
      <c r="G67" s="10">
        <f t="shared" si="6"/>
        <v>122904.25</v>
      </c>
      <c r="H67" s="10">
        <f t="shared" si="7"/>
        <v>2660.0099999999948</v>
      </c>
      <c r="I67" s="14">
        <f t="shared" si="8"/>
        <v>2.2121724915887819E-2</v>
      </c>
      <c r="J67" s="10">
        <f t="shared" si="11"/>
        <v>8084.6399999999994</v>
      </c>
    </row>
    <row r="68" spans="1:10" x14ac:dyDescent="0.3">
      <c r="A68" s="4" t="s">
        <v>30</v>
      </c>
      <c r="B68" s="4" t="s">
        <v>47</v>
      </c>
      <c r="C68" s="4">
        <v>4</v>
      </c>
      <c r="D68" s="9">
        <v>118244.09</v>
      </c>
      <c r="E68" s="9">
        <v>120772.84</v>
      </c>
      <c r="F68" s="10" t="str">
        <f>IF(C68&lt;=fact_months,"",ROUND(D68*(1+Equalisation!$G$13/100)+IF(C68&gt;=equalisation_month,Equalisation!$F$13,0),2))</f>
        <v/>
      </c>
      <c r="G68" s="10">
        <f t="shared" si="6"/>
        <v>120772.84</v>
      </c>
      <c r="H68" s="10">
        <f t="shared" si="7"/>
        <v>2528.75</v>
      </c>
      <c r="I68" s="14">
        <f t="shared" si="8"/>
        <v>2.1385846852895567E-2</v>
      </c>
      <c r="J68" s="10">
        <f t="shared" si="11"/>
        <v>10613.39</v>
      </c>
    </row>
    <row r="69" spans="1:10" x14ac:dyDescent="0.3">
      <c r="A69" s="4" t="s">
        <v>30</v>
      </c>
      <c r="B69" s="4" t="s">
        <v>48</v>
      </c>
      <c r="C69" s="4">
        <v>5</v>
      </c>
      <c r="D69" s="9">
        <v>116008.63</v>
      </c>
      <c r="E69" s="9">
        <v>118510.21</v>
      </c>
      <c r="F69" s="10" t="str">
        <f>IF(C69&lt;=fact_months,"",ROUND(D69*(1+Equalisation!$G$13/100)+IF(C69&gt;=equalisation_month,Equalisation!$F$13,0),2))</f>
        <v/>
      </c>
      <c r="G69" s="10">
        <f t="shared" ref="G69:G100" si="12">IF(C69&lt;=fact_months,E69,F69)</f>
        <v>118510.21</v>
      </c>
      <c r="H69" s="10">
        <f t="shared" ref="H69:H100" si="13">G69-D69</f>
        <v>2501.5800000000017</v>
      </c>
      <c r="I69" s="14">
        <f t="shared" ref="I69:I100" si="14">IF(D69=0,"",H69/D69)</f>
        <v>2.156374055964631E-2</v>
      </c>
      <c r="J69" s="10">
        <f t="shared" si="11"/>
        <v>13114.970000000001</v>
      </c>
    </row>
    <row r="70" spans="1:10" x14ac:dyDescent="0.3">
      <c r="A70" s="4" t="s">
        <v>30</v>
      </c>
      <c r="B70" s="4" t="s">
        <v>49</v>
      </c>
      <c r="C70" s="4">
        <v>6</v>
      </c>
      <c r="D70" s="9">
        <v>113890.83</v>
      </c>
      <c r="E70" s="9">
        <v>116229.38</v>
      </c>
      <c r="F70" s="10" t="str">
        <f>IF(C70&lt;=fact_months,"",ROUND(D70*(1+Equalisation!$G$13/100)+IF(C70&gt;=equalisation_month,Equalisation!$F$13,0),2))</f>
        <v/>
      </c>
      <c r="G70" s="10">
        <f t="shared" si="12"/>
        <v>116229.38</v>
      </c>
      <c r="H70" s="10">
        <f t="shared" si="13"/>
        <v>2338.5500000000029</v>
      </c>
      <c r="I70" s="14">
        <f t="shared" si="14"/>
        <v>2.0533259789220985E-2</v>
      </c>
      <c r="J70" s="10">
        <f t="shared" si="11"/>
        <v>15453.520000000004</v>
      </c>
    </row>
    <row r="71" spans="1:10" x14ac:dyDescent="0.3">
      <c r="A71" s="4" t="s">
        <v>30</v>
      </c>
      <c r="B71" s="4" t="s">
        <v>50</v>
      </c>
      <c r="C71" s="4">
        <v>7</v>
      </c>
      <c r="D71" s="9">
        <v>113184.89</v>
      </c>
      <c r="E71" s="9">
        <v>115710.27</v>
      </c>
      <c r="F71" s="10" t="str">
        <f>IF(C71&lt;=fact_months,"",ROUND(D71*(1+Equalisation!$G$13/100)+IF(C71&gt;=equalisation_month,Equalisation!$F$13,0),2))</f>
        <v/>
      </c>
      <c r="G71" s="10">
        <f t="shared" si="12"/>
        <v>115710.27</v>
      </c>
      <c r="H71" s="10">
        <f t="shared" si="13"/>
        <v>2525.3800000000047</v>
      </c>
      <c r="I71" s="14">
        <f t="shared" si="14"/>
        <v>2.2311988817588679E-2</v>
      </c>
      <c r="J71" s="10">
        <f t="shared" si="11"/>
        <v>17978.900000000009</v>
      </c>
    </row>
    <row r="72" spans="1:10" x14ac:dyDescent="0.3">
      <c r="A72" s="4" t="s">
        <v>30</v>
      </c>
      <c r="B72" s="4" t="s">
        <v>51</v>
      </c>
      <c r="C72" s="4">
        <v>8</v>
      </c>
      <c r="D72" s="9">
        <v>113420.2</v>
      </c>
      <c r="E72" s="9">
        <v>115751.55</v>
      </c>
      <c r="F72" s="10" t="str">
        <f>IF(C72&lt;=fact_months,"",ROUND(D72*(1+Equalisation!$G$13/100)+IF(C72&gt;=equalisation_month,Equalisation!$F$13,0),2))</f>
        <v/>
      </c>
      <c r="G72" s="10">
        <f t="shared" si="12"/>
        <v>115751.55</v>
      </c>
      <c r="H72" s="10">
        <f t="shared" si="13"/>
        <v>2331.3500000000058</v>
      </c>
      <c r="I72" s="14">
        <f t="shared" si="14"/>
        <v>2.0554980506118009E-2</v>
      </c>
      <c r="J72" s="10">
        <f t="shared" si="11"/>
        <v>20310.250000000015</v>
      </c>
    </row>
    <row r="73" spans="1:10" x14ac:dyDescent="0.3">
      <c r="A73" s="4" t="s">
        <v>30</v>
      </c>
      <c r="B73" s="4" t="s">
        <v>52</v>
      </c>
      <c r="C73" s="4">
        <v>9</v>
      </c>
      <c r="D73" s="9">
        <v>115890.98</v>
      </c>
      <c r="E73" s="4"/>
      <c r="F73" s="10">
        <f>IF(C73&lt;=fact_months,"",ROUND(D73*(1+Equalisation!$G$13/100)+IF(C73&gt;=equalisation_month,Equalisation!$F$13,0),2))</f>
        <v>121867.98</v>
      </c>
      <c r="G73" s="10">
        <f t="shared" si="12"/>
        <v>121867.98</v>
      </c>
      <c r="H73" s="10">
        <f t="shared" si="13"/>
        <v>5977</v>
      </c>
      <c r="I73" s="14">
        <f t="shared" si="14"/>
        <v>5.1574333049906045E-2</v>
      </c>
      <c r="J73" s="10">
        <f t="shared" si="11"/>
        <v>26287.250000000015</v>
      </c>
    </row>
    <row r="74" spans="1:10" x14ac:dyDescent="0.3">
      <c r="A74" s="4" t="s">
        <v>30</v>
      </c>
      <c r="B74" s="4" t="s">
        <v>53</v>
      </c>
      <c r="C74" s="4">
        <v>10</v>
      </c>
      <c r="D74" s="9">
        <v>118361.75</v>
      </c>
      <c r="E74" s="4"/>
      <c r="F74" s="10">
        <f>IF(C74&lt;=fact_months,"",ROUND(D74*(1+Equalisation!$G$13/100)+IF(C74&gt;=equalisation_month,Equalisation!$F$13,0),2))</f>
        <v>124391.47</v>
      </c>
      <c r="G74" s="10">
        <f t="shared" si="12"/>
        <v>124391.47</v>
      </c>
      <c r="H74" s="10">
        <f t="shared" si="13"/>
        <v>6029.7200000000012</v>
      </c>
      <c r="I74" s="14">
        <f t="shared" si="14"/>
        <v>5.0943146751378725E-2</v>
      </c>
      <c r="J74" s="10">
        <f t="shared" si="11"/>
        <v>32316.970000000016</v>
      </c>
    </row>
    <row r="75" spans="1:10" x14ac:dyDescent="0.3">
      <c r="A75" s="4" t="s">
        <v>30</v>
      </c>
      <c r="B75" s="4" t="s">
        <v>54</v>
      </c>
      <c r="C75" s="4">
        <v>11</v>
      </c>
      <c r="D75" s="9">
        <v>119303</v>
      </c>
      <c r="E75" s="4"/>
      <c r="F75" s="10">
        <f>IF(C75&lt;=fact_months,"",ROUND(D75*(1+Equalisation!$G$13/100)+IF(C75&gt;=equalisation_month,Equalisation!$F$13,0),2))</f>
        <v>125352.81</v>
      </c>
      <c r="G75" s="10">
        <f t="shared" si="12"/>
        <v>125352.81</v>
      </c>
      <c r="H75" s="10">
        <f t="shared" si="13"/>
        <v>6049.8099999999977</v>
      </c>
      <c r="I75" s="14">
        <f t="shared" si="14"/>
        <v>5.0709621719487334E-2</v>
      </c>
      <c r="J75" s="10">
        <f t="shared" si="11"/>
        <v>38366.780000000013</v>
      </c>
    </row>
    <row r="76" spans="1:10" x14ac:dyDescent="0.3">
      <c r="A76" s="4" t="s">
        <v>30</v>
      </c>
      <c r="B76" s="4" t="s">
        <v>55</v>
      </c>
      <c r="C76" s="4">
        <v>12</v>
      </c>
      <c r="D76" s="9">
        <v>119420.65</v>
      </c>
      <c r="E76" s="4"/>
      <c r="F76" s="10">
        <f>IF(C76&lt;=fact_months,"",ROUND(D76*(1+Equalisation!$G$13/100)+IF(C76&gt;=equalisation_month,Equalisation!$F$13,0),2))</f>
        <v>125472.97</v>
      </c>
      <c r="G76" s="10">
        <f t="shared" si="12"/>
        <v>125472.97</v>
      </c>
      <c r="H76" s="10">
        <f t="shared" si="13"/>
        <v>6052.320000000007</v>
      </c>
      <c r="I76" s="14">
        <f t="shared" si="14"/>
        <v>5.0680682109836173E-2</v>
      </c>
      <c r="J76" s="10">
        <f t="shared" si="11"/>
        <v>44419.10000000002</v>
      </c>
    </row>
    <row r="77" spans="1:10" x14ac:dyDescent="0.3">
      <c r="A77" s="4" t="s">
        <v>31</v>
      </c>
      <c r="B77" s="4" t="s">
        <v>44</v>
      </c>
      <c r="C77" s="4">
        <v>1</v>
      </c>
      <c r="D77" s="9">
        <v>74104.679999999993</v>
      </c>
      <c r="E77" s="9">
        <v>76157.77</v>
      </c>
      <c r="F77" s="10" t="str">
        <f>IF(C77&lt;=fact_months,"",ROUND(D77*(1+Equalisation!$G$14/100)+IF(C77&gt;=equalisation_month,Equalisation!$F$14,0),2))</f>
        <v/>
      </c>
      <c r="G77" s="10">
        <f t="shared" si="12"/>
        <v>76157.77</v>
      </c>
      <c r="H77" s="10">
        <f t="shared" si="13"/>
        <v>2053.0900000000111</v>
      </c>
      <c r="I77" s="14">
        <f t="shared" si="14"/>
        <v>2.7705267737476381E-2</v>
      </c>
      <c r="J77" s="10">
        <f>H77</f>
        <v>2053.0900000000111</v>
      </c>
    </row>
    <row r="78" spans="1:10" x14ac:dyDescent="0.3">
      <c r="A78" s="4" t="s">
        <v>31</v>
      </c>
      <c r="B78" s="4" t="s">
        <v>45</v>
      </c>
      <c r="C78" s="4">
        <v>2</v>
      </c>
      <c r="D78" s="9">
        <v>73890.509999999995</v>
      </c>
      <c r="E78" s="9">
        <v>75892.11</v>
      </c>
      <c r="F78" s="10" t="str">
        <f>IF(C78&lt;=fact_months,"",ROUND(D78*(1+Equalisation!$G$14/100)+IF(C78&gt;=equalisation_month,Equalisation!$F$14,0),2))</f>
        <v/>
      </c>
      <c r="G78" s="10">
        <f t="shared" si="12"/>
        <v>75892.11</v>
      </c>
      <c r="H78" s="10">
        <f t="shared" si="13"/>
        <v>2001.6000000000058</v>
      </c>
      <c r="I78" s="14">
        <f t="shared" si="14"/>
        <v>2.7088728985630306E-2</v>
      </c>
      <c r="J78" s="10">
        <f t="shared" ref="J78:J88" si="15">J77+H78</f>
        <v>4054.6900000000169</v>
      </c>
    </row>
    <row r="79" spans="1:10" x14ac:dyDescent="0.3">
      <c r="A79" s="4" t="s">
        <v>31</v>
      </c>
      <c r="B79" s="4" t="s">
        <v>46</v>
      </c>
      <c r="C79" s="4">
        <v>3</v>
      </c>
      <c r="D79" s="9">
        <v>72962.41</v>
      </c>
      <c r="E79" s="9">
        <v>74886.460000000006</v>
      </c>
      <c r="F79" s="10" t="str">
        <f>IF(C79&lt;=fact_months,"",ROUND(D79*(1+Equalisation!$G$14/100)+IF(C79&gt;=equalisation_month,Equalisation!$F$14,0),2))</f>
        <v/>
      </c>
      <c r="G79" s="10">
        <f t="shared" si="12"/>
        <v>74886.460000000006</v>
      </c>
      <c r="H79" s="10">
        <f t="shared" si="13"/>
        <v>1924.0500000000029</v>
      </c>
      <c r="I79" s="14">
        <f t="shared" si="14"/>
        <v>2.6370428279438723E-2</v>
      </c>
      <c r="J79" s="10">
        <f t="shared" si="15"/>
        <v>5978.7400000000198</v>
      </c>
    </row>
    <row r="80" spans="1:10" x14ac:dyDescent="0.3">
      <c r="A80" s="4" t="s">
        <v>31</v>
      </c>
      <c r="B80" s="4" t="s">
        <v>47</v>
      </c>
      <c r="C80" s="4">
        <v>4</v>
      </c>
      <c r="D80" s="9">
        <v>71748.75</v>
      </c>
      <c r="E80" s="9">
        <v>73728.78</v>
      </c>
      <c r="F80" s="10" t="str">
        <f>IF(C80&lt;=fact_months,"",ROUND(D80*(1+Equalisation!$G$14/100)+IF(C80&gt;=equalisation_month,Equalisation!$F$14,0),2))</f>
        <v/>
      </c>
      <c r="G80" s="10">
        <f t="shared" si="12"/>
        <v>73728.78</v>
      </c>
      <c r="H80" s="10">
        <f t="shared" si="13"/>
        <v>1980.0299999999988</v>
      </c>
      <c r="I80" s="14">
        <f t="shared" si="14"/>
        <v>2.7596717712852124E-2</v>
      </c>
      <c r="J80" s="10">
        <f t="shared" si="15"/>
        <v>7958.7700000000186</v>
      </c>
    </row>
    <row r="81" spans="1:10" x14ac:dyDescent="0.3">
      <c r="A81" s="4" t="s">
        <v>31</v>
      </c>
      <c r="B81" s="4" t="s">
        <v>48</v>
      </c>
      <c r="C81" s="4">
        <v>5</v>
      </c>
      <c r="D81" s="9">
        <v>70392.31</v>
      </c>
      <c r="E81" s="9">
        <v>72360.09</v>
      </c>
      <c r="F81" s="10" t="str">
        <f>IF(C81&lt;=fact_months,"",ROUND(D81*(1+Equalisation!$G$14/100)+IF(C81&gt;=equalisation_month,Equalisation!$F$14,0),2))</f>
        <v/>
      </c>
      <c r="G81" s="10">
        <f t="shared" si="12"/>
        <v>72360.09</v>
      </c>
      <c r="H81" s="10">
        <f t="shared" si="13"/>
        <v>1967.7799999999988</v>
      </c>
      <c r="I81" s="14">
        <f t="shared" si="14"/>
        <v>2.7954474004333697E-2</v>
      </c>
      <c r="J81" s="10">
        <f t="shared" si="15"/>
        <v>9926.5500000000175</v>
      </c>
    </row>
    <row r="82" spans="1:10" x14ac:dyDescent="0.3">
      <c r="A82" s="4" t="s">
        <v>31</v>
      </c>
      <c r="B82" s="4" t="s">
        <v>49</v>
      </c>
      <c r="C82" s="4">
        <v>6</v>
      </c>
      <c r="D82" s="9">
        <v>69107.259999999995</v>
      </c>
      <c r="E82" s="9">
        <v>70904.58</v>
      </c>
      <c r="F82" s="10" t="str">
        <f>IF(C82&lt;=fact_months,"",ROUND(D82*(1+Equalisation!$G$14/100)+IF(C82&gt;=equalisation_month,Equalisation!$F$14,0),2))</f>
        <v/>
      </c>
      <c r="G82" s="10">
        <f t="shared" si="12"/>
        <v>70904.58</v>
      </c>
      <c r="H82" s="10">
        <f t="shared" si="13"/>
        <v>1797.320000000007</v>
      </c>
      <c r="I82" s="14">
        <f t="shared" si="14"/>
        <v>2.6007687180768086E-2</v>
      </c>
      <c r="J82" s="10">
        <f t="shared" si="15"/>
        <v>11723.870000000024</v>
      </c>
    </row>
    <row r="83" spans="1:10" x14ac:dyDescent="0.3">
      <c r="A83" s="4" t="s">
        <v>31</v>
      </c>
      <c r="B83" s="4" t="s">
        <v>50</v>
      </c>
      <c r="C83" s="4">
        <v>7</v>
      </c>
      <c r="D83" s="9">
        <v>68678.91</v>
      </c>
      <c r="E83" s="9">
        <v>70444.039999999994</v>
      </c>
      <c r="F83" s="10" t="str">
        <f>IF(C83&lt;=fact_months,"",ROUND(D83*(1+Equalisation!$G$14/100)+IF(C83&gt;=equalisation_month,Equalisation!$F$14,0),2))</f>
        <v/>
      </c>
      <c r="G83" s="10">
        <f t="shared" si="12"/>
        <v>70444.039999999994</v>
      </c>
      <c r="H83" s="10">
        <f t="shared" si="13"/>
        <v>1765.1299999999901</v>
      </c>
      <c r="I83" s="14">
        <f t="shared" si="14"/>
        <v>2.5701194151159214E-2</v>
      </c>
      <c r="J83" s="10">
        <f t="shared" si="15"/>
        <v>13489.000000000015</v>
      </c>
    </row>
    <row r="84" spans="1:10" x14ac:dyDescent="0.3">
      <c r="A84" s="4" t="s">
        <v>31</v>
      </c>
      <c r="B84" s="4" t="s">
        <v>51</v>
      </c>
      <c r="C84" s="4">
        <v>8</v>
      </c>
      <c r="D84" s="9">
        <v>68821.69</v>
      </c>
      <c r="E84" s="9">
        <v>70572.2</v>
      </c>
      <c r="F84" s="10" t="str">
        <f>IF(C84&lt;=fact_months,"",ROUND(D84*(1+Equalisation!$G$14/100)+IF(C84&gt;=equalisation_month,Equalisation!$F$14,0),2))</f>
        <v/>
      </c>
      <c r="G84" s="10">
        <f t="shared" si="12"/>
        <v>70572.2</v>
      </c>
      <c r="H84" s="10">
        <f t="shared" si="13"/>
        <v>1750.5099999999948</v>
      </c>
      <c r="I84" s="14">
        <f t="shared" si="14"/>
        <v>2.5435440483952004E-2</v>
      </c>
      <c r="J84" s="10">
        <f t="shared" si="15"/>
        <v>15239.510000000009</v>
      </c>
    </row>
    <row r="85" spans="1:10" x14ac:dyDescent="0.3">
      <c r="A85" s="4" t="s">
        <v>31</v>
      </c>
      <c r="B85" s="4" t="s">
        <v>52</v>
      </c>
      <c r="C85" s="4">
        <v>9</v>
      </c>
      <c r="D85" s="9">
        <v>70320.92</v>
      </c>
      <c r="E85" s="4"/>
      <c r="F85" s="10">
        <f>IF(C85&lt;=fact_months,"",ROUND(D85*(1+Equalisation!$G$14/100)+IF(C85&gt;=equalisation_month,Equalisation!$F$14,0),2))</f>
        <v>73724.820000000007</v>
      </c>
      <c r="G85" s="10">
        <f t="shared" si="12"/>
        <v>73724.820000000007</v>
      </c>
      <c r="H85" s="10">
        <f t="shared" si="13"/>
        <v>3403.9000000000087</v>
      </c>
      <c r="I85" s="14">
        <f t="shared" si="14"/>
        <v>4.8405225642668054E-2</v>
      </c>
      <c r="J85" s="10">
        <f t="shared" si="15"/>
        <v>18643.410000000018</v>
      </c>
    </row>
    <row r="86" spans="1:10" x14ac:dyDescent="0.3">
      <c r="A86" s="4" t="s">
        <v>31</v>
      </c>
      <c r="B86" s="4" t="s">
        <v>53</v>
      </c>
      <c r="C86" s="4">
        <v>10</v>
      </c>
      <c r="D86" s="9">
        <v>71820.149999999994</v>
      </c>
      <c r="E86" s="4"/>
      <c r="F86" s="10">
        <f>IF(C86&lt;=fact_months,"",ROUND(D86*(1+Equalisation!$G$14/100)+IF(C86&gt;=equalisation_month,Equalisation!$F$14,0),2))</f>
        <v>75263.820000000007</v>
      </c>
      <c r="G86" s="10">
        <f t="shared" si="12"/>
        <v>75263.820000000007</v>
      </c>
      <c r="H86" s="10">
        <f t="shared" si="13"/>
        <v>3443.6700000000128</v>
      </c>
      <c r="I86" s="14">
        <f t="shared" si="14"/>
        <v>4.7948521410774179E-2</v>
      </c>
      <c r="J86" s="10">
        <f t="shared" si="15"/>
        <v>22087.080000000031</v>
      </c>
    </row>
    <row r="87" spans="1:10" x14ac:dyDescent="0.3">
      <c r="A87" s="4" t="s">
        <v>31</v>
      </c>
      <c r="B87" s="4" t="s">
        <v>54</v>
      </c>
      <c r="C87" s="4">
        <v>11</v>
      </c>
      <c r="D87" s="9">
        <v>72391.28</v>
      </c>
      <c r="E87" s="4"/>
      <c r="F87" s="10">
        <f>IF(C87&lt;=fact_months,"",ROUND(D87*(1+Equalisation!$G$14/100)+IF(C87&gt;=equalisation_month,Equalisation!$F$14,0),2))</f>
        <v>75850.100000000006</v>
      </c>
      <c r="G87" s="10">
        <f t="shared" si="12"/>
        <v>75850.100000000006</v>
      </c>
      <c r="H87" s="10">
        <f t="shared" si="13"/>
        <v>3458.820000000007</v>
      </c>
      <c r="I87" s="14">
        <f t="shared" si="14"/>
        <v>4.7779511565481464E-2</v>
      </c>
      <c r="J87" s="10">
        <f t="shared" si="15"/>
        <v>25545.900000000038</v>
      </c>
    </row>
    <row r="88" spans="1:10" x14ac:dyDescent="0.3">
      <c r="A88" s="4" t="s">
        <v>31</v>
      </c>
      <c r="B88" s="4" t="s">
        <v>55</v>
      </c>
      <c r="C88" s="4">
        <v>12</v>
      </c>
      <c r="D88" s="9">
        <v>72462.67</v>
      </c>
      <c r="E88" s="4"/>
      <c r="F88" s="10">
        <f>IF(C88&lt;=fact_months,"",ROUND(D88*(1+Equalisation!$G$14/100)+IF(C88&gt;=equalisation_month,Equalisation!$F$14,0),2))</f>
        <v>75923.38</v>
      </c>
      <c r="G88" s="10">
        <f t="shared" si="12"/>
        <v>75923.38</v>
      </c>
      <c r="H88" s="10">
        <f t="shared" si="13"/>
        <v>3460.7100000000064</v>
      </c>
      <c r="I88" s="14">
        <f t="shared" si="14"/>
        <v>4.7758521732638427E-2</v>
      </c>
      <c r="J88" s="10">
        <f t="shared" si="15"/>
        <v>29006.610000000044</v>
      </c>
    </row>
  </sheetData>
  <autoFilter ref="A4:J88" xr:uid="{00000000-0009-0000-0000-000002000000}"/>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pane ySplit="5" topLeftCell="A6" activePane="bottomLeft" state="frozen"/>
      <selection pane="bottomLeft"/>
    </sheetView>
  </sheetViews>
  <sheetFormatPr defaultRowHeight="14.4" x14ac:dyDescent="0.3"/>
  <cols>
    <col min="1" max="1" width="10" customWidth="1"/>
    <col min="2" max="2" width="5" customWidth="1"/>
    <col min="3" max="5" width="16" customWidth="1"/>
    <col min="6" max="6" width="12" customWidth="1"/>
    <col min="7" max="7" width="16" customWidth="1"/>
  </cols>
  <sheetData>
    <row r="1" spans="1:7" ht="17.399999999999999" x14ac:dyDescent="0.35">
      <c r="A1" s="1" t="s">
        <v>56</v>
      </c>
    </row>
    <row r="2" spans="1:7" x14ac:dyDescent="0.3">
      <c r="A2" s="20" t="s">
        <v>57</v>
      </c>
      <c r="B2" s="21"/>
      <c r="C2" s="21"/>
      <c r="D2" s="21"/>
      <c r="E2" s="21"/>
      <c r="F2" s="21"/>
      <c r="G2" s="21"/>
    </row>
    <row r="3" spans="1:7" x14ac:dyDescent="0.3">
      <c r="A3" s="21"/>
      <c r="B3" s="21"/>
      <c r="C3" s="21"/>
      <c r="D3" s="21"/>
      <c r="E3" s="21"/>
      <c r="F3" s="21"/>
      <c r="G3" s="21"/>
    </row>
    <row r="5" spans="1:7" ht="30" customHeight="1" x14ac:dyDescent="0.3">
      <c r="A5" s="3" t="s">
        <v>35</v>
      </c>
      <c r="B5" s="3" t="s">
        <v>36</v>
      </c>
      <c r="C5" s="3" t="s">
        <v>37</v>
      </c>
      <c r="D5" s="3" t="s">
        <v>40</v>
      </c>
      <c r="E5" s="3" t="s">
        <v>41</v>
      </c>
      <c r="F5" s="3" t="s">
        <v>42</v>
      </c>
      <c r="G5" s="3" t="s">
        <v>43</v>
      </c>
    </row>
    <row r="6" spans="1:7" x14ac:dyDescent="0.3">
      <c r="A6" s="4" t="s">
        <v>44</v>
      </c>
      <c r="B6" s="4">
        <v>1</v>
      </c>
      <c r="C6" s="10">
        <f>SUMIF(Data!$C$5:$C$88,$B6,Data!$D$5:$D$88)</f>
        <v>1431233.43</v>
      </c>
      <c r="D6" s="10">
        <f>SUMIF(Data!$C$5:$C$88,$B6,Data!$G$5:$G$88)</f>
        <v>1466137.25</v>
      </c>
      <c r="E6" s="10">
        <f t="shared" ref="E6:E17" si="0">D6-C6</f>
        <v>34903.820000000065</v>
      </c>
      <c r="F6" s="14">
        <f t="shared" ref="F6:F18" si="1">E6/C6</f>
        <v>2.438723080972198E-2</v>
      </c>
      <c r="G6" s="10">
        <f>E6</f>
        <v>34903.820000000065</v>
      </c>
    </row>
    <row r="7" spans="1:7" x14ac:dyDescent="0.3">
      <c r="A7" s="4" t="s">
        <v>45</v>
      </c>
      <c r="B7" s="4">
        <v>2</v>
      </c>
      <c r="C7" s="10">
        <f>SUMIF(Data!$C$5:$C$88,$B7,Data!$D$5:$D$88)</f>
        <v>1427096.93</v>
      </c>
      <c r="D7" s="10">
        <f>SUMIF(Data!$C$5:$C$88,$B7,Data!$G$5:$G$88)</f>
        <v>1461675.87</v>
      </c>
      <c r="E7" s="10">
        <f t="shared" si="0"/>
        <v>34578.940000000177</v>
      </c>
      <c r="F7" s="14">
        <f t="shared" si="1"/>
        <v>2.4230267246107929E-2</v>
      </c>
      <c r="G7" s="10">
        <f t="shared" ref="G7:G17" si="2">G6+E7</f>
        <v>69482.760000000242</v>
      </c>
    </row>
    <row r="8" spans="1:7" x14ac:dyDescent="0.3">
      <c r="A8" s="4" t="s">
        <v>46</v>
      </c>
      <c r="B8" s="4">
        <v>3</v>
      </c>
      <c r="C8" s="10">
        <f>SUMIF(Data!$C$5:$C$88,$B8,Data!$D$5:$D$88)</f>
        <v>1409172.02</v>
      </c>
      <c r="D8" s="10">
        <f>SUMIF(Data!$C$5:$C$88,$B8,Data!$G$5:$G$88)</f>
        <v>1443455.41</v>
      </c>
      <c r="E8" s="10">
        <f t="shared" si="0"/>
        <v>34283.389999999898</v>
      </c>
      <c r="F8" s="14">
        <f t="shared" si="1"/>
        <v>2.4328747316456012E-2</v>
      </c>
      <c r="G8" s="10">
        <f t="shared" si="2"/>
        <v>103766.15000000014</v>
      </c>
    </row>
    <row r="9" spans="1:7" x14ac:dyDescent="0.3">
      <c r="A9" s="4" t="s">
        <v>47</v>
      </c>
      <c r="B9" s="4">
        <v>4</v>
      </c>
      <c r="C9" s="10">
        <f>SUMIF(Data!$C$5:$C$88,$B9,Data!$D$5:$D$88)</f>
        <v>1385731.77</v>
      </c>
      <c r="D9" s="10">
        <f>SUMIF(Data!$C$5:$C$88,$B9,Data!$G$5:$G$88)</f>
        <v>1419956.1</v>
      </c>
      <c r="E9" s="10">
        <f t="shared" si="0"/>
        <v>34224.330000000075</v>
      </c>
      <c r="F9" s="14">
        <f t="shared" si="1"/>
        <v>2.4697658479750431E-2</v>
      </c>
      <c r="G9" s="10">
        <f t="shared" si="2"/>
        <v>137990.48000000021</v>
      </c>
    </row>
    <row r="10" spans="1:7" x14ac:dyDescent="0.3">
      <c r="A10" s="4" t="s">
        <v>48</v>
      </c>
      <c r="B10" s="4">
        <v>5</v>
      </c>
      <c r="C10" s="10">
        <f>SUMIF(Data!$C$5:$C$88,$B10,Data!$D$5:$D$88)</f>
        <v>1359533.87</v>
      </c>
      <c r="D10" s="10">
        <f>SUMIF(Data!$C$5:$C$88,$B10,Data!$G$5:$G$88)</f>
        <v>1393524.95</v>
      </c>
      <c r="E10" s="10">
        <f t="shared" si="0"/>
        <v>33991.079999999842</v>
      </c>
      <c r="F10" s="14">
        <f t="shared" si="1"/>
        <v>2.5002010431707626E-2</v>
      </c>
      <c r="G10" s="10">
        <f t="shared" si="2"/>
        <v>171981.56000000006</v>
      </c>
    </row>
    <row r="11" spans="1:7" x14ac:dyDescent="0.3">
      <c r="A11" s="4" t="s">
        <v>49</v>
      </c>
      <c r="B11" s="4">
        <v>6</v>
      </c>
      <c r="C11" s="10">
        <f>SUMIF(Data!$C$5:$C$88,$B11,Data!$D$5:$D$88)</f>
        <v>1334714.79</v>
      </c>
      <c r="D11" s="10">
        <f>SUMIF(Data!$C$5:$C$88,$B11,Data!$G$5:$G$88)</f>
        <v>1367890.62</v>
      </c>
      <c r="E11" s="10">
        <f t="shared" si="0"/>
        <v>33175.830000000075</v>
      </c>
      <c r="F11" s="14">
        <f t="shared" si="1"/>
        <v>2.4856119261254365E-2</v>
      </c>
      <c r="G11" s="10">
        <f t="shared" si="2"/>
        <v>205157.39000000013</v>
      </c>
    </row>
    <row r="12" spans="1:7" x14ac:dyDescent="0.3">
      <c r="A12" s="4" t="s">
        <v>50</v>
      </c>
      <c r="B12" s="4">
        <v>7</v>
      </c>
      <c r="C12" s="10">
        <f>SUMIF(Data!$C$5:$C$88,$B12,Data!$D$5:$D$88)</f>
        <v>1326441.7599999998</v>
      </c>
      <c r="D12" s="10">
        <f>SUMIF(Data!$C$5:$C$88,$B12,Data!$G$5:$G$88)</f>
        <v>1358456.6700000002</v>
      </c>
      <c r="E12" s="10">
        <f t="shared" si="0"/>
        <v>32014.910000000382</v>
      </c>
      <c r="F12" s="14">
        <f t="shared" si="1"/>
        <v>2.4135933416330611E-2</v>
      </c>
      <c r="G12" s="10">
        <f t="shared" si="2"/>
        <v>237172.30000000051</v>
      </c>
    </row>
    <row r="13" spans="1:7" x14ac:dyDescent="0.3">
      <c r="A13" s="4" t="s">
        <v>51</v>
      </c>
      <c r="B13" s="4">
        <v>8</v>
      </c>
      <c r="C13" s="10">
        <f>SUMIF(Data!$C$5:$C$88,$B13,Data!$D$5:$D$88)</f>
        <v>1329199.44</v>
      </c>
      <c r="D13" s="10">
        <f>SUMIF(Data!$C$5:$C$88,$B13,Data!$G$5:$G$88)</f>
        <v>1362101.29</v>
      </c>
      <c r="E13" s="10">
        <f t="shared" si="0"/>
        <v>32901.850000000093</v>
      </c>
      <c r="F13" s="14">
        <f t="shared" si="1"/>
        <v>2.4753132607398701E-2</v>
      </c>
      <c r="G13" s="10">
        <f t="shared" si="2"/>
        <v>270074.15000000061</v>
      </c>
    </row>
    <row r="14" spans="1:7" x14ac:dyDescent="0.3">
      <c r="A14" s="4" t="s">
        <v>52</v>
      </c>
      <c r="B14" s="4">
        <v>9</v>
      </c>
      <c r="C14" s="10">
        <f>SUMIF(Data!$C$5:$C$88,$B14,Data!$D$5:$D$88)</f>
        <v>1358155.0299999998</v>
      </c>
      <c r="D14" s="10">
        <f>SUMIF(Data!$C$5:$C$88,$B14,Data!$G$5:$G$88)</f>
        <v>1424507.42</v>
      </c>
      <c r="E14" s="10">
        <f t="shared" si="0"/>
        <v>66352.39000000013</v>
      </c>
      <c r="F14" s="14">
        <f t="shared" si="1"/>
        <v>4.8854798262610813E-2</v>
      </c>
      <c r="G14" s="10">
        <f t="shared" si="2"/>
        <v>336426.54000000074</v>
      </c>
    </row>
    <row r="15" spans="1:7" x14ac:dyDescent="0.3">
      <c r="A15" s="4" t="s">
        <v>53</v>
      </c>
      <c r="B15" s="4">
        <v>10</v>
      </c>
      <c r="C15" s="10">
        <f>SUMIF(Data!$C$5:$C$88,$B15,Data!$D$5:$D$88)</f>
        <v>1387110.63</v>
      </c>
      <c r="D15" s="10">
        <f>SUMIF(Data!$C$5:$C$88,$B15,Data!$G$5:$G$88)</f>
        <v>1454173.6600000001</v>
      </c>
      <c r="E15" s="10">
        <f t="shared" si="0"/>
        <v>67063.030000000261</v>
      </c>
      <c r="F15" s="14">
        <f t="shared" si="1"/>
        <v>4.8347282869572031E-2</v>
      </c>
      <c r="G15" s="10">
        <f t="shared" si="2"/>
        <v>403489.570000001</v>
      </c>
    </row>
    <row r="16" spans="1:7" x14ac:dyDescent="0.3">
      <c r="A16" s="4" t="s">
        <v>54</v>
      </c>
      <c r="B16" s="4">
        <v>11</v>
      </c>
      <c r="C16" s="10">
        <f>SUMIF(Data!$C$5:$C$88,$B16,Data!$D$5:$D$88)</f>
        <v>1398141.33</v>
      </c>
      <c r="D16" s="10">
        <f>SUMIF(Data!$C$5:$C$88,$B16,Data!$G$5:$G$88)</f>
        <v>1465475.08</v>
      </c>
      <c r="E16" s="10">
        <f t="shared" si="0"/>
        <v>67333.75</v>
      </c>
      <c r="F16" s="14">
        <f t="shared" si="1"/>
        <v>4.8159473262978356E-2</v>
      </c>
      <c r="G16" s="10">
        <f t="shared" si="2"/>
        <v>470823.320000001</v>
      </c>
    </row>
    <row r="17" spans="1:7" x14ac:dyDescent="0.3">
      <c r="A17" s="4" t="s">
        <v>55</v>
      </c>
      <c r="B17" s="4">
        <v>12</v>
      </c>
      <c r="C17" s="10">
        <f>SUMIF(Data!$C$5:$C$88,$B17,Data!$D$5:$D$88)</f>
        <v>1399520.16</v>
      </c>
      <c r="D17" s="10">
        <f>SUMIF(Data!$C$5:$C$88,$B17,Data!$G$5:$G$88)</f>
        <v>1466887.75</v>
      </c>
      <c r="E17" s="10">
        <f t="shared" si="0"/>
        <v>67367.590000000084</v>
      </c>
      <c r="F17" s="14">
        <f t="shared" si="1"/>
        <v>4.8136205483456623E-2</v>
      </c>
      <c r="G17" s="10">
        <f t="shared" si="2"/>
        <v>538190.91000000108</v>
      </c>
    </row>
    <row r="18" spans="1:7" x14ac:dyDescent="0.3">
      <c r="A18" s="7" t="s">
        <v>58</v>
      </c>
      <c r="C18" s="13">
        <f>SUM(C6:C17)</f>
        <v>16546051.159999998</v>
      </c>
      <c r="D18" s="13">
        <f>SUM(D6:D17)</f>
        <v>17084242.07</v>
      </c>
      <c r="E18" s="13">
        <f>SUM(E6:E17)</f>
        <v>538190.91000000108</v>
      </c>
      <c r="F18" s="15">
        <f t="shared" si="1"/>
        <v>3.2526849143382025E-2</v>
      </c>
    </row>
  </sheetData>
  <mergeCells count="1">
    <mergeCell ref="A2:G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2"/>
  <sheetViews>
    <sheetView workbookViewId="0">
      <pane ySplit="4" topLeftCell="A5" activePane="bottomLeft" state="frozen"/>
      <selection pane="bottomLeft"/>
    </sheetView>
  </sheetViews>
  <sheetFormatPr defaultRowHeight="14.4" x14ac:dyDescent="0.3"/>
  <cols>
    <col min="1" max="1" width="22" customWidth="1"/>
    <col min="2" max="3" width="15" customWidth="1"/>
    <col min="4" max="4" width="16" customWidth="1"/>
    <col min="5" max="5" width="13" customWidth="1"/>
    <col min="6" max="9" width="16" customWidth="1"/>
    <col min="10" max="10" width="10" customWidth="1"/>
  </cols>
  <sheetData>
    <row r="1" spans="1:10" ht="17.399999999999999" x14ac:dyDescent="0.35">
      <c r="A1" s="1" t="s">
        <v>59</v>
      </c>
    </row>
    <row r="2" spans="1:10" x14ac:dyDescent="0.3">
      <c r="A2" s="2" t="s">
        <v>60</v>
      </c>
    </row>
    <row r="4" spans="1:10" ht="30" customHeight="1" x14ac:dyDescent="0.3">
      <c r="A4" s="3" t="s">
        <v>18</v>
      </c>
      <c r="B4" s="3" t="s">
        <v>61</v>
      </c>
      <c r="C4" s="3" t="s">
        <v>62</v>
      </c>
      <c r="D4" s="3" t="s">
        <v>63</v>
      </c>
      <c r="E4" s="3" t="s">
        <v>64</v>
      </c>
      <c r="F4" s="3" t="s">
        <v>65</v>
      </c>
      <c r="G4" s="3" t="s">
        <v>66</v>
      </c>
      <c r="H4" s="3" t="s">
        <v>67</v>
      </c>
      <c r="I4" s="3" t="s">
        <v>68</v>
      </c>
      <c r="J4" s="3" t="s">
        <v>69</v>
      </c>
    </row>
    <row r="5" spans="1:10" x14ac:dyDescent="0.3">
      <c r="A5" s="4" t="s">
        <v>25</v>
      </c>
      <c r="B5" s="10">
        <f>SUMIF(Data!$C$5:$C$16,"&lt;="&amp;fact_months,Data!$D$5:$D$16)</f>
        <v>2650632.3000000003</v>
      </c>
      <c r="C5" s="10">
        <f>SUMIF(Data!$C$5:$C$16,"&lt;="&amp;fact_months,Data!$E$5:$E$16)</f>
        <v>2611507.09</v>
      </c>
      <c r="D5" s="10">
        <f t="shared" ref="D5:D11" si="0">C5-B5</f>
        <v>-39125.210000000428</v>
      </c>
      <c r="E5" s="14">
        <f t="shared" ref="E5:E12" si="1">D5/B5</f>
        <v>-1.476070822799542E-2</v>
      </c>
      <c r="F5" s="10">
        <f>SUMIFS(Data!$F$5:$F$16,Data!$C$5:$C$16,"&gt;="&amp;equalisation_month)-SUMIFS(Data!$D$5:$D$16,Data!$C$5:$C$16,"&gt;="&amp;equalisation_month)</f>
        <v>13423.260000000009</v>
      </c>
      <c r="G5" s="10">
        <f>SUM(Data!$D$5:$D$16)</f>
        <v>3985913.24</v>
      </c>
      <c r="H5" s="10">
        <f>SUM(Data!$G$5:$G$16)</f>
        <v>3960211.29</v>
      </c>
      <c r="I5" s="10">
        <f t="shared" ref="I5:I11" si="2">H5-G5</f>
        <v>-25701.950000000186</v>
      </c>
      <c r="J5" s="14">
        <f t="shared" ref="J5:J12" si="3">I5/G5</f>
        <v>-6.4481960475387028E-3</v>
      </c>
    </row>
    <row r="6" spans="1:10" x14ac:dyDescent="0.3">
      <c r="A6" s="4" t="s">
        <v>26</v>
      </c>
      <c r="B6" s="10">
        <f>SUMIF(Data!$C$17:$C$28,"&lt;="&amp;fact_months,Data!$D$17:$D$28)</f>
        <v>1866018.43</v>
      </c>
      <c r="C6" s="10">
        <f>SUMIF(Data!$C$17:$C$28,"&lt;="&amp;fact_months,Data!$E$17:$E$28)</f>
        <v>2038445.31</v>
      </c>
      <c r="D6" s="10">
        <f t="shared" si="0"/>
        <v>172426.88000000012</v>
      </c>
      <c r="E6" s="14">
        <f t="shared" si="1"/>
        <v>9.2403631833368402E-2</v>
      </c>
      <c r="F6" s="10">
        <f>SUMIFS(Data!$F$17:$F$28,Data!$C$17:$C$28,"&gt;="&amp;equalisation_month)-SUMIFS(Data!$D$17:$D$28,Data!$C$17:$C$28,"&gt;="&amp;equalisation_month)</f>
        <v>130199.22999999975</v>
      </c>
      <c r="G6" s="10">
        <f>SUM(Data!$D$17:$D$28)</f>
        <v>2806042.75</v>
      </c>
      <c r="H6" s="10">
        <f>SUM(Data!$G$17:$G$28)</f>
        <v>3108668.8600000003</v>
      </c>
      <c r="I6" s="10">
        <f t="shared" si="2"/>
        <v>302626.11000000034</v>
      </c>
      <c r="J6" s="14">
        <f t="shared" si="3"/>
        <v>0.10784800409758559</v>
      </c>
    </row>
    <row r="7" spans="1:10" x14ac:dyDescent="0.3">
      <c r="A7" s="4" t="s">
        <v>27</v>
      </c>
      <c r="B7" s="10">
        <f>SUMIF(Data!$C$29:$C$40,"&lt;="&amp;fact_months,Data!$D$29:$D$40)</f>
        <v>1754893.58</v>
      </c>
      <c r="C7" s="10">
        <f>SUMIF(Data!$C$29:$C$40,"&lt;="&amp;fact_months,Data!$E$29:$E$40)</f>
        <v>1778155.2899999998</v>
      </c>
      <c r="D7" s="10">
        <f t="shared" si="0"/>
        <v>23261.70999999973</v>
      </c>
      <c r="E7" s="14">
        <f t="shared" si="1"/>
        <v>1.3255339392146919E-2</v>
      </c>
      <c r="F7" s="10">
        <f>SUMIFS(Data!$F$29:$F$40,Data!$C$29:$C$40,"&gt;="&amp;equalisation_month)-SUMIFS(Data!$D$29:$D$40,Data!$C$29:$C$40,"&gt;="&amp;equalisation_month)</f>
        <v>18848.260000000009</v>
      </c>
      <c r="G7" s="10">
        <f>SUM(Data!$D$29:$D$40)</f>
        <v>2638937.7200000002</v>
      </c>
      <c r="H7" s="10">
        <f>SUM(Data!$G$29:$G$40)</f>
        <v>2681047.69</v>
      </c>
      <c r="I7" s="10">
        <f t="shared" si="2"/>
        <v>42109.969999999739</v>
      </c>
      <c r="J7" s="14">
        <f t="shared" si="3"/>
        <v>1.5957167037651702E-2</v>
      </c>
    </row>
    <row r="8" spans="1:10" x14ac:dyDescent="0.3">
      <c r="A8" s="4" t="s">
        <v>28</v>
      </c>
      <c r="B8" s="10">
        <f>SUMIF(Data!$C$41:$C$52,"&lt;="&amp;fact_months,Data!$D$41:$D$52)</f>
        <v>1676571.22</v>
      </c>
      <c r="C8" s="10">
        <f>SUMIF(Data!$C$41:$C$52,"&lt;="&amp;fact_months,Data!$E$41:$E$52)</f>
        <v>1716305.71</v>
      </c>
      <c r="D8" s="10">
        <f t="shared" si="0"/>
        <v>39734.489999999991</v>
      </c>
      <c r="E8" s="14">
        <f t="shared" si="1"/>
        <v>2.3699852130349697E-2</v>
      </c>
      <c r="F8" s="10">
        <f>SUMIFS(Data!$F$41:$F$52,Data!$C$41:$C$52,"&gt;="&amp;equalisation_month)-SUMIFS(Data!$D$41:$D$52,Data!$C$41:$C$52,"&gt;="&amp;equalisation_month)</f>
        <v>48816.629999999888</v>
      </c>
      <c r="G8" s="10">
        <f>SUM(Data!$D$41:$D$52)</f>
        <v>2521159.7199999997</v>
      </c>
      <c r="H8" s="10">
        <f>SUM(Data!$G$41:$G$52)</f>
        <v>2609710.84</v>
      </c>
      <c r="I8" s="10">
        <f t="shared" si="2"/>
        <v>88551.120000000112</v>
      </c>
      <c r="J8" s="14">
        <f t="shared" si="3"/>
        <v>3.5123169427758477E-2</v>
      </c>
    </row>
    <row r="9" spans="1:10" x14ac:dyDescent="0.3">
      <c r="A9" s="4" t="s">
        <v>29</v>
      </c>
      <c r="B9" s="10">
        <f>SUMIF(Data!$C$53:$C$64,"&lt;="&amp;fact_months,Data!$D$53:$D$64)</f>
        <v>1546408.5799999998</v>
      </c>
      <c r="C9" s="10">
        <f>SUMIF(Data!$C$53:$C$64,"&lt;="&amp;fact_months,Data!$E$53:$E$64)</f>
        <v>1584635.1</v>
      </c>
      <c r="D9" s="10">
        <f t="shared" si="0"/>
        <v>38226.520000000251</v>
      </c>
      <c r="E9" s="14">
        <f t="shared" si="1"/>
        <v>2.4719547275145262E-2</v>
      </c>
      <c r="F9" s="10">
        <f>SUMIFS(Data!$F$53:$F$64,Data!$C$53:$C$64,"&gt;="&amp;equalisation_month)-SUMIFS(Data!$D$53:$D$64,Data!$C$53:$C$64,"&gt;="&amp;equalisation_month)</f>
        <v>18953.429999999818</v>
      </c>
      <c r="G9" s="10">
        <f>SUM(Data!$D$53:$D$64)</f>
        <v>2325426.4299999997</v>
      </c>
      <c r="H9" s="10">
        <f>SUM(Data!$G$53:$G$64)</f>
        <v>2382606.3800000004</v>
      </c>
      <c r="I9" s="10">
        <f t="shared" si="2"/>
        <v>57179.950000000652</v>
      </c>
      <c r="J9" s="14">
        <f t="shared" si="3"/>
        <v>2.458901699160642E-2</v>
      </c>
    </row>
    <row r="10" spans="1:10" x14ac:dyDescent="0.3">
      <c r="A10" s="4" t="s">
        <v>30</v>
      </c>
      <c r="B10" s="10">
        <f>SUMIF(Data!$C$65:$C$76,"&lt;="&amp;fact_months,Data!$D$65:$D$76)</f>
        <v>938893.37999999989</v>
      </c>
      <c r="C10" s="10">
        <f>SUMIF(Data!$C$65:$C$76,"&lt;="&amp;fact_months,Data!$E$65:$E$76)</f>
        <v>959203.63</v>
      </c>
      <c r="D10" s="10">
        <f t="shared" si="0"/>
        <v>20310.250000000116</v>
      </c>
      <c r="E10" s="14">
        <f t="shared" si="1"/>
        <v>2.1632115459159079E-2</v>
      </c>
      <c r="F10" s="10">
        <f>SUMIFS(Data!$F$65:$F$76,Data!$C$65:$C$76,"&gt;="&amp;equalisation_month)-SUMIFS(Data!$D$65:$D$76,Data!$C$65:$C$76,"&gt;="&amp;equalisation_month)</f>
        <v>24108.849999999977</v>
      </c>
      <c r="G10" s="10">
        <f>SUM(Data!$D$65:$D$76)</f>
        <v>1411869.7599999998</v>
      </c>
      <c r="H10" s="10">
        <f>SUM(Data!$G$65:$G$76)</f>
        <v>1456288.86</v>
      </c>
      <c r="I10" s="10">
        <f t="shared" si="2"/>
        <v>44419.100000000326</v>
      </c>
      <c r="J10" s="14">
        <f t="shared" si="3"/>
        <v>3.1461188034794606E-2</v>
      </c>
    </row>
    <row r="11" spans="1:10" x14ac:dyDescent="0.3">
      <c r="A11" s="4" t="s">
        <v>31</v>
      </c>
      <c r="B11" s="10">
        <f>SUMIF(Data!$C$77:$C$88,"&lt;="&amp;fact_months,Data!$D$77:$D$88)</f>
        <v>569706.52</v>
      </c>
      <c r="C11" s="10">
        <f>SUMIF(Data!$C$77:$C$88,"&lt;="&amp;fact_months,Data!$E$77:$E$88)</f>
        <v>584946.02999999991</v>
      </c>
      <c r="D11" s="10">
        <f t="shared" si="0"/>
        <v>15239.509999999893</v>
      </c>
      <c r="E11" s="14">
        <f t="shared" si="1"/>
        <v>2.6749755295059449E-2</v>
      </c>
      <c r="F11" s="10">
        <f>SUMIFS(Data!$F$77:$F$88,Data!$C$77:$C$88,"&gt;="&amp;equalisation_month)-SUMIFS(Data!$D$77:$D$88,Data!$C$77:$C$88,"&gt;="&amp;equalisation_month)</f>
        <v>13767.099999999977</v>
      </c>
      <c r="G11" s="10">
        <f>SUM(Data!$D$77:$D$88)</f>
        <v>856701.54000000015</v>
      </c>
      <c r="H11" s="10">
        <f>SUM(Data!$G$77:$G$88)</f>
        <v>885708.14999999991</v>
      </c>
      <c r="I11" s="10">
        <f t="shared" si="2"/>
        <v>29006.609999999753</v>
      </c>
      <c r="J11" s="14">
        <f t="shared" si="3"/>
        <v>3.3858477714420528E-2</v>
      </c>
    </row>
    <row r="12" spans="1:10" x14ac:dyDescent="0.3">
      <c r="A12" s="7" t="s">
        <v>32</v>
      </c>
      <c r="B12" s="13">
        <f>SUM(B5:B11)</f>
        <v>11003124.009999998</v>
      </c>
      <c r="C12" s="13">
        <f>SUM(C5:C11)</f>
        <v>11273198.16</v>
      </c>
      <c r="D12" s="13">
        <f>SUM(D5:D11)</f>
        <v>270074.14999999967</v>
      </c>
      <c r="E12" s="15">
        <f t="shared" si="1"/>
        <v>2.4545224588448468E-2</v>
      </c>
      <c r="F12" s="13">
        <f>SUM(F5:F11)</f>
        <v>268116.75999999943</v>
      </c>
      <c r="G12" s="13">
        <f>SUM(G5:G11)</f>
        <v>16546051.16</v>
      </c>
      <c r="H12" s="13">
        <f>SUM(H5:H11)</f>
        <v>17084242.07</v>
      </c>
      <c r="I12" s="13">
        <f>SUM(I5:I11)</f>
        <v>538190.91000000073</v>
      </c>
      <c r="J12" s="15">
        <f t="shared" si="3"/>
        <v>3.2526849143381997E-2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5"/>
  <sheetViews>
    <sheetView workbookViewId="0"/>
  </sheetViews>
  <sheetFormatPr defaultRowHeight="14.4" x14ac:dyDescent="0.3"/>
  <cols>
    <col min="1" max="1" width="46" customWidth="1"/>
    <col min="2" max="3" width="20" customWidth="1"/>
    <col min="4" max="4" width="18" customWidth="1"/>
    <col min="5" max="5" width="8" customWidth="1"/>
  </cols>
  <sheetData>
    <row r="1" spans="1:5" ht="17.399999999999999" x14ac:dyDescent="0.35">
      <c r="A1" s="1" t="s">
        <v>70</v>
      </c>
      <c r="D1" s="2" t="s">
        <v>71</v>
      </c>
    </row>
    <row r="2" spans="1:5" x14ac:dyDescent="0.3">
      <c r="A2" s="2" t="s">
        <v>72</v>
      </c>
      <c r="D2" s="2" t="s">
        <v>73</v>
      </c>
      <c r="E2" s="2" t="s">
        <v>74</v>
      </c>
    </row>
    <row r="3" spans="1:5" x14ac:dyDescent="0.3">
      <c r="D3" s="2" t="s">
        <v>75</v>
      </c>
      <c r="E3" s="2" t="s">
        <v>76</v>
      </c>
    </row>
    <row r="4" spans="1:5" x14ac:dyDescent="0.3">
      <c r="A4" s="7" t="s">
        <v>77</v>
      </c>
      <c r="D4" s="2" t="s">
        <v>78</v>
      </c>
      <c r="E4" s="2" t="s">
        <v>79</v>
      </c>
    </row>
    <row r="5" spans="1:5" x14ac:dyDescent="0.3">
      <c r="A5" t="s">
        <v>80</v>
      </c>
      <c r="B5" s="10">
        <f>SUMIF(Monthly!$B$6:$B$17,"&lt;="&amp;fact_months,Monthly!$C$6:$C$17)</f>
        <v>11003124.01</v>
      </c>
      <c r="D5" s="2" t="s">
        <v>81</v>
      </c>
      <c r="E5" s="2" t="s">
        <v>82</v>
      </c>
    </row>
    <row r="6" spans="1:5" x14ac:dyDescent="0.3">
      <c r="A6" t="s">
        <v>83</v>
      </c>
      <c r="B6" s="10">
        <f>SUMIF(Monthly!$B$6:$B$17,"&lt;="&amp;fact_months,Monthly!$D$6:$D$17)</f>
        <v>11273198.16</v>
      </c>
      <c r="D6" s="2" t="s">
        <v>84</v>
      </c>
      <c r="E6" s="2" t="s">
        <v>85</v>
      </c>
    </row>
    <row r="7" spans="1:5" x14ac:dyDescent="0.3">
      <c r="A7" t="s">
        <v>86</v>
      </c>
      <c r="B7" s="10">
        <f>B6-B5</f>
        <v>270074.15000000037</v>
      </c>
      <c r="D7" s="2" t="s">
        <v>87</v>
      </c>
      <c r="E7" s="2" t="s">
        <v>88</v>
      </c>
    </row>
    <row r="8" spans="1:5" x14ac:dyDescent="0.3">
      <c r="A8" t="s">
        <v>89</v>
      </c>
      <c r="B8" s="14">
        <f>B7/B5</f>
        <v>2.454522458844853E-2</v>
      </c>
    </row>
    <row r="10" spans="1:5" x14ac:dyDescent="0.3">
      <c r="A10" s="7" t="s">
        <v>90</v>
      </c>
    </row>
    <row r="11" spans="1:5" x14ac:dyDescent="0.3">
      <c r="A11" t="s">
        <v>91</v>
      </c>
      <c r="B11" s="10">
        <f>Equalisation!$E$15</f>
        <v>396244.5219988841</v>
      </c>
    </row>
    <row r="12" spans="1:5" x14ac:dyDescent="0.3">
      <c r="A12" t="s">
        <v>92</v>
      </c>
      <c r="B12" s="10">
        <f>SUMIFS(Data!$F$5:$F$88,Data!$C$5:$C$88,"&gt;="&amp;equalisation_month)-SUMIFS(Data!$D$5:$D$88,Data!$C$5:$C$88,"&gt;="&amp;equalisation_month)</f>
        <v>268116.75999999885</v>
      </c>
    </row>
    <row r="14" spans="1:5" x14ac:dyDescent="0.3">
      <c r="A14" s="7" t="s">
        <v>93</v>
      </c>
    </row>
    <row r="15" spans="1:5" x14ac:dyDescent="0.3">
      <c r="A15" t="s">
        <v>94</v>
      </c>
      <c r="B15" s="10">
        <f>Monthly!$C$18</f>
        <v>16546051.159999998</v>
      </c>
    </row>
    <row r="16" spans="1:5" x14ac:dyDescent="0.3">
      <c r="A16" t="s">
        <v>95</v>
      </c>
      <c r="B16" s="10">
        <f>Monthly!$D$18</f>
        <v>17084242.07</v>
      </c>
    </row>
    <row r="17" spans="1:3" x14ac:dyDescent="0.3">
      <c r="A17" t="s">
        <v>96</v>
      </c>
      <c r="B17" s="10">
        <f>B16-B15</f>
        <v>538190.91000000201</v>
      </c>
    </row>
    <row r="18" spans="1:3" x14ac:dyDescent="0.3">
      <c r="A18" t="s">
        <v>89</v>
      </c>
      <c r="B18" s="14">
        <f>B17/B15</f>
        <v>3.2526849143382081E-2</v>
      </c>
    </row>
    <row r="20" spans="1:3" x14ac:dyDescent="0.3">
      <c r="A20" t="s">
        <v>97</v>
      </c>
      <c r="B20" s="16" t="str">
        <f>INDEX(Monthly!$A$6:$A$17,MATCH(TRUE,INDEX(Monthly!$G$6:$G$17&gt;0,0),0))</f>
        <v>Jan</v>
      </c>
    </row>
    <row r="23" spans="1:3" x14ac:dyDescent="0.3">
      <c r="A23" s="20" t="s">
        <v>98</v>
      </c>
      <c r="B23" s="21"/>
      <c r="C23" s="21"/>
    </row>
    <row r="24" spans="1:3" x14ac:dyDescent="0.3">
      <c r="A24" s="21"/>
      <c r="B24" s="21"/>
      <c r="C24" s="21"/>
    </row>
    <row r="25" spans="1:3" x14ac:dyDescent="0.3">
      <c r="A25" s="21"/>
      <c r="B25" s="21"/>
      <c r="C25" s="21"/>
    </row>
  </sheetData>
  <mergeCells count="1">
    <mergeCell ref="A23:C25"/>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2"/>
  <sheetViews>
    <sheetView workbookViewId="0"/>
  </sheetViews>
  <sheetFormatPr defaultRowHeight="14.4" x14ac:dyDescent="0.3"/>
  <cols>
    <col min="1" max="1" width="32" customWidth="1"/>
    <col min="2" max="2" width="110" customWidth="1"/>
  </cols>
  <sheetData>
    <row r="1" spans="1:2" ht="17.399999999999999" x14ac:dyDescent="0.35">
      <c r="A1" s="1" t="s">
        <v>99</v>
      </c>
    </row>
    <row r="3" spans="1:2" x14ac:dyDescent="0.3">
      <c r="A3" s="17" t="s">
        <v>100</v>
      </c>
    </row>
    <row r="4" spans="1:2" ht="13.95" customHeight="1" x14ac:dyDescent="0.3">
      <c r="A4" s="18" t="s">
        <v>101</v>
      </c>
      <c r="B4" s="19" t="s">
        <v>102</v>
      </c>
    </row>
    <row r="5" spans="1:2" ht="13.95" customHeight="1" x14ac:dyDescent="0.3">
      <c r="A5" s="18" t="s">
        <v>103</v>
      </c>
      <c r="B5" s="19" t="s">
        <v>104</v>
      </c>
    </row>
    <row r="6" spans="1:2" ht="13.95" customHeight="1" x14ac:dyDescent="0.3">
      <c r="A6" s="18" t="s">
        <v>105</v>
      </c>
      <c r="B6" s="19" t="s">
        <v>106</v>
      </c>
    </row>
    <row r="8" spans="1:2" x14ac:dyDescent="0.3">
      <c r="A8" s="17" t="s">
        <v>107</v>
      </c>
    </row>
    <row r="9" spans="1:2" ht="52.05" customHeight="1" x14ac:dyDescent="0.3">
      <c r="A9" s="18" t="s">
        <v>108</v>
      </c>
      <c r="B9" s="19" t="s">
        <v>109</v>
      </c>
    </row>
    <row r="10" spans="1:2" ht="39" customHeight="1" x14ac:dyDescent="0.3">
      <c r="A10" s="18" t="s">
        <v>110</v>
      </c>
      <c r="B10" s="19" t="s">
        <v>111</v>
      </c>
    </row>
    <row r="11" spans="1:2" ht="52.05" customHeight="1" x14ac:dyDescent="0.3">
      <c r="A11" s="18" t="s">
        <v>112</v>
      </c>
      <c r="B11" s="19" t="s">
        <v>113</v>
      </c>
    </row>
    <row r="12" spans="1:2" ht="25.95" customHeight="1" x14ac:dyDescent="0.3">
      <c r="A12" s="18" t="s">
        <v>114</v>
      </c>
      <c r="B12" s="19" t="s">
        <v>115</v>
      </c>
    </row>
    <row r="13" spans="1:2" ht="25.95" customHeight="1" x14ac:dyDescent="0.3">
      <c r="A13" s="18" t="s">
        <v>116</v>
      </c>
      <c r="B13" s="19" t="s">
        <v>117</v>
      </c>
    </row>
    <row r="15" spans="1:2" x14ac:dyDescent="0.3">
      <c r="A15" s="17" t="s">
        <v>118</v>
      </c>
    </row>
    <row r="16" spans="1:2" ht="25.95" customHeight="1" x14ac:dyDescent="0.3">
      <c r="A16" s="18" t="s">
        <v>119</v>
      </c>
      <c r="B16" s="19" t="s">
        <v>120</v>
      </c>
    </row>
    <row r="17" spans="1:2" ht="39" customHeight="1" x14ac:dyDescent="0.3">
      <c r="A17" s="18" t="s">
        <v>121</v>
      </c>
      <c r="B17" s="19" t="s">
        <v>122</v>
      </c>
    </row>
    <row r="19" spans="1:2" x14ac:dyDescent="0.3">
      <c r="A19" s="17" t="s">
        <v>123</v>
      </c>
    </row>
    <row r="20" spans="1:2" ht="13.95" customHeight="1" x14ac:dyDescent="0.3">
      <c r="A20" s="18" t="s">
        <v>124</v>
      </c>
      <c r="B20" s="19" t="s">
        <v>125</v>
      </c>
    </row>
    <row r="21" spans="1:2" ht="103.95" customHeight="1" x14ac:dyDescent="0.3">
      <c r="A21" s="18" t="s">
        <v>126</v>
      </c>
      <c r="B21" s="19" t="s">
        <v>127</v>
      </c>
    </row>
    <row r="22" spans="1:2" ht="25.95" customHeight="1" x14ac:dyDescent="0.3">
      <c r="A22" s="18" t="s">
        <v>128</v>
      </c>
      <c r="B22" s="19" t="s">
        <v>129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Settings</vt:lpstr>
      <vt:lpstr>Equalisation</vt:lpstr>
      <vt:lpstr>Data</vt:lpstr>
      <vt:lpstr>Monthly</vt:lpstr>
      <vt:lpstr>Departments</vt:lpstr>
      <vt:lpstr>Summary</vt:lpstr>
      <vt:lpstr>Legend</vt:lpstr>
      <vt:lpstr>equalisation_month</vt:lpstr>
      <vt:lpstr>fact_months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Olga Dimitrova</cp:lastModifiedBy>
  <dcterms:created xsi:type="dcterms:W3CDTF">2026-09-25T07:04:43Z</dcterms:created>
  <dcterms:modified xsi:type="dcterms:W3CDTF">2026-09-25T07:05:09Z</dcterms:modified>
</cp:coreProperties>
</file>