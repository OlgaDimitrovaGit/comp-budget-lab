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cuments\Projects IA\PROJECT-pay-gap-calculator\budget-plan-fact\build\"/>
    </mc:Choice>
  </mc:AlternateContent>
  <xr:revisionPtr revIDLastSave="0" documentId="13_ncr:1_{07DD9CEA-97B6-40F1-A317-0A8116A78F47}" xr6:coauthVersionLast="47" xr6:coauthVersionMax="47" xr10:uidLastSave="{00000000-0000-0000-0000-000000000000}"/>
  <bookViews>
    <workbookView xWindow="-108" yWindow="-108" windowWidth="23256" windowHeight="13896" xr2:uid="{00000000-000D-0000-FFFF-FFFF00000000}"/>
  </bookViews>
  <sheets>
    <sheet name="Settings" sheetId="1" r:id="rId1"/>
    <sheet name="Equalisation" sheetId="2" r:id="rId2"/>
    <sheet name="Data" sheetId="3" r:id="rId3"/>
    <sheet name="Monthly" sheetId="4" r:id="rId4"/>
    <sheet name="Departments" sheetId="5" r:id="rId5"/>
    <sheet name="Summary" sheetId="6" r:id="rId6"/>
    <sheet name="Legend" sheetId="7" r:id="rId7"/>
  </sheets>
  <definedNames>
    <definedName name="_xlnm._FilterDatabase" localSheetId="2" hidden="1">Data!$A$4:$J$88</definedName>
    <definedName name="equalisation_month">Settings!$B$8</definedName>
    <definedName name="fact_months">Settings!$B$7</definedName>
  </definedNames>
  <calcPr calcId="181029"/>
</workbook>
</file>

<file path=xl/calcChain.xml><?xml version="1.0" encoding="utf-8"?>
<calcChain xmlns="http://schemas.openxmlformats.org/spreadsheetml/2006/main">
  <c r="G11" i="5" l="1"/>
  <c r="C11" i="5"/>
  <c r="B11" i="5"/>
  <c r="G10" i="5"/>
  <c r="C10" i="5"/>
  <c r="B10" i="5"/>
  <c r="G9" i="5"/>
  <c r="C9" i="5"/>
  <c r="B9" i="5"/>
  <c r="G8" i="5"/>
  <c r="C8" i="5"/>
  <c r="B8" i="5"/>
  <c r="G7" i="5"/>
  <c r="C7" i="5"/>
  <c r="B7" i="5"/>
  <c r="G6" i="5"/>
  <c r="C6" i="5"/>
  <c r="B6" i="5"/>
  <c r="G5" i="5"/>
  <c r="C5" i="5"/>
  <c r="B5" i="5"/>
  <c r="C17" i="4"/>
  <c r="C16" i="4"/>
  <c r="C15" i="4"/>
  <c r="C14" i="4"/>
  <c r="C13" i="4"/>
  <c r="C12" i="4"/>
  <c r="C11" i="4"/>
  <c r="C10" i="4"/>
  <c r="C9" i="4"/>
  <c r="C8" i="4"/>
  <c r="C7" i="4"/>
  <c r="C6" i="4"/>
  <c r="G84" i="3"/>
  <c r="H84" i="3" s="1"/>
  <c r="I84" i="3" s="1"/>
  <c r="F84" i="3"/>
  <c r="G83" i="3"/>
  <c r="H83" i="3" s="1"/>
  <c r="I83" i="3" s="1"/>
  <c r="F83" i="3"/>
  <c r="G82" i="3"/>
  <c r="H82" i="3" s="1"/>
  <c r="I82" i="3" s="1"/>
  <c r="F82" i="3"/>
  <c r="G81" i="3"/>
  <c r="H81" i="3" s="1"/>
  <c r="I81" i="3" s="1"/>
  <c r="F81" i="3"/>
  <c r="G80" i="3"/>
  <c r="H80" i="3" s="1"/>
  <c r="I80" i="3" s="1"/>
  <c r="F80" i="3"/>
  <c r="G79" i="3"/>
  <c r="H79" i="3" s="1"/>
  <c r="I79" i="3" s="1"/>
  <c r="F79" i="3"/>
  <c r="G78" i="3"/>
  <c r="H78" i="3" s="1"/>
  <c r="I78" i="3" s="1"/>
  <c r="F78" i="3"/>
  <c r="G77" i="3"/>
  <c r="F77" i="3"/>
  <c r="G72" i="3"/>
  <c r="H72" i="3" s="1"/>
  <c r="I72" i="3" s="1"/>
  <c r="F72" i="3"/>
  <c r="G71" i="3"/>
  <c r="H71" i="3" s="1"/>
  <c r="I71" i="3" s="1"/>
  <c r="F71" i="3"/>
  <c r="G70" i="3"/>
  <c r="H70" i="3" s="1"/>
  <c r="I70" i="3" s="1"/>
  <c r="F70" i="3"/>
  <c r="G69" i="3"/>
  <c r="H69" i="3" s="1"/>
  <c r="I69" i="3" s="1"/>
  <c r="F69" i="3"/>
  <c r="G68" i="3"/>
  <c r="H68" i="3" s="1"/>
  <c r="I68" i="3" s="1"/>
  <c r="F68" i="3"/>
  <c r="G67" i="3"/>
  <c r="H67" i="3" s="1"/>
  <c r="I67" i="3" s="1"/>
  <c r="F67" i="3"/>
  <c r="G66" i="3"/>
  <c r="F66" i="3"/>
  <c r="G65" i="3"/>
  <c r="H65" i="3" s="1"/>
  <c r="F65" i="3"/>
  <c r="G60" i="3"/>
  <c r="H60" i="3" s="1"/>
  <c r="I60" i="3" s="1"/>
  <c r="F60" i="3"/>
  <c r="G59" i="3"/>
  <c r="H59" i="3" s="1"/>
  <c r="I59" i="3" s="1"/>
  <c r="F59" i="3"/>
  <c r="G58" i="3"/>
  <c r="H58" i="3" s="1"/>
  <c r="I58" i="3" s="1"/>
  <c r="F58" i="3"/>
  <c r="G57" i="3"/>
  <c r="H57" i="3" s="1"/>
  <c r="I57" i="3" s="1"/>
  <c r="F57" i="3"/>
  <c r="G56" i="3"/>
  <c r="H56" i="3" s="1"/>
  <c r="I56" i="3" s="1"/>
  <c r="F56" i="3"/>
  <c r="G55" i="3"/>
  <c r="H55" i="3" s="1"/>
  <c r="I55" i="3" s="1"/>
  <c r="F55" i="3"/>
  <c r="G54" i="3"/>
  <c r="H54" i="3" s="1"/>
  <c r="I54" i="3" s="1"/>
  <c r="F54" i="3"/>
  <c r="G53" i="3"/>
  <c r="H53" i="3" s="1"/>
  <c r="J53" i="3" s="1"/>
  <c r="F53" i="3"/>
  <c r="G48" i="3"/>
  <c r="H48" i="3" s="1"/>
  <c r="I48" i="3" s="1"/>
  <c r="F48" i="3"/>
  <c r="G47" i="3"/>
  <c r="H47" i="3" s="1"/>
  <c r="I47" i="3" s="1"/>
  <c r="F47" i="3"/>
  <c r="G46" i="3"/>
  <c r="H46" i="3" s="1"/>
  <c r="I46" i="3" s="1"/>
  <c r="F46" i="3"/>
  <c r="G45" i="3"/>
  <c r="H45" i="3" s="1"/>
  <c r="I45" i="3" s="1"/>
  <c r="F45" i="3"/>
  <c r="G44" i="3"/>
  <c r="H44" i="3" s="1"/>
  <c r="I44" i="3" s="1"/>
  <c r="F44" i="3"/>
  <c r="G43" i="3"/>
  <c r="H43" i="3" s="1"/>
  <c r="I43" i="3" s="1"/>
  <c r="F43" i="3"/>
  <c r="G42" i="3"/>
  <c r="H42" i="3" s="1"/>
  <c r="I42" i="3" s="1"/>
  <c r="F42" i="3"/>
  <c r="G41" i="3"/>
  <c r="F41" i="3"/>
  <c r="G36" i="3"/>
  <c r="H36" i="3" s="1"/>
  <c r="I36" i="3" s="1"/>
  <c r="F36" i="3"/>
  <c r="G35" i="3"/>
  <c r="H35" i="3" s="1"/>
  <c r="I35" i="3" s="1"/>
  <c r="F35" i="3"/>
  <c r="G34" i="3"/>
  <c r="H34" i="3" s="1"/>
  <c r="I34" i="3" s="1"/>
  <c r="F34" i="3"/>
  <c r="G33" i="3"/>
  <c r="F33" i="3"/>
  <c r="G32" i="3"/>
  <c r="H32" i="3" s="1"/>
  <c r="I32" i="3" s="1"/>
  <c r="F32" i="3"/>
  <c r="G31" i="3"/>
  <c r="H31" i="3" s="1"/>
  <c r="I31" i="3" s="1"/>
  <c r="F31" i="3"/>
  <c r="G30" i="3"/>
  <c r="H30" i="3" s="1"/>
  <c r="I30" i="3" s="1"/>
  <c r="F30" i="3"/>
  <c r="G29" i="3"/>
  <c r="H29" i="3" s="1"/>
  <c r="F29" i="3"/>
  <c r="G24" i="3"/>
  <c r="H24" i="3" s="1"/>
  <c r="I24" i="3" s="1"/>
  <c r="F24" i="3"/>
  <c r="G23" i="3"/>
  <c r="H23" i="3" s="1"/>
  <c r="I23" i="3" s="1"/>
  <c r="F23" i="3"/>
  <c r="G22" i="3"/>
  <c r="H22" i="3" s="1"/>
  <c r="I22" i="3" s="1"/>
  <c r="F22" i="3"/>
  <c r="G21" i="3"/>
  <c r="H21" i="3" s="1"/>
  <c r="I21" i="3" s="1"/>
  <c r="F21" i="3"/>
  <c r="G20" i="3"/>
  <c r="F20" i="3"/>
  <c r="G19" i="3"/>
  <c r="H19" i="3" s="1"/>
  <c r="I19" i="3" s="1"/>
  <c r="F19" i="3"/>
  <c r="G18" i="3"/>
  <c r="H18" i="3" s="1"/>
  <c r="I18" i="3" s="1"/>
  <c r="F18" i="3"/>
  <c r="G17" i="3"/>
  <c r="F17" i="3"/>
  <c r="G12" i="3"/>
  <c r="F12" i="3"/>
  <c r="G11" i="3"/>
  <c r="F11" i="3"/>
  <c r="G10" i="3"/>
  <c r="H10" i="3" s="1"/>
  <c r="I10" i="3" s="1"/>
  <c r="F10" i="3"/>
  <c r="G9" i="3"/>
  <c r="H9" i="3" s="1"/>
  <c r="I9" i="3" s="1"/>
  <c r="F9" i="3"/>
  <c r="G8" i="3"/>
  <c r="H8" i="3" s="1"/>
  <c r="I8" i="3" s="1"/>
  <c r="F8" i="3"/>
  <c r="G7" i="3"/>
  <c r="F7" i="3"/>
  <c r="G6" i="3"/>
  <c r="F6" i="3"/>
  <c r="G5" i="3"/>
  <c r="F5" i="3"/>
  <c r="D15" i="2"/>
  <c r="C15" i="2"/>
  <c r="B15" i="2"/>
  <c r="E14" i="2"/>
  <c r="F14" i="2" s="1"/>
  <c r="E13" i="2"/>
  <c r="F13" i="2" s="1"/>
  <c r="E12" i="2"/>
  <c r="F12" i="2" s="1"/>
  <c r="E11" i="2"/>
  <c r="F11" i="2" s="1"/>
  <c r="E10" i="2"/>
  <c r="F10" i="2" s="1"/>
  <c r="E9" i="2"/>
  <c r="F9" i="2" s="1"/>
  <c r="E8" i="2"/>
  <c r="F8" i="2" s="1"/>
  <c r="F15" i="3" s="1"/>
  <c r="G15" i="3" s="1"/>
  <c r="D13" i="4" l="1"/>
  <c r="E13" i="4" s="1"/>
  <c r="F13" i="4" s="1"/>
  <c r="D8" i="5"/>
  <c r="E8" i="5" s="1"/>
  <c r="B12" i="5"/>
  <c r="D5" i="5"/>
  <c r="G12" i="5"/>
  <c r="D6" i="5"/>
  <c r="E6" i="5" s="1"/>
  <c r="D7" i="5"/>
  <c r="E7" i="5" s="1"/>
  <c r="D11" i="5"/>
  <c r="E11" i="5" s="1"/>
  <c r="D9" i="5"/>
  <c r="E9" i="5" s="1"/>
  <c r="B5" i="6"/>
  <c r="D6" i="4"/>
  <c r="E6" i="4" s="1"/>
  <c r="F6" i="4" s="1"/>
  <c r="D10" i="5"/>
  <c r="E10" i="5" s="1"/>
  <c r="D9" i="4"/>
  <c r="E9" i="4" s="1"/>
  <c r="F9" i="4" s="1"/>
  <c r="D8" i="4"/>
  <c r="E8" i="4" s="1"/>
  <c r="F8" i="4" s="1"/>
  <c r="F25" i="3"/>
  <c r="F27" i="3"/>
  <c r="G27" i="3" s="1"/>
  <c r="H27" i="3" s="1"/>
  <c r="I27" i="3" s="1"/>
  <c r="F26" i="3"/>
  <c r="G26" i="3" s="1"/>
  <c r="H26" i="3" s="1"/>
  <c r="I26" i="3" s="1"/>
  <c r="F28" i="3"/>
  <c r="G28" i="3" s="1"/>
  <c r="H28" i="3" s="1"/>
  <c r="I28" i="3" s="1"/>
  <c r="F39" i="3"/>
  <c r="G39" i="3" s="1"/>
  <c r="H39" i="3" s="1"/>
  <c r="I39" i="3" s="1"/>
  <c r="F40" i="3"/>
  <c r="G40" i="3" s="1"/>
  <c r="H40" i="3" s="1"/>
  <c r="I40" i="3" s="1"/>
  <c r="F38" i="3"/>
  <c r="G38" i="3" s="1"/>
  <c r="H38" i="3" s="1"/>
  <c r="I38" i="3" s="1"/>
  <c r="F52" i="3"/>
  <c r="G52" i="3" s="1"/>
  <c r="H52" i="3" s="1"/>
  <c r="I52" i="3" s="1"/>
  <c r="F49" i="3"/>
  <c r="F51" i="3"/>
  <c r="G51" i="3" s="1"/>
  <c r="H51" i="3" s="1"/>
  <c r="I51" i="3" s="1"/>
  <c r="F74" i="3"/>
  <c r="G74" i="3" s="1"/>
  <c r="H74" i="3" s="1"/>
  <c r="I74" i="3" s="1"/>
  <c r="F76" i="3"/>
  <c r="G76" i="3" s="1"/>
  <c r="H76" i="3" s="1"/>
  <c r="I76" i="3" s="1"/>
  <c r="F73" i="3"/>
  <c r="F75" i="3"/>
  <c r="G75" i="3" s="1"/>
  <c r="H75" i="3" s="1"/>
  <c r="I75" i="3" s="1"/>
  <c r="F87" i="3"/>
  <c r="G87" i="3" s="1"/>
  <c r="H87" i="3" s="1"/>
  <c r="I87" i="3" s="1"/>
  <c r="F88" i="3"/>
  <c r="G88" i="3" s="1"/>
  <c r="H88" i="3" s="1"/>
  <c r="I88" i="3" s="1"/>
  <c r="F86" i="3"/>
  <c r="G86" i="3" s="1"/>
  <c r="H86" i="3" s="1"/>
  <c r="I86" i="3" s="1"/>
  <c r="D12" i="4"/>
  <c r="E12" i="4" s="1"/>
  <c r="F12" i="4" s="1"/>
  <c r="H11" i="3"/>
  <c r="I11" i="3" s="1"/>
  <c r="D10" i="4"/>
  <c r="E10" i="4" s="1"/>
  <c r="F10" i="4" s="1"/>
  <c r="H33" i="3"/>
  <c r="I33" i="3" s="1"/>
  <c r="C18" i="4"/>
  <c r="B15" i="6" s="1"/>
  <c r="D11" i="4"/>
  <c r="E11" i="4" s="1"/>
  <c r="F11" i="4" s="1"/>
  <c r="J65" i="3"/>
  <c r="I65" i="3"/>
  <c r="E5" i="5"/>
  <c r="D12" i="5"/>
  <c r="E12" i="5" s="1"/>
  <c r="F61" i="3"/>
  <c r="F64" i="3"/>
  <c r="G64" i="3" s="1"/>
  <c r="H64" i="3" s="1"/>
  <c r="I64" i="3" s="1"/>
  <c r="F62" i="3"/>
  <c r="G62" i="3" s="1"/>
  <c r="H62" i="3" s="1"/>
  <c r="I62" i="3" s="1"/>
  <c r="H15" i="3"/>
  <c r="I15" i="3" s="1"/>
  <c r="D7" i="4"/>
  <c r="E7" i="4" s="1"/>
  <c r="F7" i="4" s="1"/>
  <c r="H6" i="3"/>
  <c r="I6" i="3" s="1"/>
  <c r="F37" i="3"/>
  <c r="J29" i="3"/>
  <c r="J30" i="3" s="1"/>
  <c r="J31" i="3" s="1"/>
  <c r="J32" i="3" s="1"/>
  <c r="I29" i="3"/>
  <c r="F50" i="3"/>
  <c r="G50" i="3" s="1"/>
  <c r="H50" i="3" s="1"/>
  <c r="I50" i="3" s="1"/>
  <c r="H41" i="3"/>
  <c r="F63" i="3"/>
  <c r="G63" i="3" s="1"/>
  <c r="H63" i="3" s="1"/>
  <c r="I63" i="3" s="1"/>
  <c r="E15" i="2"/>
  <c r="B11" i="6" s="1"/>
  <c r="F16" i="3"/>
  <c r="G16" i="3" s="1"/>
  <c r="F14" i="3"/>
  <c r="G14" i="3" s="1"/>
  <c r="F15" i="2"/>
  <c r="F13" i="3"/>
  <c r="J54" i="3"/>
  <c r="J55" i="3" s="1"/>
  <c r="J56" i="3" s="1"/>
  <c r="J57" i="3" s="1"/>
  <c r="J58" i="3" s="1"/>
  <c r="J59" i="3" s="1"/>
  <c r="J60" i="3" s="1"/>
  <c r="F85" i="3"/>
  <c r="H20" i="3"/>
  <c r="I20" i="3" s="1"/>
  <c r="H17" i="3"/>
  <c r="C12" i="5"/>
  <c r="H66" i="3"/>
  <c r="I66" i="3" s="1"/>
  <c r="H77" i="3"/>
  <c r="I53" i="3"/>
  <c r="H5" i="3"/>
  <c r="H7" i="3"/>
  <c r="I7" i="3" s="1"/>
  <c r="H12" i="3"/>
  <c r="I12" i="3" s="1"/>
  <c r="G6" i="4" l="1"/>
  <c r="J33" i="3"/>
  <c r="J34" i="3" s="1"/>
  <c r="J35" i="3" s="1"/>
  <c r="J36" i="3" s="1"/>
  <c r="D16" i="4"/>
  <c r="E16" i="4" s="1"/>
  <c r="F16" i="4" s="1"/>
  <c r="G37" i="3"/>
  <c r="F7" i="5"/>
  <c r="F10" i="5"/>
  <c r="G73" i="3"/>
  <c r="B12" i="6"/>
  <c r="F5" i="5"/>
  <c r="G13" i="3"/>
  <c r="J41" i="3"/>
  <c r="J42" i="3" s="1"/>
  <c r="J43" i="3" s="1"/>
  <c r="J44" i="3" s="1"/>
  <c r="J45" i="3" s="1"/>
  <c r="J46" i="3" s="1"/>
  <c r="J47" i="3" s="1"/>
  <c r="J48" i="3" s="1"/>
  <c r="I41" i="3"/>
  <c r="J66" i="3"/>
  <c r="J67" i="3" s="1"/>
  <c r="J68" i="3" s="1"/>
  <c r="J69" i="3" s="1"/>
  <c r="J70" i="3" s="1"/>
  <c r="J71" i="3" s="1"/>
  <c r="J72" i="3" s="1"/>
  <c r="I5" i="3"/>
  <c r="J5" i="3"/>
  <c r="J6" i="3" s="1"/>
  <c r="J7" i="3" s="1"/>
  <c r="J8" i="3" s="1"/>
  <c r="J9" i="3" s="1"/>
  <c r="J10" i="3" s="1"/>
  <c r="J11" i="3" s="1"/>
  <c r="J12" i="3" s="1"/>
  <c r="J77" i="3"/>
  <c r="J78" i="3" s="1"/>
  <c r="J79" i="3" s="1"/>
  <c r="J80" i="3" s="1"/>
  <c r="J81" i="3" s="1"/>
  <c r="J82" i="3" s="1"/>
  <c r="J83" i="3" s="1"/>
  <c r="J84" i="3" s="1"/>
  <c r="I77" i="3"/>
  <c r="J17" i="3"/>
  <c r="J18" i="3" s="1"/>
  <c r="J19" i="3" s="1"/>
  <c r="J20" i="3" s="1"/>
  <c r="J21" i="3" s="1"/>
  <c r="J22" i="3" s="1"/>
  <c r="J23" i="3" s="1"/>
  <c r="J24" i="3" s="1"/>
  <c r="I17" i="3"/>
  <c r="B6" i="6"/>
  <c r="B7" i="6" s="1"/>
  <c r="B8" i="6" s="1"/>
  <c r="F11" i="5"/>
  <c r="G85" i="3"/>
  <c r="B20" i="6"/>
  <c r="G7" i="4"/>
  <c r="G8" i="4" s="1"/>
  <c r="G9" i="4" s="1"/>
  <c r="G10" i="4" s="1"/>
  <c r="G11" i="4" s="1"/>
  <c r="G12" i="4" s="1"/>
  <c r="G13" i="4" s="1"/>
  <c r="F9" i="5"/>
  <c r="G61" i="3"/>
  <c r="H14" i="3"/>
  <c r="I14" i="3" s="1"/>
  <c r="D15" i="4"/>
  <c r="E15" i="4" s="1"/>
  <c r="F15" i="4" s="1"/>
  <c r="D17" i="4"/>
  <c r="E17" i="4" s="1"/>
  <c r="F17" i="4" s="1"/>
  <c r="H16" i="3"/>
  <c r="I16" i="3" s="1"/>
  <c r="F8" i="5"/>
  <c r="G49" i="3"/>
  <c r="G25" i="3"/>
  <c r="F6" i="5"/>
  <c r="H25" i="3" l="1"/>
  <c r="I25" i="3" s="1"/>
  <c r="H6" i="5"/>
  <c r="I6" i="5" s="1"/>
  <c r="J6" i="5" s="1"/>
  <c r="D14" i="4"/>
  <c r="H13" i="3"/>
  <c r="I13" i="3" s="1"/>
  <c r="H5" i="5"/>
  <c r="H85" i="3"/>
  <c r="I85" i="3" s="1"/>
  <c r="H11" i="5"/>
  <c r="I11" i="5" s="1"/>
  <c r="J11" i="5" s="1"/>
  <c r="J25" i="3"/>
  <c r="J26" i="3" s="1"/>
  <c r="J27" i="3" s="1"/>
  <c r="J28" i="3" s="1"/>
  <c r="J85" i="3"/>
  <c r="J86" i="3" s="1"/>
  <c r="J87" i="3" s="1"/>
  <c r="J88" i="3" s="1"/>
  <c r="J13" i="3"/>
  <c r="J14" i="3" s="1"/>
  <c r="J15" i="3" s="1"/>
  <c r="J16" i="3" s="1"/>
  <c r="H49" i="3"/>
  <c r="I49" i="3" s="1"/>
  <c r="H8" i="5"/>
  <c r="I8" i="5" s="1"/>
  <c r="J8" i="5" s="1"/>
  <c r="F12" i="5"/>
  <c r="H73" i="3"/>
  <c r="I73" i="3" s="1"/>
  <c r="H10" i="5"/>
  <c r="I10" i="5" s="1"/>
  <c r="J10" i="5" s="1"/>
  <c r="H61" i="3"/>
  <c r="H9" i="5"/>
  <c r="I9" i="5" s="1"/>
  <c r="J9" i="5" s="1"/>
  <c r="H37" i="3"/>
  <c r="H7" i="5"/>
  <c r="I7" i="5" s="1"/>
  <c r="J7" i="5" s="1"/>
  <c r="I37" i="3" l="1"/>
  <c r="J37" i="3"/>
  <c r="J38" i="3" s="1"/>
  <c r="J39" i="3" s="1"/>
  <c r="J40" i="3" s="1"/>
  <c r="I61" i="3"/>
  <c r="J61" i="3"/>
  <c r="J62" i="3" s="1"/>
  <c r="J63" i="3" s="1"/>
  <c r="J64" i="3" s="1"/>
  <c r="I5" i="5"/>
  <c r="H12" i="5"/>
  <c r="E14" i="4"/>
  <c r="D18" i="4"/>
  <c r="B16" i="6" s="1"/>
  <c r="B17" i="6" s="1"/>
  <c r="B18" i="6" s="1"/>
  <c r="J49" i="3"/>
  <c r="J50" i="3" s="1"/>
  <c r="J51" i="3" s="1"/>
  <c r="J52" i="3" s="1"/>
  <c r="J73" i="3"/>
  <c r="J74" i="3" s="1"/>
  <c r="J75" i="3" s="1"/>
  <c r="J76" i="3" s="1"/>
  <c r="F14" i="4" l="1"/>
  <c r="E18" i="4"/>
  <c r="F18" i="4" s="1"/>
  <c r="G14" i="4"/>
  <c r="G15" i="4" s="1"/>
  <c r="G16" i="4" s="1"/>
  <c r="G17" i="4" s="1"/>
  <c r="J5" i="5"/>
  <c r="I12" i="5"/>
  <c r="J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Comp Budget Lab</author>
  </authors>
  <commentList>
    <comment ref="D4" authorId="0" shapeId="0" xr:uid="{00000000-0006-0000-0200-000001000000}">
      <text>
        <r>
          <rPr>
            <sz val="11"/>
            <color theme="1"/>
            <rFont val="Calibri"/>
            <family val="2"/>
            <scheme val="minor"/>
          </rPr>
          <t>Annual payroll including employer contributions, spread over months with holiday-reserve seasonality. Higher at the start and end of the year, lower over the summer.</t>
        </r>
      </text>
    </comment>
    <comment ref="E4" authorId="0" shapeId="0" xr:uid="{00000000-0006-0000-0200-000002000000}">
      <text>
        <r>
          <rPr>
            <sz val="11"/>
            <color theme="1"/>
            <rFont val="Calibri"/>
            <family val="2"/>
            <scheme val="minor"/>
          </rPr>
          <t>Actuals, months 1..fact_months. Empty afterwards.</t>
        </r>
      </text>
    </comment>
    <comment ref="F4" authorId="0" shapeId="0" xr:uid="{00000000-0006-0000-0200-000003000000}">
      <text>
        <r>
          <rPr>
            <sz val="11"/>
            <color theme="1"/>
            <rFont val="Calibri"/>
            <family val="2"/>
            <scheme val="minor"/>
          </rPr>
          <t>Forecast for the remaining months. It carries the department's own deviation forward and adds the monthly equalisation uplift once the equalisation month is reached. A department that overspent for eight months keeps overspending: the uplift sits on top of that, it does not replace it.</t>
        </r>
      </text>
    </comment>
    <comment ref="G4" authorId="0" shapeId="0" xr:uid="{00000000-0006-0000-0200-000004000000}">
      <text>
        <r>
          <rPr>
            <sz val="11"/>
            <color theme="1"/>
            <rFont val="Calibri"/>
            <family val="2"/>
            <scheme val="minor"/>
          </rPr>
          <t>Whichever of the two is known for this month: actual if there is one, otherwise forecast.</t>
        </r>
      </text>
    </comment>
    <comment ref="J4" authorId="0" shapeId="0" xr:uid="{00000000-0006-0000-0200-000005000000}">
      <text>
        <r>
          <rPr>
            <sz val="11"/>
            <color theme="1"/>
            <rFont val="Calibri"/>
            <family val="2"/>
            <scheme val="minor"/>
          </rPr>
          <t>Running total of deviation within the department, from January. It shows whether a department's monthly gaps accumulate or cancel out over the year.</t>
        </r>
      </text>
    </comment>
  </commentList>
</comments>
</file>

<file path=xl/sharedStrings.xml><?xml version="1.0" encoding="utf-8"?>
<sst xmlns="http://schemas.openxmlformats.org/spreadsheetml/2006/main" count="316" uniqueCount="130">
  <si>
    <t>Model settings</t>
  </si>
  <si>
    <t>Payroll budget plan vs actual. Synthetic data, illustration of method. Comp Budget Lab.</t>
  </si>
  <si>
    <t>Only the green cells are meant to be edited. Everything else recalculates.</t>
  </si>
  <si>
    <t>Name</t>
  </si>
  <si>
    <t>Value</t>
  </si>
  <si>
    <t>What it is</t>
  </si>
  <si>
    <t>Notes</t>
  </si>
  <si>
    <t>fact_months</t>
  </si>
  <si>
    <t>Months of actuals</t>
  </si>
  <si>
    <t>Months are numbered from 1 for January, so 8 means actuals run to August. Later months are forecast.</t>
  </si>
  <si>
    <t>equalisation_month</t>
  </si>
  <si>
    <t>Equalisation starts in month</t>
  </si>
  <si>
    <t>Months are numbered from 1 for January, so 9 means September. From that month onwards the forecast carries the cost of closing the pay gap.</t>
  </si>
  <si>
    <t>Scenario</t>
  </si>
  <si>
    <t>Full equalisation: every unexplained residual brought to zero. The budget was approved before that decision was taken, so it contains no money for it. From the equalisation month onwards the forecast therefore runs above plan.</t>
  </si>
  <si>
    <t>Cost of closing the pay gap, by department</t>
  </si>
  <si>
    <t>What it costs to raise pay for the people who are underpaid for reasons that grade and tenure do not explain. Each figure is the annual cost of those raises plus the employer contributions due on them. The monthly uplift is that annual cost divided by twelve.</t>
  </si>
  <si>
    <t>The figures come from a separate calculator that measures the gap and prices the two ways of closing it: bringing every category to a 5% threshold, or bringing every unexplained difference to zero. This workbook takes its output and asks a different question: what that decision does to a budget already approved. Calculator and method: https://olgadimitrovagit.github.io/comp-budget-lab/</t>
  </si>
  <si>
    <t>Department</t>
  </si>
  <si>
    <t>Recipients</t>
  </si>
  <si>
    <t>Adjustment, EUR</t>
  </si>
  <si>
    <t>Contributions, EUR</t>
  </si>
  <si>
    <t>Annual cost, EUR</t>
  </si>
  <si>
    <t>Monthly uplift, EUR</t>
  </si>
  <si>
    <t>Run-rate deviation, %</t>
  </si>
  <si>
    <t>Engineering</t>
  </si>
  <si>
    <t>Sales</t>
  </si>
  <si>
    <t>Operations</t>
  </si>
  <si>
    <t>Manufacturing</t>
  </si>
  <si>
    <t>Marketing</t>
  </si>
  <si>
    <t>Customer Support</t>
  </si>
  <si>
    <t>Legal</t>
  </si>
  <si>
    <t>TOTAL</t>
  </si>
  <si>
    <t>Plan vs actual by department and month</t>
  </si>
  <si>
    <t>Yellow: from the CSV. Blue: calculated here. Deviation is actual (or forecast) minus plan: positive means overspend.</t>
  </si>
  <si>
    <t>Month</t>
  </si>
  <si>
    <t>#</t>
  </si>
  <si>
    <t>Plan, EUR</t>
  </si>
  <si>
    <t>Actual, EUR</t>
  </si>
  <si>
    <t>Forecast, EUR</t>
  </si>
  <si>
    <t>Expected, EUR</t>
  </si>
  <si>
    <t>Deviation, EUR</t>
  </si>
  <si>
    <t>Deviation, %</t>
  </si>
  <si>
    <t>Cumulative, EUR</t>
  </si>
  <si>
    <t>Jan</t>
  </si>
  <si>
    <t>Feb</t>
  </si>
  <si>
    <t>Mar</t>
  </si>
  <si>
    <t>Apr</t>
  </si>
  <si>
    <t>May</t>
  </si>
  <si>
    <t>Jun</t>
  </si>
  <si>
    <t>Jul</t>
  </si>
  <si>
    <t>Aug</t>
  </si>
  <si>
    <t>Sep</t>
  </si>
  <si>
    <t>Oct</t>
  </si>
  <si>
    <t>Nov</t>
  </si>
  <si>
    <t>Dec</t>
  </si>
  <si>
    <t>Company total by month</t>
  </si>
  <si>
    <t>Two different quantities, and the dashboard must keep them apart: the monthly deviation says how far this month ran from plan, while the cumulative one carries every month before it. On this dataset both are positive from January, and the monthly figure roughly doubles once equalisation starts.</t>
  </si>
  <si>
    <t>YEAR</t>
  </si>
  <si>
    <t>By department: eight months of actuals against the year</t>
  </si>
  <si>
    <t>Sign of the deviation is stable within a department: it either underspends all year or overspends all year. On this dataset six of seven overspend; Engineering is the one that does not.</t>
  </si>
  <si>
    <t>Plan 8M, EUR</t>
  </si>
  <si>
    <t>Actual 8M, EUR</t>
  </si>
  <si>
    <t>Deviation 8M, EUR</t>
  </si>
  <si>
    <t>Deviation 8M, %</t>
  </si>
  <si>
    <t>Equalisation, EUR</t>
  </si>
  <si>
    <t>Year plan, EUR</t>
  </si>
  <si>
    <t>Year expected, EUR</t>
  </si>
  <si>
    <t>Year deviation, EUR</t>
  </si>
  <si>
    <t>Year, %</t>
  </si>
  <si>
    <t>Summary</t>
  </si>
  <si>
    <t>cells_for_check</t>
  </si>
  <si>
    <t>Every figure here is a formula. Change an actual on the Data sheet and watch this recalculate.</t>
  </si>
  <si>
    <t>plan8</t>
  </si>
  <si>
    <t>B5</t>
  </si>
  <si>
    <t>fact8</t>
  </si>
  <si>
    <t>B6</t>
  </si>
  <si>
    <t>Eight months of actuals</t>
  </si>
  <si>
    <t>yplan</t>
  </si>
  <si>
    <t>B15</t>
  </si>
  <si>
    <t>Plan, Jan-Aug</t>
  </si>
  <si>
    <t>yexp</t>
  </si>
  <si>
    <t>B16</t>
  </si>
  <si>
    <t>Actual, Jan-Aug</t>
  </si>
  <si>
    <t>ydelta</t>
  </si>
  <si>
    <t>B17</t>
  </si>
  <si>
    <t>Accumulated deviation</t>
  </si>
  <si>
    <t>cross</t>
  </si>
  <si>
    <t>B20</t>
  </si>
  <si>
    <t>As % of plan</t>
  </si>
  <si>
    <t>Cost of closing the gap</t>
  </si>
  <si>
    <t>Annual cost of equalisation</t>
  </si>
  <si>
    <t>Charged this year (from month 9)</t>
  </si>
  <si>
    <t>Full year</t>
  </si>
  <si>
    <t>Plan</t>
  </si>
  <si>
    <t>Expected (actual + forecast)</t>
  </si>
  <si>
    <t>Deviation</t>
  </si>
  <si>
    <t>First month the cumulative is above plan</t>
  </si>
  <si>
    <t>Deviation is expected minus plan throughout. A positive figure means the company spent more than planned, a negative one less. On this dataset the deviation is positive from January and the cumulative never returns to plan.</t>
  </si>
  <si>
    <t>Legend and method</t>
  </si>
  <si>
    <t>Colours</t>
  </si>
  <si>
    <t>Yellow</t>
  </si>
  <si>
    <t>Source data. Comes from the CSV, never calculated.</t>
  </si>
  <si>
    <t>Blue</t>
  </si>
  <si>
    <t>Calculated by formula. These cells recalculate themselves.</t>
  </si>
  <si>
    <t>Green</t>
  </si>
  <si>
    <t>A setting on the Settings sheet. These are meant to be changed.</t>
  </si>
  <si>
    <t>Order of calculation</t>
  </si>
  <si>
    <t>1. Plan</t>
  </si>
  <si>
    <t>Annual payroll including employer contributions, spread over twelve months with holiday-reserve seasonality: higher at the start and end of the year, lower over the summer, when headcount is thin and accrued leave is taken. The seasonal coefficients sum to twelve, so seasonality moves money inside the year without changing the annual total.</t>
  </si>
  <si>
    <t>2. Actual</t>
  </si>
  <si>
    <t>Months 1..fact_months. Each department's deviation keeps a stable sign: it either underspends all year or overspends all year. One department is deliberately well outside the others' range: budgets rarely break evenly, they break in one place.</t>
  </si>
  <si>
    <t>3. Forecast</t>
  </si>
  <si>
    <t>For the remaining months, the department's own deviation carries forward and the monthly equalisation uplift is added on top, from the equalisation month onwards. The uplift is the annual cost of closing the pay gap divided by twelve. This is why deviation runs higher in the last four months than in the first eight: the pay rise lands on top of a gap that was already there.</t>
  </si>
  <si>
    <t>4. Deviation</t>
  </si>
  <si>
    <t>Expected minus plan. Positive is an overspend. Shown both per month and as a running total from January.</t>
  </si>
  <si>
    <t>5. Year</t>
  </si>
  <si>
    <t>Plan against actual plus forecast. The accumulated deviation is set against the cost of equalisation charged this year.</t>
  </si>
  <si>
    <t>Two quantities not to confuse</t>
  </si>
  <si>
    <t>Monthly deviation</t>
  </si>
  <si>
    <t>How far this one month ran from plan. It answers: is this month worse than the last. On this dataset it roughly doubles in the equalisation month.</t>
  </si>
  <si>
    <t>Cumulative deviation</t>
  </si>
  <si>
    <t>The same figure carried from January, so it answers a different question: how much of the year's budget has gone. A month can improve while the cumulative still grows. Both are correct; do not read one for the other.</t>
  </si>
  <si>
    <t>What this model does not do</t>
  </si>
  <si>
    <t>No explanation of variances</t>
  </si>
  <si>
    <t>It shows where and by how much, not why. Causes belong in the conversation, not on the screen.</t>
  </si>
  <si>
    <t>Employer contributions</t>
  </si>
  <si>
    <t>A raise to base pay brings employer contributions with it, and those are part of the budget line. The rates here are Spain 2026: 31.5% on annual pay up to a ceiling of 61,214 EUR, and 1.15% on anything above it. The scale is regressive, so a raise to someone already above the ceiling attracts almost no contributions while the same raise below it attracts the full rate. That is why the effective rate on the Equalisation sheet differs so much between departments. Rates and ceiling are specific to one country and one year: in another jurisdiction the numbers change, the structure does not.</t>
  </si>
  <si>
    <t>Synthetic data</t>
  </si>
  <si>
    <t>Generated from a seeded PRNG, not from any real organisation. The workbook illustrates a budgeting approach and is not legal or actuarial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</si>
</sst>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Calibri"/>
    </font>
    <font>
      <sz val="9"/>
      <color rgb="FF6B7280"/>
      <name val="Calibri"/>
    </font>
    <font>
      <b/>
      <sz val="10"/>
      <color rgb="FFFFFFFF"/>
      <name val="Calibri"/>
    </font>
    <font>
      <b/>
      <sz val="11"/>
      <name val="Calibri"/>
    </font>
    <font>
      <sz val="11"/>
      <name val="Calibri"/>
    </font>
  </fonts>
  <fills count="6">
    <fill>
      <patternFill patternType="none"/>
    </fill>
    <fill>
      <patternFill patternType="gray125"/>
    </fill>
    <fill>
      <patternFill patternType="solid">
        <fgColor rgb="FF1F3B57"/>
      </patternFill>
    </fill>
    <fill>
      <patternFill patternType="solid">
        <fgColor rgb="FFE6F4EA"/>
      </patternFill>
    </fill>
    <fill>
      <patternFill patternType="solid">
        <fgColor rgb="FFFFF4D6"/>
      </patternFill>
    </fill>
    <fill>
      <patternFill patternType="solid">
        <fgColor rgb="FFEAF3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4" fillId="3" borderId="1" xfId="0" applyFont="1" applyFill="1" applyBorder="1"/>
    <xf numFmtId="0" fontId="0" fillId="0" borderId="1" xfId="0" applyBorder="1" applyAlignment="1">
      <alignment vertical="top" wrapText="1"/>
    </xf>
    <xf numFmtId="0" fontId="4" fillId="0" borderId="0" xfId="0" applyFont="1"/>
    <xf numFmtId="0" fontId="0" fillId="4" borderId="1" xfId="0" applyFill="1" applyBorder="1"/>
    <xf numFmtId="4" fontId="0" fillId="4" borderId="1" xfId="0" applyNumberFormat="1" applyFill="1" applyBorder="1"/>
    <xf numFmtId="4" fontId="0" fillId="5" borderId="1" xfId="0" applyNumberFormat="1" applyFill="1" applyBorder="1"/>
    <xf numFmtId="2" fontId="0" fillId="4" borderId="1" xfId="0" applyNumberFormat="1" applyFill="1" applyBorder="1"/>
    <xf numFmtId="3" fontId="4" fillId="0" borderId="1" xfId="0" applyNumberFormat="1" applyFont="1" applyBorder="1"/>
    <xf numFmtId="4" fontId="4" fillId="0" borderId="1" xfId="0" applyNumberFormat="1" applyFont="1" applyBorder="1"/>
    <xf numFmtId="10" fontId="0" fillId="5" borderId="1" xfId="0" applyNumberFormat="1" applyFill="1" applyBorder="1"/>
    <xf numFmtId="10" fontId="4" fillId="0" borderId="1" xfId="0" applyNumberFormat="1" applyFont="1" applyBorder="1"/>
    <xf numFmtId="0" fontId="0" fillId="5" borderId="1" xfId="0" applyFill="1" applyBorder="1"/>
    <xf numFmtId="0" fontId="4" fillId="0" borderId="0" xfId="0" applyFont="1" applyAlignment="1">
      <alignment vertical="top"/>
    </xf>
    <xf numFmtId="0" fontId="5"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heetViews>
  <sheetFormatPr defaultRowHeight="14.4" x14ac:dyDescent="0.3"/>
  <cols>
    <col min="1" max="1" width="24" customWidth="1"/>
    <col min="2" max="2" width="14" customWidth="1"/>
    <col min="3" max="3" width="34" customWidth="1"/>
    <col min="4" max="4" width="76" customWidth="1"/>
  </cols>
  <sheetData>
    <row r="1" spans="1:4" ht="17.399999999999999" x14ac:dyDescent="0.35">
      <c r="A1" s="1" t="s">
        <v>0</v>
      </c>
    </row>
    <row r="2" spans="1:4" x14ac:dyDescent="0.3">
      <c r="A2" s="2" t="s">
        <v>1</v>
      </c>
    </row>
    <row r="4" spans="1:4" x14ac:dyDescent="0.3">
      <c r="A4" s="2" t="s">
        <v>2</v>
      </c>
    </row>
    <row r="6" spans="1:4" ht="30" customHeight="1" x14ac:dyDescent="0.3">
      <c r="A6" s="3" t="s">
        <v>3</v>
      </c>
      <c r="B6" s="3" t="s">
        <v>4</v>
      </c>
      <c r="C6" s="3" t="s">
        <v>5</v>
      </c>
      <c r="D6" s="3" t="s">
        <v>6</v>
      </c>
    </row>
    <row r="7" spans="1:4" ht="28.05" customHeight="1" x14ac:dyDescent="0.3">
      <c r="A7" s="4" t="s">
        <v>7</v>
      </c>
      <c r="B7" s="5">
        <v>8</v>
      </c>
      <c r="C7" s="4" t="s">
        <v>8</v>
      </c>
      <c r="D7" s="6" t="s">
        <v>9</v>
      </c>
    </row>
    <row r="8" spans="1:4" ht="28.05" customHeight="1" x14ac:dyDescent="0.3">
      <c r="A8" s="4" t="s">
        <v>10</v>
      </c>
      <c r="B8" s="5">
        <v>9</v>
      </c>
      <c r="C8" s="4" t="s">
        <v>11</v>
      </c>
      <c r="D8" s="6" t="s">
        <v>12</v>
      </c>
    </row>
    <row r="11" spans="1:4" x14ac:dyDescent="0.3">
      <c r="A11" s="7" t="s">
        <v>13</v>
      </c>
    </row>
    <row r="12" spans="1:4" x14ac:dyDescent="0.3">
      <c r="A12" s="20" t="s">
        <v>14</v>
      </c>
      <c r="B12" s="21"/>
      <c r="C12" s="21"/>
      <c r="D12" s="21"/>
    </row>
    <row r="13" spans="1:4" x14ac:dyDescent="0.3">
      <c r="A13" s="21"/>
      <c r="B13" s="21"/>
      <c r="C13" s="21"/>
      <c r="D13" s="21"/>
    </row>
    <row r="14" spans="1:4" x14ac:dyDescent="0.3">
      <c r="A14" s="21"/>
      <c r="B14" s="21"/>
      <c r="C14" s="21"/>
      <c r="D14" s="21"/>
    </row>
  </sheetData>
  <mergeCells count="1">
    <mergeCell ref="A12:D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pane ySplit="7" topLeftCell="A8" activePane="bottomLeft" state="frozen"/>
      <selection pane="bottomLeft"/>
    </sheetView>
  </sheetViews>
  <sheetFormatPr defaultRowHeight="14.4" x14ac:dyDescent="0.3"/>
  <cols>
    <col min="1" max="1" width="22" customWidth="1"/>
    <col min="2" max="2" width="12" customWidth="1"/>
    <col min="3" max="6" width="18" customWidth="1"/>
    <col min="7" max="7" width="20" customWidth="1"/>
  </cols>
  <sheetData>
    <row r="1" spans="1:7" ht="17.399999999999999" x14ac:dyDescent="0.35">
      <c r="A1" s="1" t="s">
        <v>15</v>
      </c>
    </row>
    <row r="2" spans="1:7" x14ac:dyDescent="0.3">
      <c r="A2" s="20" t="s">
        <v>16</v>
      </c>
      <c r="B2" s="21"/>
      <c r="C2" s="21"/>
      <c r="D2" s="21"/>
      <c r="E2" s="21"/>
      <c r="F2" s="21"/>
    </row>
    <row r="3" spans="1:7" x14ac:dyDescent="0.3">
      <c r="A3" s="21"/>
      <c r="B3" s="21"/>
      <c r="C3" s="21"/>
      <c r="D3" s="21"/>
      <c r="E3" s="21"/>
      <c r="F3" s="21"/>
    </row>
    <row r="4" spans="1:7" x14ac:dyDescent="0.3">
      <c r="A4" s="20" t="s">
        <v>17</v>
      </c>
      <c r="B4" s="21"/>
      <c r="C4" s="21"/>
      <c r="D4" s="21"/>
      <c r="E4" s="21"/>
      <c r="F4" s="21"/>
    </row>
    <row r="5" spans="1:7" x14ac:dyDescent="0.3">
      <c r="A5" s="21"/>
      <c r="B5" s="21"/>
      <c r="C5" s="21"/>
      <c r="D5" s="21"/>
      <c r="E5" s="21"/>
      <c r="F5" s="21"/>
    </row>
    <row r="7" spans="1:7" ht="30" customHeight="1" x14ac:dyDescent="0.3">
      <c r="A7" s="3" t="s">
        <v>18</v>
      </c>
      <c r="B7" s="3" t="s">
        <v>19</v>
      </c>
      <c r="C7" s="3" t="s">
        <v>20</v>
      </c>
      <c r="D7" s="3" t="s">
        <v>21</v>
      </c>
      <c r="E7" s="3" t="s">
        <v>22</v>
      </c>
      <c r="F7" s="3" t="s">
        <v>23</v>
      </c>
      <c r="G7" s="3" t="s">
        <v>24</v>
      </c>
    </row>
    <row r="8" spans="1:7" x14ac:dyDescent="0.3">
      <c r="A8" s="4" t="s">
        <v>25</v>
      </c>
      <c r="B8" s="8">
        <v>8</v>
      </c>
      <c r="C8" s="9">
        <v>77733.194175898621</v>
      </c>
      <c r="D8" s="9">
        <v>20286.974469272041</v>
      </c>
      <c r="E8" s="10">
        <f t="shared" ref="E8:E14" si="0">C8+D8</f>
        <v>98020.168645170663</v>
      </c>
      <c r="F8" s="10">
        <f t="shared" ref="F8:F14" si="1">E8/12</f>
        <v>8168.3473870975549</v>
      </c>
      <c r="G8" s="11">
        <v>-1.4409976867000001</v>
      </c>
    </row>
    <row r="9" spans="1:7" x14ac:dyDescent="0.3">
      <c r="A9" s="4" t="s">
        <v>26</v>
      </c>
      <c r="B9" s="8">
        <v>7</v>
      </c>
      <c r="C9" s="9">
        <v>124991.43000000009</v>
      </c>
      <c r="D9" s="9">
        <v>4866.7996950000024</v>
      </c>
      <c r="E9" s="10">
        <f t="shared" si="0"/>
        <v>129858.2296950001</v>
      </c>
      <c r="F9" s="10">
        <f t="shared" si="1"/>
        <v>10821.519141250008</v>
      </c>
      <c r="G9" s="11">
        <v>9.2535006260999992</v>
      </c>
    </row>
    <row r="10" spans="1:7" x14ac:dyDescent="0.3">
      <c r="A10" s="4" t="s">
        <v>27</v>
      </c>
      <c r="B10" s="8">
        <v>12</v>
      </c>
      <c r="C10" s="9">
        <v>16228.18659397073</v>
      </c>
      <c r="D10" s="9">
        <v>5111.8787771007783</v>
      </c>
      <c r="E10" s="10">
        <f t="shared" si="0"/>
        <v>21340.065371071509</v>
      </c>
      <c r="F10" s="10">
        <f t="shared" si="1"/>
        <v>1778.3387809226258</v>
      </c>
      <c r="G10" s="11">
        <v>1.3274111283000001</v>
      </c>
    </row>
    <row r="11" spans="1:7" x14ac:dyDescent="0.3">
      <c r="A11" s="4" t="s">
        <v>28</v>
      </c>
      <c r="B11" s="8">
        <v>12</v>
      </c>
      <c r="C11" s="9">
        <v>65975.976152303687</v>
      </c>
      <c r="D11" s="9">
        <v>20782.43248797566</v>
      </c>
      <c r="E11" s="10">
        <f t="shared" si="0"/>
        <v>86758.408640279347</v>
      </c>
      <c r="F11" s="10">
        <f t="shared" si="1"/>
        <v>7229.8673866899453</v>
      </c>
      <c r="G11" s="11">
        <v>2.3558404946999998</v>
      </c>
    </row>
    <row r="12" spans="1:7" x14ac:dyDescent="0.3">
      <c r="A12" s="4" t="s">
        <v>29</v>
      </c>
      <c r="B12" s="8">
        <v>0</v>
      </c>
      <c r="C12" s="9">
        <v>0</v>
      </c>
      <c r="D12" s="9">
        <v>0</v>
      </c>
      <c r="E12" s="10">
        <f t="shared" si="0"/>
        <v>0</v>
      </c>
      <c r="F12" s="10">
        <f t="shared" si="1"/>
        <v>0</v>
      </c>
      <c r="G12" s="11">
        <v>2.4329916587999998</v>
      </c>
    </row>
    <row r="13" spans="1:7" x14ac:dyDescent="0.3">
      <c r="A13" s="4" t="s">
        <v>30</v>
      </c>
      <c r="B13" s="8">
        <v>10</v>
      </c>
      <c r="C13" s="9">
        <v>31975.109378364668</v>
      </c>
      <c r="D13" s="9">
        <v>10072.15945418487</v>
      </c>
      <c r="E13" s="10">
        <f t="shared" si="0"/>
        <v>42047.26883254954</v>
      </c>
      <c r="F13" s="10">
        <f t="shared" si="1"/>
        <v>3503.9390693791283</v>
      </c>
      <c r="G13" s="11">
        <v>2.1339525171</v>
      </c>
    </row>
    <row r="14" spans="1:7" x14ac:dyDescent="0.3">
      <c r="A14" s="4" t="s">
        <v>31</v>
      </c>
      <c r="B14" s="8">
        <v>3</v>
      </c>
      <c r="C14" s="9">
        <v>18287.125943342169</v>
      </c>
      <c r="D14" s="9">
        <v>210.30194834843499</v>
      </c>
      <c r="E14" s="10">
        <f t="shared" si="0"/>
        <v>18497.427891690604</v>
      </c>
      <c r="F14" s="10">
        <f t="shared" si="1"/>
        <v>1541.4523243075503</v>
      </c>
      <c r="G14" s="11">
        <v>2.6526177826000001</v>
      </c>
    </row>
    <row r="15" spans="1:7" x14ac:dyDescent="0.3">
      <c r="A15" s="7" t="s">
        <v>32</v>
      </c>
      <c r="B15" s="12">
        <f>SUM(B8:B14)</f>
        <v>52</v>
      </c>
      <c r="C15" s="13">
        <f>SUM(C8:C14)</f>
        <v>335191.02224387997</v>
      </c>
      <c r="D15" s="13">
        <f>SUM(D8:D14)</f>
        <v>61330.546831881788</v>
      </c>
      <c r="E15" s="13">
        <f>SUM(E8:E14)</f>
        <v>396521.56907576183</v>
      </c>
      <c r="F15" s="13">
        <f>SUM(F8:F14)</f>
        <v>33043.464089646812</v>
      </c>
    </row>
  </sheetData>
  <mergeCells count="2">
    <mergeCell ref="A4:F5"/>
    <mergeCell ref="A2: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8"/>
  <sheetViews>
    <sheetView workbookViewId="0">
      <pane ySplit="4" topLeftCell="A5" activePane="bottomLeft" state="frozen"/>
      <selection pane="bottomLeft"/>
    </sheetView>
  </sheetViews>
  <sheetFormatPr defaultRowHeight="14.4" x14ac:dyDescent="0.3"/>
  <cols>
    <col min="1" max="1" width="22" customWidth="1"/>
    <col min="2" max="2" width="8" customWidth="1"/>
    <col min="3" max="3" width="5" customWidth="1"/>
    <col min="4" max="8" width="15" customWidth="1"/>
    <col min="9" max="9" width="12" customWidth="1"/>
    <col min="10" max="10" width="16" customWidth="1"/>
  </cols>
  <sheetData>
    <row r="1" spans="1:10" ht="17.399999999999999" x14ac:dyDescent="0.35">
      <c r="A1" s="1" t="s">
        <v>33</v>
      </c>
    </row>
    <row r="2" spans="1:10" x14ac:dyDescent="0.3">
      <c r="A2" s="2" t="s">
        <v>34</v>
      </c>
    </row>
    <row r="4" spans="1:10" ht="30" customHeight="1" x14ac:dyDescent="0.3">
      <c r="A4" s="3" t="s">
        <v>18</v>
      </c>
      <c r="B4" s="3" t="s">
        <v>35</v>
      </c>
      <c r="C4" s="3" t="s">
        <v>36</v>
      </c>
      <c r="D4" s="3" t="s">
        <v>37</v>
      </c>
      <c r="E4" s="3" t="s">
        <v>38</v>
      </c>
      <c r="F4" s="3" t="s">
        <v>39</v>
      </c>
      <c r="G4" s="3" t="s">
        <v>40</v>
      </c>
      <c r="H4" s="3" t="s">
        <v>41</v>
      </c>
      <c r="I4" s="3" t="s">
        <v>42</v>
      </c>
      <c r="J4" s="3" t="s">
        <v>43</v>
      </c>
    </row>
    <row r="5" spans="1:10" x14ac:dyDescent="0.3">
      <c r="A5" s="4" t="s">
        <v>25</v>
      </c>
      <c r="B5" s="4" t="s">
        <v>44</v>
      </c>
      <c r="C5" s="4">
        <v>1</v>
      </c>
      <c r="D5" s="9">
        <v>344874.17</v>
      </c>
      <c r="E5" s="9">
        <v>339482.19</v>
      </c>
      <c r="F5" s="10" t="str">
        <f>IF(C5&lt;=fact_months,"",ROUND(D5*(1+Equalisation!$G$8/100)+IF(C5&gt;=equalisation_month,Equalisation!$F$8,0),2))</f>
        <v/>
      </c>
      <c r="G5" s="10">
        <f t="shared" ref="G5:G36" si="0">IF(C5&lt;=fact_months,E5,F5)</f>
        <v>339482.19</v>
      </c>
      <c r="H5" s="10">
        <f t="shared" ref="H5:H36" si="1">G5-D5</f>
        <v>-5391.9799999999814</v>
      </c>
      <c r="I5" s="14">
        <f t="shared" ref="I5:I36" si="2">IF(D5=0,"",H5/D5)</f>
        <v>-1.5634629870946791E-2</v>
      </c>
      <c r="J5" s="10">
        <f>H5</f>
        <v>-5391.9799999999814</v>
      </c>
    </row>
    <row r="6" spans="1:10" x14ac:dyDescent="0.3">
      <c r="A6" s="4" t="s">
        <v>25</v>
      </c>
      <c r="B6" s="4" t="s">
        <v>45</v>
      </c>
      <c r="C6" s="4">
        <v>2</v>
      </c>
      <c r="D6" s="9">
        <v>343877.42</v>
      </c>
      <c r="E6" s="9">
        <v>338599.58</v>
      </c>
      <c r="F6" s="10" t="str">
        <f>IF(C6&lt;=fact_months,"",ROUND(D6*(1+Equalisation!$G$8/100)+IF(C6&gt;=equalisation_month,Equalisation!$F$8,0),2))</f>
        <v/>
      </c>
      <c r="G6" s="10">
        <f t="shared" si="0"/>
        <v>338599.58</v>
      </c>
      <c r="H6" s="10">
        <f t="shared" si="1"/>
        <v>-5277.8399999999674</v>
      </c>
      <c r="I6" s="14">
        <f t="shared" si="2"/>
        <v>-1.5348027212720066E-2</v>
      </c>
      <c r="J6" s="10">
        <f t="shared" ref="J6:J16" si="3">J5+H6</f>
        <v>-10669.819999999949</v>
      </c>
    </row>
    <row r="7" spans="1:10" x14ac:dyDescent="0.3">
      <c r="A7" s="4" t="s">
        <v>25</v>
      </c>
      <c r="B7" s="4" t="s">
        <v>46</v>
      </c>
      <c r="C7" s="4">
        <v>3</v>
      </c>
      <c r="D7" s="9">
        <v>339558.19</v>
      </c>
      <c r="E7" s="9">
        <v>334287.48</v>
      </c>
      <c r="F7" s="10" t="str">
        <f>IF(C7&lt;=fact_months,"",ROUND(D7*(1+Equalisation!$G$8/100)+IF(C7&gt;=equalisation_month,Equalisation!$F$8,0),2))</f>
        <v/>
      </c>
      <c r="G7" s="10">
        <f t="shared" si="0"/>
        <v>334287.48</v>
      </c>
      <c r="H7" s="10">
        <f t="shared" si="1"/>
        <v>-5270.710000000021</v>
      </c>
      <c r="I7" s="14">
        <f t="shared" si="2"/>
        <v>-1.5522258497137179E-2</v>
      </c>
      <c r="J7" s="10">
        <f t="shared" si="3"/>
        <v>-15940.52999999997</v>
      </c>
    </row>
    <row r="8" spans="1:10" x14ac:dyDescent="0.3">
      <c r="A8" s="4" t="s">
        <v>25</v>
      </c>
      <c r="B8" s="4" t="s">
        <v>47</v>
      </c>
      <c r="C8" s="4">
        <v>4</v>
      </c>
      <c r="D8" s="9">
        <v>333909.96000000002</v>
      </c>
      <c r="E8" s="9">
        <v>329292.71000000002</v>
      </c>
      <c r="F8" s="10" t="str">
        <f>IF(C8&lt;=fact_months,"",ROUND(D8*(1+Equalisation!$G$8/100)+IF(C8&gt;=equalisation_month,Equalisation!$F$8,0),2))</f>
        <v/>
      </c>
      <c r="G8" s="10">
        <f t="shared" si="0"/>
        <v>329292.71000000002</v>
      </c>
      <c r="H8" s="10">
        <f t="shared" si="1"/>
        <v>-4617.25</v>
      </c>
      <c r="I8" s="14">
        <f t="shared" si="2"/>
        <v>-1.3827829514279837E-2</v>
      </c>
      <c r="J8" s="10">
        <f t="shared" si="3"/>
        <v>-20557.77999999997</v>
      </c>
    </row>
    <row r="9" spans="1:10" x14ac:dyDescent="0.3">
      <c r="A9" s="4" t="s">
        <v>25</v>
      </c>
      <c r="B9" s="4" t="s">
        <v>48</v>
      </c>
      <c r="C9" s="4">
        <v>5</v>
      </c>
      <c r="D9" s="9">
        <v>327597.23</v>
      </c>
      <c r="E9" s="9">
        <v>323163.59999999998</v>
      </c>
      <c r="F9" s="10" t="str">
        <f>IF(C9&lt;=fact_months,"",ROUND(D9*(1+Equalisation!$G$8/100)+IF(C9&gt;=equalisation_month,Equalisation!$F$8,0),2))</f>
        <v/>
      </c>
      <c r="G9" s="10">
        <f t="shared" si="0"/>
        <v>323163.59999999998</v>
      </c>
      <c r="H9" s="10">
        <f t="shared" si="1"/>
        <v>-4433.6300000000047</v>
      </c>
      <c r="I9" s="14">
        <f t="shared" si="2"/>
        <v>-1.3533783542675268E-2</v>
      </c>
      <c r="J9" s="10">
        <f t="shared" si="3"/>
        <v>-24991.409999999974</v>
      </c>
    </row>
    <row r="10" spans="1:10" x14ac:dyDescent="0.3">
      <c r="A10" s="4" t="s">
        <v>25</v>
      </c>
      <c r="B10" s="4" t="s">
        <v>49</v>
      </c>
      <c r="C10" s="4">
        <v>6</v>
      </c>
      <c r="D10" s="9">
        <v>321616.76</v>
      </c>
      <c r="E10" s="9">
        <v>316851.64</v>
      </c>
      <c r="F10" s="10" t="str">
        <f>IF(C10&lt;=fact_months,"",ROUND(D10*(1+Equalisation!$G$8/100)+IF(C10&gt;=equalisation_month,Equalisation!$F$8,0),2))</f>
        <v/>
      </c>
      <c r="G10" s="10">
        <f t="shared" si="0"/>
        <v>316851.64</v>
      </c>
      <c r="H10" s="10">
        <f t="shared" si="1"/>
        <v>-4765.1199999999953</v>
      </c>
      <c r="I10" s="14">
        <f t="shared" si="2"/>
        <v>-1.4816143288054999E-2</v>
      </c>
      <c r="J10" s="10">
        <f t="shared" si="3"/>
        <v>-29756.52999999997</v>
      </c>
    </row>
    <row r="11" spans="1:10" x14ac:dyDescent="0.3">
      <c r="A11" s="4" t="s">
        <v>25</v>
      </c>
      <c r="B11" s="4" t="s">
        <v>50</v>
      </c>
      <c r="C11" s="4">
        <v>7</v>
      </c>
      <c r="D11" s="9">
        <v>319623.26</v>
      </c>
      <c r="E11" s="9">
        <v>314626.40000000002</v>
      </c>
      <c r="F11" s="10" t="str">
        <f>IF(C11&lt;=fact_months,"",ROUND(D11*(1+Equalisation!$G$8/100)+IF(C11&gt;=equalisation_month,Equalisation!$F$8,0),2))</f>
        <v/>
      </c>
      <c r="G11" s="10">
        <f t="shared" si="0"/>
        <v>314626.40000000002</v>
      </c>
      <c r="H11" s="10">
        <f t="shared" si="1"/>
        <v>-4996.859999999986</v>
      </c>
      <c r="I11" s="14">
        <f t="shared" si="2"/>
        <v>-1.5633593124605469E-2</v>
      </c>
      <c r="J11" s="10">
        <f t="shared" si="3"/>
        <v>-34753.389999999956</v>
      </c>
    </row>
    <row r="12" spans="1:10" x14ac:dyDescent="0.3">
      <c r="A12" s="4" t="s">
        <v>25</v>
      </c>
      <c r="B12" s="4" t="s">
        <v>51</v>
      </c>
      <c r="C12" s="4">
        <v>8</v>
      </c>
      <c r="D12" s="9">
        <v>320287.76</v>
      </c>
      <c r="E12" s="9">
        <v>315905.42</v>
      </c>
      <c r="F12" s="10" t="str">
        <f>IF(C12&lt;=fact_months,"",ROUND(D12*(1+Equalisation!$G$8/100)+IF(C12&gt;=equalisation_month,Equalisation!$F$8,0),2))</f>
        <v/>
      </c>
      <c r="G12" s="10">
        <f t="shared" si="0"/>
        <v>315905.42</v>
      </c>
      <c r="H12" s="10">
        <f t="shared" si="1"/>
        <v>-4382.3400000000256</v>
      </c>
      <c r="I12" s="14">
        <f t="shared" si="2"/>
        <v>-1.3682508504227652E-2</v>
      </c>
      <c r="J12" s="10">
        <f t="shared" si="3"/>
        <v>-39135.729999999981</v>
      </c>
    </row>
    <row r="13" spans="1:10" x14ac:dyDescent="0.3">
      <c r="A13" s="4" t="s">
        <v>25</v>
      </c>
      <c r="B13" s="4" t="s">
        <v>52</v>
      </c>
      <c r="C13" s="4">
        <v>9</v>
      </c>
      <c r="D13" s="9">
        <v>327264.98</v>
      </c>
      <c r="E13" s="4"/>
      <c r="F13" s="10">
        <f>IF(C13&lt;=fact_months,"",ROUND(D13*(1+Equalisation!$G$8/100)+IF(C13&gt;=equalisation_month,Equalisation!$F$8,0),2))</f>
        <v>330717.45</v>
      </c>
      <c r="G13" s="10">
        <f t="shared" si="0"/>
        <v>330717.45</v>
      </c>
      <c r="H13" s="10">
        <f t="shared" si="1"/>
        <v>3452.4700000000303</v>
      </c>
      <c r="I13" s="14">
        <f t="shared" si="2"/>
        <v>1.0549463618136076E-2</v>
      </c>
      <c r="J13" s="10">
        <f t="shared" si="3"/>
        <v>-35683.259999999951</v>
      </c>
    </row>
    <row r="14" spans="1:10" x14ac:dyDescent="0.3">
      <c r="A14" s="4" t="s">
        <v>25</v>
      </c>
      <c r="B14" s="4" t="s">
        <v>53</v>
      </c>
      <c r="C14" s="4">
        <v>10</v>
      </c>
      <c r="D14" s="9">
        <v>334242.21000000002</v>
      </c>
      <c r="E14" s="4"/>
      <c r="F14" s="10">
        <f>IF(C14&lt;=fact_months,"",ROUND(D14*(1+Equalisation!$G$8/100)+IF(C14&gt;=equalisation_month,Equalisation!$F$8,0),2))</f>
        <v>337594.13</v>
      </c>
      <c r="G14" s="10">
        <f t="shared" si="0"/>
        <v>337594.13</v>
      </c>
      <c r="H14" s="10">
        <f t="shared" si="1"/>
        <v>3351.9199999999837</v>
      </c>
      <c r="I14" s="14">
        <f t="shared" si="2"/>
        <v>1.0028416219483421E-2</v>
      </c>
      <c r="J14" s="10">
        <f t="shared" si="3"/>
        <v>-32331.339999999967</v>
      </c>
    </row>
    <row r="15" spans="1:10" x14ac:dyDescent="0.3">
      <c r="A15" s="4" t="s">
        <v>25</v>
      </c>
      <c r="B15" s="4" t="s">
        <v>54</v>
      </c>
      <c r="C15" s="4">
        <v>11</v>
      </c>
      <c r="D15" s="9">
        <v>336900.2</v>
      </c>
      <c r="E15" s="4"/>
      <c r="F15" s="10">
        <f>IF(C15&lt;=fact_months,"",ROUND(D15*(1+Equalisation!$G$8/100)+IF(C15&gt;=equalisation_month,Equalisation!$F$8,0),2))</f>
        <v>340213.82</v>
      </c>
      <c r="G15" s="10">
        <f t="shared" si="0"/>
        <v>340213.82</v>
      </c>
      <c r="H15" s="10">
        <f t="shared" si="1"/>
        <v>3313.6199999999953</v>
      </c>
      <c r="I15" s="14">
        <f t="shared" si="2"/>
        <v>9.8356130391136463E-3</v>
      </c>
      <c r="J15" s="10">
        <f t="shared" si="3"/>
        <v>-29017.719999999972</v>
      </c>
    </row>
    <row r="16" spans="1:10" x14ac:dyDescent="0.3">
      <c r="A16" s="4" t="s">
        <v>25</v>
      </c>
      <c r="B16" s="4" t="s">
        <v>55</v>
      </c>
      <c r="C16" s="4">
        <v>12</v>
      </c>
      <c r="D16" s="9">
        <v>337232.45</v>
      </c>
      <c r="E16" s="4"/>
      <c r="F16" s="10">
        <f>IF(C16&lt;=fact_months,"",ROUND(D16*(1+Equalisation!$G$8/100)+IF(C16&gt;=equalisation_month,Equalisation!$F$8,0),2))</f>
        <v>340541.29</v>
      </c>
      <c r="G16" s="10">
        <f t="shared" si="0"/>
        <v>340541.29</v>
      </c>
      <c r="H16" s="10">
        <f t="shared" si="1"/>
        <v>3308.8399999999674</v>
      </c>
      <c r="I16" s="14">
        <f t="shared" si="2"/>
        <v>9.8117485431783551E-3</v>
      </c>
      <c r="J16" s="10">
        <f t="shared" si="3"/>
        <v>-25708.880000000005</v>
      </c>
    </row>
    <row r="17" spans="1:10" x14ac:dyDescent="0.3">
      <c r="A17" s="4" t="s">
        <v>26</v>
      </c>
      <c r="B17" s="4" t="s">
        <v>44</v>
      </c>
      <c r="C17" s="4">
        <v>1</v>
      </c>
      <c r="D17" s="9">
        <v>242838.79</v>
      </c>
      <c r="E17" s="9">
        <v>265129.15999999997</v>
      </c>
      <c r="F17" s="10" t="str">
        <f>IF(C17&lt;=fact_months,"",ROUND(D17*(1+Equalisation!$G$9/100)+IF(C17&gt;=equalisation_month,Equalisation!$F$9,0),2))</f>
        <v/>
      </c>
      <c r="G17" s="10">
        <f t="shared" si="0"/>
        <v>265129.15999999997</v>
      </c>
      <c r="H17" s="10">
        <f t="shared" si="1"/>
        <v>22290.369999999966</v>
      </c>
      <c r="I17" s="14">
        <f t="shared" si="2"/>
        <v>9.1790813156332918E-2</v>
      </c>
      <c r="J17" s="10">
        <f>H17</f>
        <v>22290.369999999966</v>
      </c>
    </row>
    <row r="18" spans="1:10" x14ac:dyDescent="0.3">
      <c r="A18" s="4" t="s">
        <v>26</v>
      </c>
      <c r="B18" s="4" t="s">
        <v>45</v>
      </c>
      <c r="C18" s="4">
        <v>2</v>
      </c>
      <c r="D18" s="9">
        <v>242136.94</v>
      </c>
      <c r="E18" s="9">
        <v>264282.53000000003</v>
      </c>
      <c r="F18" s="10" t="str">
        <f>IF(C18&lt;=fact_months,"",ROUND(D18*(1+Equalisation!$G$9/100)+IF(C18&gt;=equalisation_month,Equalisation!$F$9,0),2))</f>
        <v/>
      </c>
      <c r="G18" s="10">
        <f t="shared" si="0"/>
        <v>264282.53000000003</v>
      </c>
      <c r="H18" s="10">
        <f t="shared" si="1"/>
        <v>22145.590000000026</v>
      </c>
      <c r="I18" s="14">
        <f t="shared" si="2"/>
        <v>9.1458948808058882E-2</v>
      </c>
      <c r="J18" s="10">
        <f t="shared" ref="J18:J28" si="4">J17+H18</f>
        <v>44435.959999999992</v>
      </c>
    </row>
    <row r="19" spans="1:10" x14ac:dyDescent="0.3">
      <c r="A19" s="4" t="s">
        <v>26</v>
      </c>
      <c r="B19" s="4" t="s">
        <v>46</v>
      </c>
      <c r="C19" s="4">
        <v>3</v>
      </c>
      <c r="D19" s="9">
        <v>239095.61</v>
      </c>
      <c r="E19" s="9">
        <v>261059.03</v>
      </c>
      <c r="F19" s="10" t="str">
        <f>IF(C19&lt;=fact_months,"",ROUND(D19*(1+Equalisation!$G$9/100)+IF(C19&gt;=equalisation_month,Equalisation!$F$9,0),2))</f>
        <v/>
      </c>
      <c r="G19" s="10">
        <f t="shared" si="0"/>
        <v>261059.03</v>
      </c>
      <c r="H19" s="10">
        <f t="shared" si="1"/>
        <v>21963.420000000013</v>
      </c>
      <c r="I19" s="14">
        <f t="shared" si="2"/>
        <v>9.1860406805461689E-2</v>
      </c>
      <c r="J19" s="10">
        <f t="shared" si="4"/>
        <v>66399.38</v>
      </c>
    </row>
    <row r="20" spans="1:10" x14ac:dyDescent="0.3">
      <c r="A20" s="4" t="s">
        <v>26</v>
      </c>
      <c r="B20" s="4" t="s">
        <v>47</v>
      </c>
      <c r="C20" s="4">
        <v>4</v>
      </c>
      <c r="D20" s="9">
        <v>235118.48</v>
      </c>
      <c r="E20" s="9">
        <v>256678.84</v>
      </c>
      <c r="F20" s="10" t="str">
        <f>IF(C20&lt;=fact_months,"",ROUND(D20*(1+Equalisation!$G$9/100)+IF(C20&gt;=equalisation_month,Equalisation!$F$9,0),2))</f>
        <v/>
      </c>
      <c r="G20" s="10">
        <f t="shared" si="0"/>
        <v>256678.84</v>
      </c>
      <c r="H20" s="10">
        <f t="shared" si="1"/>
        <v>21560.359999999986</v>
      </c>
      <c r="I20" s="14">
        <f t="shared" si="2"/>
        <v>9.1699980367344947E-2</v>
      </c>
      <c r="J20" s="10">
        <f t="shared" si="4"/>
        <v>87959.739999999991</v>
      </c>
    </row>
    <row r="21" spans="1:10" x14ac:dyDescent="0.3">
      <c r="A21" s="4" t="s">
        <v>26</v>
      </c>
      <c r="B21" s="4" t="s">
        <v>48</v>
      </c>
      <c r="C21" s="4">
        <v>5</v>
      </c>
      <c r="D21" s="9">
        <v>230673.45</v>
      </c>
      <c r="E21" s="9">
        <v>251975.28</v>
      </c>
      <c r="F21" s="10" t="str">
        <f>IF(C21&lt;=fact_months,"",ROUND(D21*(1+Equalisation!$G$9/100)+IF(C21&gt;=equalisation_month,Equalisation!$F$9,0),2))</f>
        <v/>
      </c>
      <c r="G21" s="10">
        <f t="shared" si="0"/>
        <v>251975.28</v>
      </c>
      <c r="H21" s="10">
        <f t="shared" si="1"/>
        <v>21301.829999999987</v>
      </c>
      <c r="I21" s="14">
        <f t="shared" si="2"/>
        <v>9.2346258314513374E-2</v>
      </c>
      <c r="J21" s="10">
        <f t="shared" si="4"/>
        <v>109261.56999999998</v>
      </c>
    </row>
    <row r="22" spans="1:10" x14ac:dyDescent="0.3">
      <c r="A22" s="4" t="s">
        <v>26</v>
      </c>
      <c r="B22" s="4" t="s">
        <v>49</v>
      </c>
      <c r="C22" s="4">
        <v>6</v>
      </c>
      <c r="D22" s="9">
        <v>226462.37</v>
      </c>
      <c r="E22" s="9">
        <v>247614.74</v>
      </c>
      <c r="F22" s="10" t="str">
        <f>IF(C22&lt;=fact_months,"",ROUND(D22*(1+Equalisation!$G$9/100)+IF(C22&gt;=equalisation_month,Equalisation!$F$9,0),2))</f>
        <v/>
      </c>
      <c r="G22" s="10">
        <f t="shared" si="0"/>
        <v>247614.74</v>
      </c>
      <c r="H22" s="10">
        <f t="shared" si="1"/>
        <v>21152.369999999995</v>
      </c>
      <c r="I22" s="14">
        <f t="shared" si="2"/>
        <v>9.3403464778717971E-2</v>
      </c>
      <c r="J22" s="10">
        <f t="shared" si="4"/>
        <v>130413.93999999997</v>
      </c>
    </row>
    <row r="23" spans="1:10" x14ac:dyDescent="0.3">
      <c r="A23" s="4" t="s">
        <v>26</v>
      </c>
      <c r="B23" s="4" t="s">
        <v>50</v>
      </c>
      <c r="C23" s="4">
        <v>7</v>
      </c>
      <c r="D23" s="9">
        <v>225058.68</v>
      </c>
      <c r="E23" s="9">
        <v>246001.24</v>
      </c>
      <c r="F23" s="10" t="str">
        <f>IF(C23&lt;=fact_months,"",ROUND(D23*(1+Equalisation!$G$9/100)+IF(C23&gt;=equalisation_month,Equalisation!$F$9,0),2))</f>
        <v/>
      </c>
      <c r="G23" s="10">
        <f t="shared" si="0"/>
        <v>246001.24</v>
      </c>
      <c r="H23" s="10">
        <f t="shared" si="1"/>
        <v>20942.559999999998</v>
      </c>
      <c r="I23" s="14">
        <f t="shared" si="2"/>
        <v>9.3053776019658516E-2</v>
      </c>
      <c r="J23" s="10">
        <f t="shared" si="4"/>
        <v>151356.49999999997</v>
      </c>
    </row>
    <row r="24" spans="1:10" x14ac:dyDescent="0.3">
      <c r="A24" s="4" t="s">
        <v>26</v>
      </c>
      <c r="B24" s="4" t="s">
        <v>51</v>
      </c>
      <c r="C24" s="4">
        <v>8</v>
      </c>
      <c r="D24" s="9">
        <v>225526.58</v>
      </c>
      <c r="E24" s="9">
        <v>246679.43</v>
      </c>
      <c r="F24" s="10" t="str">
        <f>IF(C24&lt;=fact_months,"",ROUND(D24*(1+Equalisation!$G$9/100)+IF(C24&gt;=equalisation_month,Equalisation!$F$9,0),2))</f>
        <v/>
      </c>
      <c r="G24" s="10">
        <f t="shared" si="0"/>
        <v>246679.43</v>
      </c>
      <c r="H24" s="10">
        <f t="shared" si="1"/>
        <v>21152.850000000006</v>
      </c>
      <c r="I24" s="14">
        <f t="shared" si="2"/>
        <v>9.3793157329836715E-2</v>
      </c>
      <c r="J24" s="10">
        <f t="shared" si="4"/>
        <v>172509.34999999998</v>
      </c>
    </row>
    <row r="25" spans="1:10" x14ac:dyDescent="0.3">
      <c r="A25" s="4" t="s">
        <v>26</v>
      </c>
      <c r="B25" s="4" t="s">
        <v>52</v>
      </c>
      <c r="C25" s="4">
        <v>9</v>
      </c>
      <c r="D25" s="9">
        <v>230439.5</v>
      </c>
      <c r="E25" s="4"/>
      <c r="F25" s="10">
        <f>IF(C25&lt;=fact_months,"",ROUND(D25*(1+Equalisation!$G$9/100)+IF(C25&gt;=equalisation_month,Equalisation!$F$9,0),2))</f>
        <v>262584.74</v>
      </c>
      <c r="G25" s="10">
        <f t="shared" si="0"/>
        <v>262584.74</v>
      </c>
      <c r="H25" s="10">
        <f t="shared" si="1"/>
        <v>32145.239999999991</v>
      </c>
      <c r="I25" s="14">
        <f t="shared" si="2"/>
        <v>0.13949535561394635</v>
      </c>
      <c r="J25" s="10">
        <f t="shared" si="4"/>
        <v>204654.58999999997</v>
      </c>
    </row>
    <row r="26" spans="1:10" x14ac:dyDescent="0.3">
      <c r="A26" s="4" t="s">
        <v>26</v>
      </c>
      <c r="B26" s="4" t="s">
        <v>53</v>
      </c>
      <c r="C26" s="4">
        <v>10</v>
      </c>
      <c r="D26" s="9">
        <v>235352.43</v>
      </c>
      <c r="E26" s="4"/>
      <c r="F26" s="10">
        <f>IF(C26&lt;=fact_months,"",ROUND(D26*(1+Equalisation!$G$9/100)+IF(C26&gt;=equalisation_month,Equalisation!$F$9,0),2))</f>
        <v>267952.28999999998</v>
      </c>
      <c r="G26" s="10">
        <f t="shared" si="0"/>
        <v>267952.28999999998</v>
      </c>
      <c r="H26" s="10">
        <f t="shared" si="1"/>
        <v>32599.859999999986</v>
      </c>
      <c r="I26" s="14">
        <f t="shared" si="2"/>
        <v>0.13851507715471639</v>
      </c>
      <c r="J26" s="10">
        <f t="shared" si="4"/>
        <v>237254.44999999995</v>
      </c>
    </row>
    <row r="27" spans="1:10" x14ac:dyDescent="0.3">
      <c r="A27" s="4" t="s">
        <v>26</v>
      </c>
      <c r="B27" s="4" t="s">
        <v>54</v>
      </c>
      <c r="C27" s="4">
        <v>11</v>
      </c>
      <c r="D27" s="9">
        <v>237224.02</v>
      </c>
      <c r="E27" s="4"/>
      <c r="F27" s="10">
        <f>IF(C27&lt;=fact_months,"",ROUND(D27*(1+Equalisation!$G$9/100)+IF(C27&gt;=equalisation_month,Equalisation!$F$9,0),2))</f>
        <v>269997.07</v>
      </c>
      <c r="G27" s="10">
        <f t="shared" si="0"/>
        <v>269997.07</v>
      </c>
      <c r="H27" s="10">
        <f t="shared" si="1"/>
        <v>32773.050000000017</v>
      </c>
      <c r="I27" s="14">
        <f t="shared" si="2"/>
        <v>0.13815232538425079</v>
      </c>
      <c r="J27" s="10">
        <f t="shared" si="4"/>
        <v>270027.5</v>
      </c>
    </row>
    <row r="28" spans="1:10" x14ac:dyDescent="0.3">
      <c r="A28" s="4" t="s">
        <v>26</v>
      </c>
      <c r="B28" s="4" t="s">
        <v>55</v>
      </c>
      <c r="C28" s="4">
        <v>12</v>
      </c>
      <c r="D28" s="9">
        <v>237457.97</v>
      </c>
      <c r="E28" s="4"/>
      <c r="F28" s="10">
        <f>IF(C28&lt;=fact_months,"",ROUND(D28*(1+Equalisation!$G$9/100)+IF(C28&gt;=equalisation_month,Equalisation!$F$9,0),2))</f>
        <v>270252.65999999997</v>
      </c>
      <c r="G28" s="10">
        <f t="shared" si="0"/>
        <v>270252.65999999997</v>
      </c>
      <c r="H28" s="10">
        <f t="shared" si="1"/>
        <v>32794.689999999973</v>
      </c>
      <c r="I28" s="14">
        <f t="shared" si="2"/>
        <v>0.13810734590209783</v>
      </c>
      <c r="J28" s="10">
        <f t="shared" si="4"/>
        <v>302822.18999999994</v>
      </c>
    </row>
    <row r="29" spans="1:10" x14ac:dyDescent="0.3">
      <c r="A29" s="4" t="s">
        <v>27</v>
      </c>
      <c r="B29" s="4" t="s">
        <v>44</v>
      </c>
      <c r="C29" s="4">
        <v>1</v>
      </c>
      <c r="D29" s="9">
        <v>228283.47</v>
      </c>
      <c r="E29" s="9">
        <v>231390.85</v>
      </c>
      <c r="F29" s="10" t="str">
        <f>IF(C29&lt;=fact_months,"",ROUND(D29*(1+Equalisation!$G$10/100)+IF(C29&gt;=equalisation_month,Equalisation!$F$10,0),2))</f>
        <v/>
      </c>
      <c r="G29" s="10">
        <f t="shared" si="0"/>
        <v>231390.85</v>
      </c>
      <c r="H29" s="10">
        <f t="shared" si="1"/>
        <v>3107.3800000000047</v>
      </c>
      <c r="I29" s="14">
        <f t="shared" si="2"/>
        <v>1.361193607228769E-2</v>
      </c>
      <c r="J29" s="10">
        <f>H29</f>
        <v>3107.3800000000047</v>
      </c>
    </row>
    <row r="30" spans="1:10" x14ac:dyDescent="0.3">
      <c r="A30" s="4" t="s">
        <v>27</v>
      </c>
      <c r="B30" s="4" t="s">
        <v>45</v>
      </c>
      <c r="C30" s="4">
        <v>2</v>
      </c>
      <c r="D30" s="9">
        <v>227623.69</v>
      </c>
      <c r="E30" s="9">
        <v>230690.86</v>
      </c>
      <c r="F30" s="10" t="str">
        <f>IF(C30&lt;=fact_months,"",ROUND(D30*(1+Equalisation!$G$10/100)+IF(C30&gt;=equalisation_month,Equalisation!$F$10,0),2))</f>
        <v/>
      </c>
      <c r="G30" s="10">
        <f t="shared" si="0"/>
        <v>230690.86</v>
      </c>
      <c r="H30" s="10">
        <f t="shared" si="1"/>
        <v>3067.1699999999837</v>
      </c>
      <c r="I30" s="14">
        <f t="shared" si="2"/>
        <v>1.3474739821676662E-2</v>
      </c>
      <c r="J30" s="10">
        <f t="shared" ref="J30:J40" si="5">J29+H30</f>
        <v>6174.5499999999884</v>
      </c>
    </row>
    <row r="31" spans="1:10" x14ac:dyDescent="0.3">
      <c r="A31" s="4" t="s">
        <v>27</v>
      </c>
      <c r="B31" s="4" t="s">
        <v>46</v>
      </c>
      <c r="C31" s="4">
        <v>3</v>
      </c>
      <c r="D31" s="9">
        <v>224764.65</v>
      </c>
      <c r="E31" s="9">
        <v>227525.39</v>
      </c>
      <c r="F31" s="10" t="str">
        <f>IF(C31&lt;=fact_months,"",ROUND(D31*(1+Equalisation!$G$10/100)+IF(C31&gt;=equalisation_month,Equalisation!$F$10,0),2))</f>
        <v/>
      </c>
      <c r="G31" s="10">
        <f t="shared" si="0"/>
        <v>227525.39</v>
      </c>
      <c r="H31" s="10">
        <f t="shared" si="1"/>
        <v>2760.7400000000198</v>
      </c>
      <c r="I31" s="14">
        <f t="shared" si="2"/>
        <v>1.2282803367878445E-2</v>
      </c>
      <c r="J31" s="10">
        <f t="shared" si="5"/>
        <v>8935.2900000000081</v>
      </c>
    </row>
    <row r="32" spans="1:10" x14ac:dyDescent="0.3">
      <c r="A32" s="4" t="s">
        <v>27</v>
      </c>
      <c r="B32" s="4" t="s">
        <v>47</v>
      </c>
      <c r="C32" s="4">
        <v>4</v>
      </c>
      <c r="D32" s="9">
        <v>221025.9</v>
      </c>
      <c r="E32" s="9">
        <v>224049.75</v>
      </c>
      <c r="F32" s="10" t="str">
        <f>IF(C32&lt;=fact_months,"",ROUND(D32*(1+Equalisation!$G$10/100)+IF(C32&gt;=equalisation_month,Equalisation!$F$10,0),2))</f>
        <v/>
      </c>
      <c r="G32" s="10">
        <f t="shared" si="0"/>
        <v>224049.75</v>
      </c>
      <c r="H32" s="10">
        <f t="shared" si="1"/>
        <v>3023.8500000000058</v>
      </c>
      <c r="I32" s="14">
        <f t="shared" si="2"/>
        <v>1.3680975849436677E-2</v>
      </c>
      <c r="J32" s="10">
        <f t="shared" si="5"/>
        <v>11959.140000000014</v>
      </c>
    </row>
    <row r="33" spans="1:10" x14ac:dyDescent="0.3">
      <c r="A33" s="4" t="s">
        <v>27</v>
      </c>
      <c r="B33" s="4" t="s">
        <v>48</v>
      </c>
      <c r="C33" s="4">
        <v>5</v>
      </c>
      <c r="D33" s="9">
        <v>216847.3</v>
      </c>
      <c r="E33" s="9">
        <v>219787.72</v>
      </c>
      <c r="F33" s="10" t="str">
        <f>IF(C33&lt;=fact_months,"",ROUND(D33*(1+Equalisation!$G$10/100)+IF(C33&gt;=equalisation_month,Equalisation!$F$10,0),2))</f>
        <v/>
      </c>
      <c r="G33" s="10">
        <f t="shared" si="0"/>
        <v>219787.72</v>
      </c>
      <c r="H33" s="10">
        <f t="shared" si="1"/>
        <v>2940.4200000000128</v>
      </c>
      <c r="I33" s="14">
        <f t="shared" si="2"/>
        <v>1.3559864476062247E-2</v>
      </c>
      <c r="J33" s="10">
        <f t="shared" si="5"/>
        <v>14899.560000000027</v>
      </c>
    </row>
    <row r="34" spans="1:10" x14ac:dyDescent="0.3">
      <c r="A34" s="4" t="s">
        <v>27</v>
      </c>
      <c r="B34" s="4" t="s">
        <v>49</v>
      </c>
      <c r="C34" s="4">
        <v>6</v>
      </c>
      <c r="D34" s="9">
        <v>212888.63</v>
      </c>
      <c r="E34" s="9">
        <v>216019.66</v>
      </c>
      <c r="F34" s="10" t="str">
        <f>IF(C34&lt;=fact_months,"",ROUND(D34*(1+Equalisation!$G$10/100)+IF(C34&gt;=equalisation_month,Equalisation!$F$10,0),2))</f>
        <v/>
      </c>
      <c r="G34" s="10">
        <f t="shared" si="0"/>
        <v>216019.66</v>
      </c>
      <c r="H34" s="10">
        <f t="shared" si="1"/>
        <v>3131.0299999999988</v>
      </c>
      <c r="I34" s="14">
        <f t="shared" si="2"/>
        <v>1.4707361309056283E-2</v>
      </c>
      <c r="J34" s="10">
        <f t="shared" si="5"/>
        <v>18030.590000000026</v>
      </c>
    </row>
    <row r="35" spans="1:10" x14ac:dyDescent="0.3">
      <c r="A35" s="4" t="s">
        <v>27</v>
      </c>
      <c r="B35" s="4" t="s">
        <v>50</v>
      </c>
      <c r="C35" s="4">
        <v>7</v>
      </c>
      <c r="D35" s="9">
        <v>211569.07</v>
      </c>
      <c r="E35" s="9">
        <v>214065.27</v>
      </c>
      <c r="F35" s="10" t="str">
        <f>IF(C35&lt;=fact_months,"",ROUND(D35*(1+Equalisation!$G$10/100)+IF(C35&gt;=equalisation_month,Equalisation!$F$10,0),2))</f>
        <v/>
      </c>
      <c r="G35" s="10">
        <f t="shared" si="0"/>
        <v>214065.27</v>
      </c>
      <c r="H35" s="10">
        <f t="shared" si="1"/>
        <v>2496.1999999999825</v>
      </c>
      <c r="I35" s="14">
        <f t="shared" si="2"/>
        <v>1.1798511001631677E-2</v>
      </c>
      <c r="J35" s="10">
        <f t="shared" si="5"/>
        <v>20526.790000000008</v>
      </c>
    </row>
    <row r="36" spans="1:10" x14ac:dyDescent="0.3">
      <c r="A36" s="4" t="s">
        <v>27</v>
      </c>
      <c r="B36" s="4" t="s">
        <v>51</v>
      </c>
      <c r="C36" s="4">
        <v>8</v>
      </c>
      <c r="D36" s="9">
        <v>212008.92</v>
      </c>
      <c r="E36" s="9">
        <v>214745.39</v>
      </c>
      <c r="F36" s="10" t="str">
        <f>IF(C36&lt;=fact_months,"",ROUND(D36*(1+Equalisation!$G$10/100)+IF(C36&gt;=equalisation_month,Equalisation!$F$10,0),2))</f>
        <v/>
      </c>
      <c r="G36" s="10">
        <f t="shared" si="0"/>
        <v>214745.39</v>
      </c>
      <c r="H36" s="10">
        <f t="shared" si="1"/>
        <v>2736.4700000000012</v>
      </c>
      <c r="I36" s="14">
        <f t="shared" si="2"/>
        <v>1.290733427631253E-2</v>
      </c>
      <c r="J36" s="10">
        <f t="shared" si="5"/>
        <v>23263.260000000009</v>
      </c>
    </row>
    <row r="37" spans="1:10" x14ac:dyDescent="0.3">
      <c r="A37" s="4" t="s">
        <v>27</v>
      </c>
      <c r="B37" s="4" t="s">
        <v>52</v>
      </c>
      <c r="C37" s="4">
        <v>9</v>
      </c>
      <c r="D37" s="9">
        <v>216627.38</v>
      </c>
      <c r="E37" s="4"/>
      <c r="F37" s="10">
        <f>IF(C37&lt;=fact_months,"",ROUND(D37*(1+Equalisation!$G$10/100)+IF(C37&gt;=equalisation_month,Equalisation!$F$10,0),2))</f>
        <v>221281.25</v>
      </c>
      <c r="G37" s="10">
        <f t="shared" ref="G37:G68" si="6">IF(C37&lt;=fact_months,E37,F37)</f>
        <v>221281.25</v>
      </c>
      <c r="H37" s="10">
        <f t="shared" ref="H37:H68" si="7">G37-D37</f>
        <v>4653.8699999999953</v>
      </c>
      <c r="I37" s="14">
        <f t="shared" ref="I37:I68" si="8">IF(D37=0,"",H37/D37)</f>
        <v>2.1483295417227478E-2</v>
      </c>
      <c r="J37" s="10">
        <f t="shared" si="5"/>
        <v>27917.130000000005</v>
      </c>
    </row>
    <row r="38" spans="1:10" x14ac:dyDescent="0.3">
      <c r="A38" s="4" t="s">
        <v>27</v>
      </c>
      <c r="B38" s="4" t="s">
        <v>53</v>
      </c>
      <c r="C38" s="4">
        <v>10</v>
      </c>
      <c r="D38" s="9">
        <v>221245.83</v>
      </c>
      <c r="E38" s="4"/>
      <c r="F38" s="10">
        <f>IF(C38&lt;=fact_months,"",ROUND(D38*(1+Equalisation!$G$10/100)+IF(C38&gt;=equalisation_month,Equalisation!$F$10,0),2))</f>
        <v>225961.01</v>
      </c>
      <c r="G38" s="10">
        <f t="shared" si="6"/>
        <v>225961.01</v>
      </c>
      <c r="H38" s="10">
        <f t="shared" si="7"/>
        <v>4715.1800000000221</v>
      </c>
      <c r="I38" s="14">
        <f t="shared" si="8"/>
        <v>2.1311949698667867E-2</v>
      </c>
      <c r="J38" s="10">
        <f t="shared" si="5"/>
        <v>32632.310000000027</v>
      </c>
    </row>
    <row r="39" spans="1:10" x14ac:dyDescent="0.3">
      <c r="A39" s="4" t="s">
        <v>27</v>
      </c>
      <c r="B39" s="4" t="s">
        <v>54</v>
      </c>
      <c r="C39" s="4">
        <v>11</v>
      </c>
      <c r="D39" s="9">
        <v>223005.24</v>
      </c>
      <c r="E39" s="4"/>
      <c r="F39" s="10">
        <f>IF(C39&lt;=fact_months,"",ROUND(D39*(1+Equalisation!$G$10/100)+IF(C39&gt;=equalisation_month,Equalisation!$F$10,0),2))</f>
        <v>227743.78</v>
      </c>
      <c r="G39" s="10">
        <f t="shared" si="6"/>
        <v>227743.78</v>
      </c>
      <c r="H39" s="10">
        <f t="shared" si="7"/>
        <v>4738.5400000000081</v>
      </c>
      <c r="I39" s="14">
        <f t="shared" si="8"/>
        <v>2.1248559002470115E-2</v>
      </c>
      <c r="J39" s="10">
        <f t="shared" si="5"/>
        <v>37370.850000000035</v>
      </c>
    </row>
    <row r="40" spans="1:10" x14ac:dyDescent="0.3">
      <c r="A40" s="4" t="s">
        <v>27</v>
      </c>
      <c r="B40" s="4" t="s">
        <v>55</v>
      </c>
      <c r="C40" s="4">
        <v>12</v>
      </c>
      <c r="D40" s="9">
        <v>223225.16</v>
      </c>
      <c r="E40" s="4"/>
      <c r="F40" s="10">
        <f>IF(C40&lt;=fact_months,"",ROUND(D40*(1+Equalisation!$G$10/100)+IF(C40&gt;=equalisation_month,Equalisation!$F$10,0),2))</f>
        <v>227966.61</v>
      </c>
      <c r="G40" s="10">
        <f t="shared" si="6"/>
        <v>227966.61</v>
      </c>
      <c r="H40" s="10">
        <f t="shared" si="7"/>
        <v>4741.4499999999825</v>
      </c>
      <c r="I40" s="14">
        <f t="shared" si="8"/>
        <v>2.1240661222955256E-2</v>
      </c>
      <c r="J40" s="10">
        <f t="shared" si="5"/>
        <v>42112.300000000017</v>
      </c>
    </row>
    <row r="41" spans="1:10" x14ac:dyDescent="0.3">
      <c r="A41" s="4" t="s">
        <v>28</v>
      </c>
      <c r="B41" s="4" t="s">
        <v>44</v>
      </c>
      <c r="C41" s="4">
        <v>1</v>
      </c>
      <c r="D41" s="9">
        <v>218086.63</v>
      </c>
      <c r="E41" s="9">
        <v>223337.15</v>
      </c>
      <c r="F41" s="10" t="str">
        <f>IF(C41&lt;=fact_months,"",ROUND(D41*(1+Equalisation!$G$11/100)+IF(C41&gt;=equalisation_month,Equalisation!$F$11,0),2))</f>
        <v/>
      </c>
      <c r="G41" s="10">
        <f t="shared" si="6"/>
        <v>223337.15</v>
      </c>
      <c r="H41" s="10">
        <f t="shared" si="7"/>
        <v>5250.5199999999895</v>
      </c>
      <c r="I41" s="14">
        <f t="shared" si="8"/>
        <v>2.4075386923077261E-2</v>
      </c>
      <c r="J41" s="10">
        <f>H41</f>
        <v>5250.5199999999895</v>
      </c>
    </row>
    <row r="42" spans="1:10" x14ac:dyDescent="0.3">
      <c r="A42" s="4" t="s">
        <v>28</v>
      </c>
      <c r="B42" s="4" t="s">
        <v>45</v>
      </c>
      <c r="C42" s="4">
        <v>2</v>
      </c>
      <c r="D42" s="9">
        <v>217456.32</v>
      </c>
      <c r="E42" s="9">
        <v>222421.91</v>
      </c>
      <c r="F42" s="10" t="str">
        <f>IF(C42&lt;=fact_months,"",ROUND(D42*(1+Equalisation!$G$11/100)+IF(C42&gt;=equalisation_month,Equalisation!$F$11,0),2))</f>
        <v/>
      </c>
      <c r="G42" s="10">
        <f t="shared" si="6"/>
        <v>222421.91</v>
      </c>
      <c r="H42" s="10">
        <f t="shared" si="7"/>
        <v>4965.5899999999965</v>
      </c>
      <c r="I42" s="14">
        <f t="shared" si="8"/>
        <v>2.28348847253554E-2</v>
      </c>
      <c r="J42" s="10">
        <f t="shared" ref="J42:J52" si="9">J41+H42</f>
        <v>10216.109999999986</v>
      </c>
    </row>
    <row r="43" spans="1:10" x14ac:dyDescent="0.3">
      <c r="A43" s="4" t="s">
        <v>28</v>
      </c>
      <c r="B43" s="4" t="s">
        <v>46</v>
      </c>
      <c r="C43" s="4">
        <v>3</v>
      </c>
      <c r="D43" s="9">
        <v>214724.99</v>
      </c>
      <c r="E43" s="9">
        <v>220098.35</v>
      </c>
      <c r="F43" s="10" t="str">
        <f>IF(C43&lt;=fact_months,"",ROUND(D43*(1+Equalisation!$G$11/100)+IF(C43&gt;=equalisation_month,Equalisation!$F$11,0),2))</f>
        <v/>
      </c>
      <c r="G43" s="10">
        <f t="shared" si="6"/>
        <v>220098.35</v>
      </c>
      <c r="H43" s="10">
        <f t="shared" si="7"/>
        <v>5373.3600000000151</v>
      </c>
      <c r="I43" s="14">
        <f t="shared" si="8"/>
        <v>2.5024381186372464E-2</v>
      </c>
      <c r="J43" s="10">
        <f t="shared" si="9"/>
        <v>15589.470000000001</v>
      </c>
    </row>
    <row r="44" spans="1:10" x14ac:dyDescent="0.3">
      <c r="A44" s="4" t="s">
        <v>28</v>
      </c>
      <c r="B44" s="4" t="s">
        <v>47</v>
      </c>
      <c r="C44" s="4">
        <v>4</v>
      </c>
      <c r="D44" s="9">
        <v>211153.24</v>
      </c>
      <c r="E44" s="9">
        <v>215948.78</v>
      </c>
      <c r="F44" s="10" t="str">
        <f>IF(C44&lt;=fact_months,"",ROUND(D44*(1+Equalisation!$G$11/100)+IF(C44&gt;=equalisation_month,Equalisation!$F$11,0),2))</f>
        <v/>
      </c>
      <c r="G44" s="10">
        <f t="shared" si="6"/>
        <v>215948.78</v>
      </c>
      <c r="H44" s="10">
        <f t="shared" si="7"/>
        <v>4795.5400000000081</v>
      </c>
      <c r="I44" s="14">
        <f t="shared" si="8"/>
        <v>2.2711183593488827E-2</v>
      </c>
      <c r="J44" s="10">
        <f t="shared" si="9"/>
        <v>20385.010000000009</v>
      </c>
    </row>
    <row r="45" spans="1:10" x14ac:dyDescent="0.3">
      <c r="A45" s="4" t="s">
        <v>28</v>
      </c>
      <c r="B45" s="4" t="s">
        <v>48</v>
      </c>
      <c r="C45" s="4">
        <v>5</v>
      </c>
      <c r="D45" s="9">
        <v>207161.29</v>
      </c>
      <c r="E45" s="9">
        <v>212017.25</v>
      </c>
      <c r="F45" s="10" t="str">
        <f>IF(C45&lt;=fact_months,"",ROUND(D45*(1+Equalisation!$G$11/100)+IF(C45&gt;=equalisation_month,Equalisation!$F$11,0),2))</f>
        <v/>
      </c>
      <c r="G45" s="10">
        <f t="shared" si="6"/>
        <v>212017.25</v>
      </c>
      <c r="H45" s="10">
        <f t="shared" si="7"/>
        <v>4855.9599999999919</v>
      </c>
      <c r="I45" s="14">
        <f t="shared" si="8"/>
        <v>2.3440479637870527E-2</v>
      </c>
      <c r="J45" s="10">
        <f t="shared" si="9"/>
        <v>25240.97</v>
      </c>
    </row>
    <row r="46" spans="1:10" x14ac:dyDescent="0.3">
      <c r="A46" s="4" t="s">
        <v>28</v>
      </c>
      <c r="B46" s="4" t="s">
        <v>49</v>
      </c>
      <c r="C46" s="4">
        <v>6</v>
      </c>
      <c r="D46" s="9">
        <v>203379.44</v>
      </c>
      <c r="E46" s="9">
        <v>208172.39</v>
      </c>
      <c r="F46" s="10" t="str">
        <f>IF(C46&lt;=fact_months,"",ROUND(D46*(1+Equalisation!$G$11/100)+IF(C46&gt;=equalisation_month,Equalisation!$F$11,0),2))</f>
        <v/>
      </c>
      <c r="G46" s="10">
        <f t="shared" si="6"/>
        <v>208172.39</v>
      </c>
      <c r="H46" s="10">
        <f t="shared" si="7"/>
        <v>4792.9500000000116</v>
      </c>
      <c r="I46" s="14">
        <f t="shared" si="8"/>
        <v>2.3566541436046886E-2</v>
      </c>
      <c r="J46" s="10">
        <f t="shared" si="9"/>
        <v>30033.920000000013</v>
      </c>
    </row>
    <row r="47" spans="1:10" x14ac:dyDescent="0.3">
      <c r="A47" s="4" t="s">
        <v>28</v>
      </c>
      <c r="B47" s="4" t="s">
        <v>50</v>
      </c>
      <c r="C47" s="4">
        <v>7</v>
      </c>
      <c r="D47" s="9">
        <v>202118.83</v>
      </c>
      <c r="E47" s="9">
        <v>206780.17</v>
      </c>
      <c r="F47" s="10" t="str">
        <f>IF(C47&lt;=fact_months,"",ROUND(D47*(1+Equalisation!$G$11/100)+IF(C47&gt;=equalisation_month,Equalisation!$F$11,0),2))</f>
        <v/>
      </c>
      <c r="G47" s="10">
        <f t="shared" si="6"/>
        <v>206780.17</v>
      </c>
      <c r="H47" s="10">
        <f t="shared" si="7"/>
        <v>4661.3400000000256</v>
      </c>
      <c r="I47" s="14">
        <f t="shared" si="8"/>
        <v>2.3062373753103688E-2</v>
      </c>
      <c r="J47" s="10">
        <f t="shared" si="9"/>
        <v>34695.260000000038</v>
      </c>
    </row>
    <row r="48" spans="1:10" x14ac:dyDescent="0.3">
      <c r="A48" s="4" t="s">
        <v>28</v>
      </c>
      <c r="B48" s="4" t="s">
        <v>51</v>
      </c>
      <c r="C48" s="4">
        <v>8</v>
      </c>
      <c r="D48" s="9">
        <v>202539.03</v>
      </c>
      <c r="E48" s="9">
        <v>207579.41</v>
      </c>
      <c r="F48" s="10" t="str">
        <f>IF(C48&lt;=fact_months,"",ROUND(D48*(1+Equalisation!$G$11/100)+IF(C48&gt;=equalisation_month,Equalisation!$F$11,0),2))</f>
        <v/>
      </c>
      <c r="G48" s="10">
        <f t="shared" si="6"/>
        <v>207579.41</v>
      </c>
      <c r="H48" s="10">
        <f t="shared" si="7"/>
        <v>5040.3800000000047</v>
      </c>
      <c r="I48" s="14">
        <f t="shared" si="8"/>
        <v>2.488596889202049E-2</v>
      </c>
      <c r="J48" s="10">
        <f t="shared" si="9"/>
        <v>39735.640000000043</v>
      </c>
    </row>
    <row r="49" spans="1:10" x14ac:dyDescent="0.3">
      <c r="A49" s="4" t="s">
        <v>28</v>
      </c>
      <c r="B49" s="4" t="s">
        <v>52</v>
      </c>
      <c r="C49" s="4">
        <v>9</v>
      </c>
      <c r="D49" s="9">
        <v>206951.19</v>
      </c>
      <c r="E49" s="4"/>
      <c r="F49" s="10">
        <f>IF(C49&lt;=fact_months,"",ROUND(D49*(1+Equalisation!$G$11/100)+IF(C49&gt;=equalisation_month,Equalisation!$F$11,0),2))</f>
        <v>219056.5</v>
      </c>
      <c r="G49" s="10">
        <f t="shared" si="6"/>
        <v>219056.5</v>
      </c>
      <c r="H49" s="10">
        <f t="shared" si="7"/>
        <v>12105.309999999998</v>
      </c>
      <c r="I49" s="14">
        <f t="shared" si="8"/>
        <v>5.8493551063900612E-2</v>
      </c>
      <c r="J49" s="10">
        <f t="shared" si="9"/>
        <v>51840.950000000041</v>
      </c>
    </row>
    <row r="50" spans="1:10" x14ac:dyDescent="0.3">
      <c r="A50" s="4" t="s">
        <v>28</v>
      </c>
      <c r="B50" s="4" t="s">
        <v>53</v>
      </c>
      <c r="C50" s="4">
        <v>10</v>
      </c>
      <c r="D50" s="9">
        <v>211363.35</v>
      </c>
      <c r="E50" s="4"/>
      <c r="F50" s="10">
        <f>IF(C50&lt;=fact_months,"",ROUND(D50*(1+Equalisation!$G$11/100)+IF(C50&gt;=equalisation_month,Equalisation!$F$11,0),2))</f>
        <v>223572.6</v>
      </c>
      <c r="G50" s="10">
        <f t="shared" si="6"/>
        <v>223572.6</v>
      </c>
      <c r="H50" s="10">
        <f t="shared" si="7"/>
        <v>12209.25</v>
      </c>
      <c r="I50" s="14">
        <f t="shared" si="8"/>
        <v>5.7764271809658582E-2</v>
      </c>
      <c r="J50" s="10">
        <f t="shared" si="9"/>
        <v>64050.200000000041</v>
      </c>
    </row>
    <row r="51" spans="1:10" x14ac:dyDescent="0.3">
      <c r="A51" s="4" t="s">
        <v>28</v>
      </c>
      <c r="B51" s="4" t="s">
        <v>54</v>
      </c>
      <c r="C51" s="4">
        <v>11</v>
      </c>
      <c r="D51" s="9">
        <v>213044.17</v>
      </c>
      <c r="E51" s="4"/>
      <c r="F51" s="10">
        <f>IF(C51&lt;=fact_months,"",ROUND(D51*(1+Equalisation!$G$11/100)+IF(C51&gt;=equalisation_month,Equalisation!$F$11,0),2))</f>
        <v>225293.02</v>
      </c>
      <c r="G51" s="10">
        <f t="shared" si="6"/>
        <v>225293.02</v>
      </c>
      <c r="H51" s="10">
        <f t="shared" si="7"/>
        <v>12248.849999999977</v>
      </c>
      <c r="I51" s="14">
        <f t="shared" si="8"/>
        <v>5.7494415359969603E-2</v>
      </c>
      <c r="J51" s="10">
        <f t="shared" si="9"/>
        <v>76299.050000000017</v>
      </c>
    </row>
    <row r="52" spans="1:10" x14ac:dyDescent="0.3">
      <c r="A52" s="4" t="s">
        <v>28</v>
      </c>
      <c r="B52" s="4" t="s">
        <v>55</v>
      </c>
      <c r="C52" s="4">
        <v>12</v>
      </c>
      <c r="D52" s="9">
        <v>213254.27</v>
      </c>
      <c r="E52" s="4"/>
      <c r="F52" s="10">
        <f>IF(C52&lt;=fact_months,"",ROUND(D52*(1+Equalisation!$G$11/100)+IF(C52&gt;=equalisation_month,Equalisation!$F$11,0),2))</f>
        <v>225508.07</v>
      </c>
      <c r="G52" s="10">
        <f t="shared" si="6"/>
        <v>225508.07</v>
      </c>
      <c r="H52" s="10">
        <f t="shared" si="7"/>
        <v>12253.800000000017</v>
      </c>
      <c r="I52" s="14">
        <f t="shared" si="8"/>
        <v>5.746098307902589E-2</v>
      </c>
      <c r="J52" s="10">
        <f t="shared" si="9"/>
        <v>88552.850000000035</v>
      </c>
    </row>
    <row r="53" spans="1:10" x14ac:dyDescent="0.3">
      <c r="A53" s="4" t="s">
        <v>29</v>
      </c>
      <c r="B53" s="4" t="s">
        <v>44</v>
      </c>
      <c r="C53" s="4">
        <v>1</v>
      </c>
      <c r="D53" s="9">
        <v>201200.07</v>
      </c>
      <c r="E53" s="9">
        <v>206080.7</v>
      </c>
      <c r="F53" s="10" t="str">
        <f>IF(C53&lt;=fact_months,"",ROUND(D53*(1+Equalisation!$G$12/100)+IF(C53&gt;=equalisation_month,Equalisation!$F$12,0),2))</f>
        <v/>
      </c>
      <c r="G53" s="10">
        <f t="shared" si="6"/>
        <v>206080.7</v>
      </c>
      <c r="H53" s="10">
        <f t="shared" si="7"/>
        <v>4880.6300000000047</v>
      </c>
      <c r="I53" s="14">
        <f t="shared" si="8"/>
        <v>2.4257595934236029E-2</v>
      </c>
      <c r="J53" s="10">
        <f>H53</f>
        <v>4880.6300000000047</v>
      </c>
    </row>
    <row r="54" spans="1:10" x14ac:dyDescent="0.3">
      <c r="A54" s="4" t="s">
        <v>29</v>
      </c>
      <c r="B54" s="4" t="s">
        <v>45</v>
      </c>
      <c r="C54" s="4">
        <v>2</v>
      </c>
      <c r="D54" s="9">
        <v>200618.57</v>
      </c>
      <c r="E54" s="9">
        <v>205606.17</v>
      </c>
      <c r="F54" s="10" t="str">
        <f>IF(C54&lt;=fact_months,"",ROUND(D54*(1+Equalisation!$G$12/100)+IF(C54&gt;=equalisation_month,Equalisation!$F$12,0),2))</f>
        <v/>
      </c>
      <c r="G54" s="10">
        <f t="shared" si="6"/>
        <v>205606.17</v>
      </c>
      <c r="H54" s="10">
        <f t="shared" si="7"/>
        <v>4987.6000000000058</v>
      </c>
      <c r="I54" s="14">
        <f t="shared" si="8"/>
        <v>2.4861108321129026E-2</v>
      </c>
      <c r="J54" s="10">
        <f t="shared" ref="J54:J64" si="10">J53+H54</f>
        <v>9868.2300000000105</v>
      </c>
    </row>
    <row r="55" spans="1:10" x14ac:dyDescent="0.3">
      <c r="A55" s="4" t="s">
        <v>29</v>
      </c>
      <c r="B55" s="4" t="s">
        <v>46</v>
      </c>
      <c r="C55" s="4">
        <v>3</v>
      </c>
      <c r="D55" s="9">
        <v>198098.72</v>
      </c>
      <c r="E55" s="9">
        <v>202981.89</v>
      </c>
      <c r="F55" s="10" t="str">
        <f>IF(C55&lt;=fact_months,"",ROUND(D55*(1+Equalisation!$G$12/100)+IF(C55&gt;=equalisation_month,Equalisation!$F$12,0),2))</f>
        <v/>
      </c>
      <c r="G55" s="10">
        <f t="shared" si="6"/>
        <v>202981.89</v>
      </c>
      <c r="H55" s="10">
        <f t="shared" si="7"/>
        <v>4883.1700000000128</v>
      </c>
      <c r="I55" s="14">
        <f t="shared" si="8"/>
        <v>2.4650184514064567E-2</v>
      </c>
      <c r="J55" s="10">
        <f t="shared" si="10"/>
        <v>14751.400000000023</v>
      </c>
    </row>
    <row r="56" spans="1:10" x14ac:dyDescent="0.3">
      <c r="A56" s="4" t="s">
        <v>29</v>
      </c>
      <c r="B56" s="4" t="s">
        <v>47</v>
      </c>
      <c r="C56" s="4">
        <v>4</v>
      </c>
      <c r="D56" s="9">
        <v>194803.54</v>
      </c>
      <c r="E56" s="9">
        <v>199767.23</v>
      </c>
      <c r="F56" s="10" t="str">
        <f>IF(C56&lt;=fact_months,"",ROUND(D56*(1+Equalisation!$G$12/100)+IF(C56&gt;=equalisation_month,Equalisation!$F$12,0),2))</f>
        <v/>
      </c>
      <c r="G56" s="10">
        <f t="shared" si="6"/>
        <v>199767.23</v>
      </c>
      <c r="H56" s="10">
        <f t="shared" si="7"/>
        <v>4963.6900000000023</v>
      </c>
      <c r="I56" s="14">
        <f t="shared" si="8"/>
        <v>2.5480491781617532E-2</v>
      </c>
      <c r="J56" s="10">
        <f t="shared" si="10"/>
        <v>19715.090000000026</v>
      </c>
    </row>
    <row r="57" spans="1:10" x14ac:dyDescent="0.3">
      <c r="A57" s="4" t="s">
        <v>29</v>
      </c>
      <c r="B57" s="4" t="s">
        <v>48</v>
      </c>
      <c r="C57" s="4">
        <v>5</v>
      </c>
      <c r="D57" s="9">
        <v>191120.69</v>
      </c>
      <c r="E57" s="9">
        <v>195988.38</v>
      </c>
      <c r="F57" s="10" t="str">
        <f>IF(C57&lt;=fact_months,"",ROUND(D57*(1+Equalisation!$G$12/100)+IF(C57&gt;=equalisation_month,Equalisation!$F$12,0),2))</f>
        <v/>
      </c>
      <c r="G57" s="10">
        <f t="shared" si="6"/>
        <v>195988.38</v>
      </c>
      <c r="H57" s="10">
        <f t="shared" si="7"/>
        <v>4867.6900000000023</v>
      </c>
      <c r="I57" s="14">
        <f t="shared" si="8"/>
        <v>2.5469194360903585E-2</v>
      </c>
      <c r="J57" s="10">
        <f t="shared" si="10"/>
        <v>24582.780000000028</v>
      </c>
    </row>
    <row r="58" spans="1:10" x14ac:dyDescent="0.3">
      <c r="A58" s="4" t="s">
        <v>29</v>
      </c>
      <c r="B58" s="4" t="s">
        <v>49</v>
      </c>
      <c r="C58" s="4">
        <v>6</v>
      </c>
      <c r="D58" s="9">
        <v>187631.67</v>
      </c>
      <c r="E58" s="9">
        <v>192370.76</v>
      </c>
      <c r="F58" s="10" t="str">
        <f>IF(C58&lt;=fact_months,"",ROUND(D58*(1+Equalisation!$G$12/100)+IF(C58&gt;=equalisation_month,Equalisation!$F$12,0),2))</f>
        <v/>
      </c>
      <c r="G58" s="10">
        <f t="shared" si="6"/>
        <v>192370.76</v>
      </c>
      <c r="H58" s="10">
        <f t="shared" si="7"/>
        <v>4739.0899999999965</v>
      </c>
      <c r="I58" s="14">
        <f t="shared" si="8"/>
        <v>2.5257409903136269E-2</v>
      </c>
      <c r="J58" s="10">
        <f t="shared" si="10"/>
        <v>29321.870000000024</v>
      </c>
    </row>
    <row r="59" spans="1:10" x14ac:dyDescent="0.3">
      <c r="A59" s="4" t="s">
        <v>29</v>
      </c>
      <c r="B59" s="4" t="s">
        <v>50</v>
      </c>
      <c r="C59" s="4">
        <v>7</v>
      </c>
      <c r="D59" s="9">
        <v>186468.66</v>
      </c>
      <c r="E59" s="9">
        <v>191099.95</v>
      </c>
      <c r="F59" s="10" t="str">
        <f>IF(C59&lt;=fact_months,"",ROUND(D59*(1+Equalisation!$G$12/100)+IF(C59&gt;=equalisation_month,Equalisation!$F$12,0),2))</f>
        <v/>
      </c>
      <c r="G59" s="10">
        <f t="shared" si="6"/>
        <v>191099.95</v>
      </c>
      <c r="H59" s="10">
        <f t="shared" si="7"/>
        <v>4631.2900000000081</v>
      </c>
      <c r="I59" s="14">
        <f t="shared" si="8"/>
        <v>2.4836827807954473E-2</v>
      </c>
      <c r="J59" s="10">
        <f t="shared" si="10"/>
        <v>33953.160000000033</v>
      </c>
    </row>
    <row r="60" spans="1:10" x14ac:dyDescent="0.3">
      <c r="A60" s="4" t="s">
        <v>29</v>
      </c>
      <c r="B60" s="4" t="s">
        <v>51</v>
      </c>
      <c r="C60" s="4">
        <v>8</v>
      </c>
      <c r="D60" s="9">
        <v>186856.33</v>
      </c>
      <c r="E60" s="9">
        <v>191139.3</v>
      </c>
      <c r="F60" s="10" t="str">
        <f>IF(C60&lt;=fact_months,"",ROUND(D60*(1+Equalisation!$G$12/100)+IF(C60&gt;=equalisation_month,Equalisation!$F$12,0),2))</f>
        <v/>
      </c>
      <c r="G60" s="10">
        <f t="shared" si="6"/>
        <v>191139.3</v>
      </c>
      <c r="H60" s="10">
        <f t="shared" si="7"/>
        <v>4282.9700000000012</v>
      </c>
      <c r="I60" s="14">
        <f t="shared" si="8"/>
        <v>2.2921192982865508E-2</v>
      </c>
      <c r="J60" s="10">
        <f t="shared" si="10"/>
        <v>38236.130000000034</v>
      </c>
    </row>
    <row r="61" spans="1:10" x14ac:dyDescent="0.3">
      <c r="A61" s="4" t="s">
        <v>29</v>
      </c>
      <c r="B61" s="4" t="s">
        <v>52</v>
      </c>
      <c r="C61" s="4">
        <v>9</v>
      </c>
      <c r="D61" s="9">
        <v>190926.85</v>
      </c>
      <c r="E61" s="4"/>
      <c r="F61" s="10">
        <f>IF(C61&lt;=fact_months,"",ROUND(D61*(1+Equalisation!$G$12/100)+IF(C61&gt;=equalisation_month,Equalisation!$F$12,0),2))</f>
        <v>195572.08</v>
      </c>
      <c r="G61" s="10">
        <f t="shared" si="6"/>
        <v>195572.08</v>
      </c>
      <c r="H61" s="10">
        <f t="shared" si="7"/>
        <v>4645.2299999999814</v>
      </c>
      <c r="I61" s="14">
        <f t="shared" si="8"/>
        <v>2.4329893883442696E-2</v>
      </c>
      <c r="J61" s="10">
        <f t="shared" si="10"/>
        <v>42881.360000000015</v>
      </c>
    </row>
    <row r="62" spans="1:10" x14ac:dyDescent="0.3">
      <c r="A62" s="4" t="s">
        <v>29</v>
      </c>
      <c r="B62" s="4" t="s">
        <v>53</v>
      </c>
      <c r="C62" s="4">
        <v>10</v>
      </c>
      <c r="D62" s="9">
        <v>194997.37</v>
      </c>
      <c r="E62" s="4"/>
      <c r="F62" s="10">
        <f>IF(C62&lt;=fact_months,"",ROUND(D62*(1+Equalisation!$G$12/100)+IF(C62&gt;=equalisation_month,Equalisation!$F$12,0),2))</f>
        <v>199741.64</v>
      </c>
      <c r="G62" s="10">
        <f t="shared" si="6"/>
        <v>199741.64</v>
      </c>
      <c r="H62" s="10">
        <f t="shared" si="7"/>
        <v>4744.2700000000186</v>
      </c>
      <c r="I62" s="14">
        <f t="shared" si="8"/>
        <v>2.4329917885559271E-2</v>
      </c>
      <c r="J62" s="10">
        <f t="shared" si="10"/>
        <v>47625.630000000034</v>
      </c>
    </row>
    <row r="63" spans="1:10" x14ac:dyDescent="0.3">
      <c r="A63" s="4" t="s">
        <v>29</v>
      </c>
      <c r="B63" s="4" t="s">
        <v>54</v>
      </c>
      <c r="C63" s="4">
        <v>11</v>
      </c>
      <c r="D63" s="9">
        <v>196548.05</v>
      </c>
      <c r="E63" s="4"/>
      <c r="F63" s="10">
        <f>IF(C63&lt;=fact_months,"",ROUND(D63*(1+Equalisation!$G$12/100)+IF(C63&gt;=equalisation_month,Equalisation!$F$12,0),2))</f>
        <v>201330.05</v>
      </c>
      <c r="G63" s="10">
        <f t="shared" si="6"/>
        <v>201330.05</v>
      </c>
      <c r="H63" s="10">
        <f t="shared" si="7"/>
        <v>4782</v>
      </c>
      <c r="I63" s="14">
        <f t="shared" si="8"/>
        <v>2.4329928483136823E-2</v>
      </c>
      <c r="J63" s="10">
        <f t="shared" si="10"/>
        <v>52407.630000000034</v>
      </c>
    </row>
    <row r="64" spans="1:10" x14ac:dyDescent="0.3">
      <c r="A64" s="4" t="s">
        <v>29</v>
      </c>
      <c r="B64" s="4" t="s">
        <v>55</v>
      </c>
      <c r="C64" s="4">
        <v>12</v>
      </c>
      <c r="D64" s="9">
        <v>196741.88</v>
      </c>
      <c r="E64" s="4"/>
      <c r="F64" s="10">
        <f>IF(C64&lt;=fact_months,"",ROUND(D64*(1+Equalisation!$G$12/100)+IF(C64&gt;=equalisation_month,Equalisation!$F$12,0),2))</f>
        <v>201528.59</v>
      </c>
      <c r="G64" s="10">
        <f t="shared" si="6"/>
        <v>201528.59</v>
      </c>
      <c r="H64" s="10">
        <f t="shared" si="7"/>
        <v>4786.7099999999919</v>
      </c>
      <c r="I64" s="14">
        <f t="shared" si="8"/>
        <v>2.4329898646897101E-2</v>
      </c>
      <c r="J64" s="10">
        <f t="shared" si="10"/>
        <v>57194.340000000026</v>
      </c>
    </row>
    <row r="65" spans="1:10" x14ac:dyDescent="0.3">
      <c r="A65" s="4" t="s">
        <v>30</v>
      </c>
      <c r="B65" s="4" t="s">
        <v>44</v>
      </c>
      <c r="C65" s="4">
        <v>1</v>
      </c>
      <c r="D65" s="9">
        <v>122126.73</v>
      </c>
      <c r="E65" s="9">
        <v>124851.35</v>
      </c>
      <c r="F65" s="10" t="str">
        <f>IF(C65&lt;=fact_months,"",ROUND(D65*(1+Equalisation!$G$13/100)+IF(C65&gt;=equalisation_month,Equalisation!$F$13,0),2))</f>
        <v/>
      </c>
      <c r="G65" s="10">
        <f t="shared" si="6"/>
        <v>124851.35</v>
      </c>
      <c r="H65" s="10">
        <f t="shared" si="7"/>
        <v>2724.6200000000099</v>
      </c>
      <c r="I65" s="14">
        <f t="shared" si="8"/>
        <v>2.2309776082598872E-2</v>
      </c>
      <c r="J65" s="10">
        <f>H65</f>
        <v>2724.6200000000099</v>
      </c>
    </row>
    <row r="66" spans="1:10" x14ac:dyDescent="0.3">
      <c r="A66" s="4" t="s">
        <v>30</v>
      </c>
      <c r="B66" s="4" t="s">
        <v>45</v>
      </c>
      <c r="C66" s="4">
        <v>2</v>
      </c>
      <c r="D66" s="9">
        <v>121773.77</v>
      </c>
      <c r="E66" s="9">
        <v>124473.78</v>
      </c>
      <c r="F66" s="10" t="str">
        <f>IF(C66&lt;=fact_months,"",ROUND(D66*(1+Equalisation!$G$13/100)+IF(C66&gt;=equalisation_month,Equalisation!$F$13,0),2))</f>
        <v/>
      </c>
      <c r="G66" s="10">
        <f t="shared" si="6"/>
        <v>124473.78</v>
      </c>
      <c r="H66" s="10">
        <f t="shared" si="7"/>
        <v>2700.0099999999948</v>
      </c>
      <c r="I66" s="14">
        <f t="shared" si="8"/>
        <v>2.2172344668313995E-2</v>
      </c>
      <c r="J66" s="10">
        <f t="shared" ref="J66:J76" si="11">J65+H66</f>
        <v>5424.6300000000047</v>
      </c>
    </row>
    <row r="67" spans="1:10" x14ac:dyDescent="0.3">
      <c r="A67" s="4" t="s">
        <v>30</v>
      </c>
      <c r="B67" s="4" t="s">
        <v>46</v>
      </c>
      <c r="C67" s="4">
        <v>3</v>
      </c>
      <c r="D67" s="9">
        <v>120244.24</v>
      </c>
      <c r="E67" s="9">
        <v>122904.25</v>
      </c>
      <c r="F67" s="10" t="str">
        <f>IF(C67&lt;=fact_months,"",ROUND(D67*(1+Equalisation!$G$13/100)+IF(C67&gt;=equalisation_month,Equalisation!$F$13,0),2))</f>
        <v/>
      </c>
      <c r="G67" s="10">
        <f t="shared" si="6"/>
        <v>122904.25</v>
      </c>
      <c r="H67" s="10">
        <f t="shared" si="7"/>
        <v>2660.0099999999948</v>
      </c>
      <c r="I67" s="14">
        <f t="shared" si="8"/>
        <v>2.2121724915887819E-2</v>
      </c>
      <c r="J67" s="10">
        <f t="shared" si="11"/>
        <v>8084.6399999999994</v>
      </c>
    </row>
    <row r="68" spans="1:10" x14ac:dyDescent="0.3">
      <c r="A68" s="4" t="s">
        <v>30</v>
      </c>
      <c r="B68" s="4" t="s">
        <v>47</v>
      </c>
      <c r="C68" s="4">
        <v>4</v>
      </c>
      <c r="D68" s="9">
        <v>118244.09</v>
      </c>
      <c r="E68" s="9">
        <v>120772.84</v>
      </c>
      <c r="F68" s="10" t="str">
        <f>IF(C68&lt;=fact_months,"",ROUND(D68*(1+Equalisation!$G$13/100)+IF(C68&gt;=equalisation_month,Equalisation!$F$13,0),2))</f>
        <v/>
      </c>
      <c r="G68" s="10">
        <f t="shared" si="6"/>
        <v>120772.84</v>
      </c>
      <c r="H68" s="10">
        <f t="shared" si="7"/>
        <v>2528.75</v>
      </c>
      <c r="I68" s="14">
        <f t="shared" si="8"/>
        <v>2.1385846852895567E-2</v>
      </c>
      <c r="J68" s="10">
        <f t="shared" si="11"/>
        <v>10613.39</v>
      </c>
    </row>
    <row r="69" spans="1:10" x14ac:dyDescent="0.3">
      <c r="A69" s="4" t="s">
        <v>30</v>
      </c>
      <c r="B69" s="4" t="s">
        <v>48</v>
      </c>
      <c r="C69" s="4">
        <v>5</v>
      </c>
      <c r="D69" s="9">
        <v>116008.63</v>
      </c>
      <c r="E69" s="9">
        <v>118510.21</v>
      </c>
      <c r="F69" s="10" t="str">
        <f>IF(C69&lt;=fact_months,"",ROUND(D69*(1+Equalisation!$G$13/100)+IF(C69&gt;=equalisation_month,Equalisation!$F$13,0),2))</f>
        <v/>
      </c>
      <c r="G69" s="10">
        <f t="shared" ref="G69:G88" si="12">IF(C69&lt;=fact_months,E69,F69)</f>
        <v>118510.21</v>
      </c>
      <c r="H69" s="10">
        <f t="shared" ref="H69:H88" si="13">G69-D69</f>
        <v>2501.5800000000017</v>
      </c>
      <c r="I69" s="14">
        <f t="shared" ref="I69:I88" si="14">IF(D69=0,"",H69/D69)</f>
        <v>2.156374055964631E-2</v>
      </c>
      <c r="J69" s="10">
        <f t="shared" si="11"/>
        <v>13114.970000000001</v>
      </c>
    </row>
    <row r="70" spans="1:10" x14ac:dyDescent="0.3">
      <c r="A70" s="4" t="s">
        <v>30</v>
      </c>
      <c r="B70" s="4" t="s">
        <v>49</v>
      </c>
      <c r="C70" s="4">
        <v>6</v>
      </c>
      <c r="D70" s="9">
        <v>113890.83</v>
      </c>
      <c r="E70" s="9">
        <v>116229.38</v>
      </c>
      <c r="F70" s="10" t="str">
        <f>IF(C70&lt;=fact_months,"",ROUND(D70*(1+Equalisation!$G$13/100)+IF(C70&gt;=equalisation_month,Equalisation!$F$13,0),2))</f>
        <v/>
      </c>
      <c r="G70" s="10">
        <f t="shared" si="12"/>
        <v>116229.38</v>
      </c>
      <c r="H70" s="10">
        <f t="shared" si="13"/>
        <v>2338.5500000000029</v>
      </c>
      <c r="I70" s="14">
        <f t="shared" si="14"/>
        <v>2.0533259789220985E-2</v>
      </c>
      <c r="J70" s="10">
        <f t="shared" si="11"/>
        <v>15453.520000000004</v>
      </c>
    </row>
    <row r="71" spans="1:10" x14ac:dyDescent="0.3">
      <c r="A71" s="4" t="s">
        <v>30</v>
      </c>
      <c r="B71" s="4" t="s">
        <v>50</v>
      </c>
      <c r="C71" s="4">
        <v>7</v>
      </c>
      <c r="D71" s="9">
        <v>113184.89</v>
      </c>
      <c r="E71" s="9">
        <v>115710.27</v>
      </c>
      <c r="F71" s="10" t="str">
        <f>IF(C71&lt;=fact_months,"",ROUND(D71*(1+Equalisation!$G$13/100)+IF(C71&gt;=equalisation_month,Equalisation!$F$13,0),2))</f>
        <v/>
      </c>
      <c r="G71" s="10">
        <f t="shared" si="12"/>
        <v>115710.27</v>
      </c>
      <c r="H71" s="10">
        <f t="shared" si="13"/>
        <v>2525.3800000000047</v>
      </c>
      <c r="I71" s="14">
        <f t="shared" si="14"/>
        <v>2.2311988817588679E-2</v>
      </c>
      <c r="J71" s="10">
        <f t="shared" si="11"/>
        <v>17978.900000000009</v>
      </c>
    </row>
    <row r="72" spans="1:10" x14ac:dyDescent="0.3">
      <c r="A72" s="4" t="s">
        <v>30</v>
      </c>
      <c r="B72" s="4" t="s">
        <v>51</v>
      </c>
      <c r="C72" s="4">
        <v>8</v>
      </c>
      <c r="D72" s="9">
        <v>113420.2</v>
      </c>
      <c r="E72" s="9">
        <v>115751.55</v>
      </c>
      <c r="F72" s="10" t="str">
        <f>IF(C72&lt;=fact_months,"",ROUND(D72*(1+Equalisation!$G$13/100)+IF(C72&gt;=equalisation_month,Equalisation!$F$13,0),2))</f>
        <v/>
      </c>
      <c r="G72" s="10">
        <f t="shared" si="12"/>
        <v>115751.55</v>
      </c>
      <c r="H72" s="10">
        <f t="shared" si="13"/>
        <v>2331.3500000000058</v>
      </c>
      <c r="I72" s="14">
        <f t="shared" si="14"/>
        <v>2.0554980506118009E-2</v>
      </c>
      <c r="J72" s="10">
        <f t="shared" si="11"/>
        <v>20310.250000000015</v>
      </c>
    </row>
    <row r="73" spans="1:10" x14ac:dyDescent="0.3">
      <c r="A73" s="4" t="s">
        <v>30</v>
      </c>
      <c r="B73" s="4" t="s">
        <v>52</v>
      </c>
      <c r="C73" s="4">
        <v>9</v>
      </c>
      <c r="D73" s="9">
        <v>115890.98</v>
      </c>
      <c r="E73" s="4"/>
      <c r="F73" s="10">
        <f>IF(C73&lt;=fact_months,"",ROUND(D73*(1+Equalisation!$G$13/100)+IF(C73&gt;=equalisation_month,Equalisation!$F$13,0),2))</f>
        <v>121867.98</v>
      </c>
      <c r="G73" s="10">
        <f t="shared" si="12"/>
        <v>121867.98</v>
      </c>
      <c r="H73" s="10">
        <f t="shared" si="13"/>
        <v>5977</v>
      </c>
      <c r="I73" s="14">
        <f t="shared" si="14"/>
        <v>5.1574333049906045E-2</v>
      </c>
      <c r="J73" s="10">
        <f t="shared" si="11"/>
        <v>26287.250000000015</v>
      </c>
    </row>
    <row r="74" spans="1:10" x14ac:dyDescent="0.3">
      <c r="A74" s="4" t="s">
        <v>30</v>
      </c>
      <c r="B74" s="4" t="s">
        <v>53</v>
      </c>
      <c r="C74" s="4">
        <v>10</v>
      </c>
      <c r="D74" s="9">
        <v>118361.75</v>
      </c>
      <c r="E74" s="4"/>
      <c r="F74" s="10">
        <f>IF(C74&lt;=fact_months,"",ROUND(D74*(1+Equalisation!$G$13/100)+IF(C74&gt;=equalisation_month,Equalisation!$F$13,0),2))</f>
        <v>124391.47</v>
      </c>
      <c r="G74" s="10">
        <f t="shared" si="12"/>
        <v>124391.47</v>
      </c>
      <c r="H74" s="10">
        <f t="shared" si="13"/>
        <v>6029.7200000000012</v>
      </c>
      <c r="I74" s="14">
        <f t="shared" si="14"/>
        <v>5.0943146751378725E-2</v>
      </c>
      <c r="J74" s="10">
        <f t="shared" si="11"/>
        <v>32316.970000000016</v>
      </c>
    </row>
    <row r="75" spans="1:10" x14ac:dyDescent="0.3">
      <c r="A75" s="4" t="s">
        <v>30</v>
      </c>
      <c r="B75" s="4" t="s">
        <v>54</v>
      </c>
      <c r="C75" s="4">
        <v>11</v>
      </c>
      <c r="D75" s="9">
        <v>119303</v>
      </c>
      <c r="E75" s="4"/>
      <c r="F75" s="10">
        <f>IF(C75&lt;=fact_months,"",ROUND(D75*(1+Equalisation!$G$13/100)+IF(C75&gt;=equalisation_month,Equalisation!$F$13,0),2))</f>
        <v>125352.81</v>
      </c>
      <c r="G75" s="10">
        <f t="shared" si="12"/>
        <v>125352.81</v>
      </c>
      <c r="H75" s="10">
        <f t="shared" si="13"/>
        <v>6049.8099999999977</v>
      </c>
      <c r="I75" s="14">
        <f t="shared" si="14"/>
        <v>5.0709621719487334E-2</v>
      </c>
      <c r="J75" s="10">
        <f t="shared" si="11"/>
        <v>38366.780000000013</v>
      </c>
    </row>
    <row r="76" spans="1:10" x14ac:dyDescent="0.3">
      <c r="A76" s="4" t="s">
        <v>30</v>
      </c>
      <c r="B76" s="4" t="s">
        <v>55</v>
      </c>
      <c r="C76" s="4">
        <v>12</v>
      </c>
      <c r="D76" s="9">
        <v>119420.65</v>
      </c>
      <c r="E76" s="4"/>
      <c r="F76" s="10">
        <f>IF(C76&lt;=fact_months,"",ROUND(D76*(1+Equalisation!$G$13/100)+IF(C76&gt;=equalisation_month,Equalisation!$F$13,0),2))</f>
        <v>125472.97</v>
      </c>
      <c r="G76" s="10">
        <f t="shared" si="12"/>
        <v>125472.97</v>
      </c>
      <c r="H76" s="10">
        <f t="shared" si="13"/>
        <v>6052.320000000007</v>
      </c>
      <c r="I76" s="14">
        <f t="shared" si="14"/>
        <v>5.0680682109836173E-2</v>
      </c>
      <c r="J76" s="10">
        <f t="shared" si="11"/>
        <v>44419.10000000002</v>
      </c>
    </row>
    <row r="77" spans="1:10" x14ac:dyDescent="0.3">
      <c r="A77" s="4" t="s">
        <v>31</v>
      </c>
      <c r="B77" s="4" t="s">
        <v>44</v>
      </c>
      <c r="C77" s="4">
        <v>1</v>
      </c>
      <c r="D77" s="9">
        <v>74139.31</v>
      </c>
      <c r="E77" s="9">
        <v>76193.36</v>
      </c>
      <c r="F77" s="10" t="str">
        <f>IF(C77&lt;=fact_months,"",ROUND(D77*(1+Equalisation!$G$14/100)+IF(C77&gt;=equalisation_month,Equalisation!$F$14,0),2))</f>
        <v/>
      </c>
      <c r="G77" s="10">
        <f t="shared" si="12"/>
        <v>76193.36</v>
      </c>
      <c r="H77" s="10">
        <f t="shared" si="13"/>
        <v>2054.0500000000029</v>
      </c>
      <c r="I77" s="14">
        <f t="shared" si="14"/>
        <v>2.7705275379552398E-2</v>
      </c>
      <c r="J77" s="10">
        <f>H77</f>
        <v>2054.0500000000029</v>
      </c>
    </row>
    <row r="78" spans="1:10" x14ac:dyDescent="0.3">
      <c r="A78" s="4" t="s">
        <v>31</v>
      </c>
      <c r="B78" s="4" t="s">
        <v>45</v>
      </c>
      <c r="C78" s="4">
        <v>2</v>
      </c>
      <c r="D78" s="9">
        <v>73925.039999999994</v>
      </c>
      <c r="E78" s="9">
        <v>75927.570000000007</v>
      </c>
      <c r="F78" s="10" t="str">
        <f>IF(C78&lt;=fact_months,"",ROUND(D78*(1+Equalisation!$G$14/100)+IF(C78&gt;=equalisation_month,Equalisation!$F$14,0),2))</f>
        <v/>
      </c>
      <c r="G78" s="10">
        <f t="shared" si="12"/>
        <v>75927.570000000007</v>
      </c>
      <c r="H78" s="10">
        <f t="shared" si="13"/>
        <v>2002.5300000000134</v>
      </c>
      <c r="I78" s="14">
        <f t="shared" si="14"/>
        <v>2.7088656292915278E-2</v>
      </c>
      <c r="J78" s="10">
        <f t="shared" ref="J78:J88" si="15">J77+H78</f>
        <v>4056.5800000000163</v>
      </c>
    </row>
    <row r="79" spans="1:10" x14ac:dyDescent="0.3">
      <c r="A79" s="4" t="s">
        <v>31</v>
      </c>
      <c r="B79" s="4" t="s">
        <v>46</v>
      </c>
      <c r="C79" s="4">
        <v>3</v>
      </c>
      <c r="D79" s="9">
        <v>72996.509999999995</v>
      </c>
      <c r="E79" s="9">
        <v>74921.460000000006</v>
      </c>
      <c r="F79" s="10" t="str">
        <f>IF(C79&lt;=fact_months,"",ROUND(D79*(1+Equalisation!$G$14/100)+IF(C79&gt;=equalisation_month,Equalisation!$F$14,0),2))</f>
        <v/>
      </c>
      <c r="G79" s="10">
        <f t="shared" si="12"/>
        <v>74921.460000000006</v>
      </c>
      <c r="H79" s="10">
        <f t="shared" si="13"/>
        <v>1924.9500000000116</v>
      </c>
      <c r="I79" s="14">
        <f t="shared" si="14"/>
        <v>2.6370438805910196E-2</v>
      </c>
      <c r="J79" s="10">
        <f t="shared" si="15"/>
        <v>5981.5300000000279</v>
      </c>
    </row>
    <row r="80" spans="1:10" x14ac:dyDescent="0.3">
      <c r="A80" s="4" t="s">
        <v>31</v>
      </c>
      <c r="B80" s="4" t="s">
        <v>47</v>
      </c>
      <c r="C80" s="4">
        <v>4</v>
      </c>
      <c r="D80" s="9">
        <v>71782.28</v>
      </c>
      <c r="E80" s="9">
        <v>73763.240000000005</v>
      </c>
      <c r="F80" s="10" t="str">
        <f>IF(C80&lt;=fact_months,"",ROUND(D80*(1+Equalisation!$G$14/100)+IF(C80&gt;=equalisation_month,Equalisation!$F$14,0),2))</f>
        <v/>
      </c>
      <c r="G80" s="10">
        <f t="shared" si="12"/>
        <v>73763.240000000005</v>
      </c>
      <c r="H80" s="10">
        <f t="shared" si="13"/>
        <v>1980.9600000000064</v>
      </c>
      <c r="I80" s="14">
        <f t="shared" si="14"/>
        <v>2.7596782938630625E-2</v>
      </c>
      <c r="J80" s="10">
        <f t="shared" si="15"/>
        <v>7962.4900000000343</v>
      </c>
    </row>
    <row r="81" spans="1:10" x14ac:dyDescent="0.3">
      <c r="A81" s="4" t="s">
        <v>31</v>
      </c>
      <c r="B81" s="4" t="s">
        <v>48</v>
      </c>
      <c r="C81" s="4">
        <v>5</v>
      </c>
      <c r="D81" s="9">
        <v>70425.2</v>
      </c>
      <c r="E81" s="9">
        <v>72393.899999999994</v>
      </c>
      <c r="F81" s="10" t="str">
        <f>IF(C81&lt;=fact_months,"",ROUND(D81*(1+Equalisation!$G$14/100)+IF(C81&gt;=equalisation_month,Equalisation!$F$14,0),2))</f>
        <v/>
      </c>
      <c r="G81" s="10">
        <f t="shared" si="12"/>
        <v>72393.899999999994</v>
      </c>
      <c r="H81" s="10">
        <f t="shared" si="13"/>
        <v>1968.6999999999971</v>
      </c>
      <c r="I81" s="14">
        <f t="shared" si="14"/>
        <v>2.7954482202393421E-2</v>
      </c>
      <c r="J81" s="10">
        <f t="shared" si="15"/>
        <v>9931.1900000000314</v>
      </c>
    </row>
    <row r="82" spans="1:10" x14ac:dyDescent="0.3">
      <c r="A82" s="4" t="s">
        <v>31</v>
      </c>
      <c r="B82" s="4" t="s">
        <v>49</v>
      </c>
      <c r="C82" s="4">
        <v>6</v>
      </c>
      <c r="D82" s="9">
        <v>69139.55</v>
      </c>
      <c r="E82" s="9">
        <v>70937.710000000006</v>
      </c>
      <c r="F82" s="10" t="str">
        <f>IF(C82&lt;=fact_months,"",ROUND(D82*(1+Equalisation!$G$14/100)+IF(C82&gt;=equalisation_month,Equalisation!$F$14,0),2))</f>
        <v/>
      </c>
      <c r="G82" s="10">
        <f t="shared" si="12"/>
        <v>70937.710000000006</v>
      </c>
      <c r="H82" s="10">
        <f t="shared" si="13"/>
        <v>1798.1600000000035</v>
      </c>
      <c r="I82" s="14">
        <f t="shared" si="14"/>
        <v>2.600769024386192E-2</v>
      </c>
      <c r="J82" s="10">
        <f t="shared" si="15"/>
        <v>11729.350000000035</v>
      </c>
    </row>
    <row r="83" spans="1:10" x14ac:dyDescent="0.3">
      <c r="A83" s="4" t="s">
        <v>31</v>
      </c>
      <c r="B83" s="4" t="s">
        <v>50</v>
      </c>
      <c r="C83" s="4">
        <v>7</v>
      </c>
      <c r="D83" s="9">
        <v>68711</v>
      </c>
      <c r="E83" s="9">
        <v>70476.95</v>
      </c>
      <c r="F83" s="10" t="str">
        <f>IF(C83&lt;=fact_months,"",ROUND(D83*(1+Equalisation!$G$14/100)+IF(C83&gt;=equalisation_month,Equalisation!$F$14,0),2))</f>
        <v/>
      </c>
      <c r="G83" s="10">
        <f t="shared" si="12"/>
        <v>70476.95</v>
      </c>
      <c r="H83" s="10">
        <f t="shared" si="13"/>
        <v>1765.9499999999971</v>
      </c>
      <c r="I83" s="14">
        <f t="shared" si="14"/>
        <v>2.5701125001819172E-2</v>
      </c>
      <c r="J83" s="10">
        <f t="shared" si="15"/>
        <v>13495.300000000032</v>
      </c>
    </row>
    <row r="84" spans="1:10" x14ac:dyDescent="0.3">
      <c r="A84" s="4" t="s">
        <v>31</v>
      </c>
      <c r="B84" s="4" t="s">
        <v>51</v>
      </c>
      <c r="C84" s="4">
        <v>8</v>
      </c>
      <c r="D84" s="9">
        <v>68853.850000000006</v>
      </c>
      <c r="E84" s="9">
        <v>70605.179999999993</v>
      </c>
      <c r="F84" s="10" t="str">
        <f>IF(C84&lt;=fact_months,"",ROUND(D84*(1+Equalisation!$G$14/100)+IF(C84&gt;=equalisation_month,Equalisation!$F$14,0),2))</f>
        <v/>
      </c>
      <c r="G84" s="10">
        <f t="shared" si="12"/>
        <v>70605.179999999993</v>
      </c>
      <c r="H84" s="10">
        <f t="shared" si="13"/>
        <v>1751.3299999999872</v>
      </c>
      <c r="I84" s="14">
        <f t="shared" si="14"/>
        <v>2.5435469476289083E-2</v>
      </c>
      <c r="J84" s="10">
        <f t="shared" si="15"/>
        <v>15246.630000000019</v>
      </c>
    </row>
    <row r="85" spans="1:10" x14ac:dyDescent="0.3">
      <c r="A85" s="4" t="s">
        <v>31</v>
      </c>
      <c r="B85" s="4" t="s">
        <v>52</v>
      </c>
      <c r="C85" s="4">
        <v>9</v>
      </c>
      <c r="D85" s="9">
        <v>70353.78</v>
      </c>
      <c r="E85" s="4"/>
      <c r="F85" s="10">
        <f>IF(C85&lt;=fact_months,"",ROUND(D85*(1+Equalisation!$G$14/100)+IF(C85&gt;=equalisation_month,Equalisation!$F$14,0),2))</f>
        <v>73761.45</v>
      </c>
      <c r="G85" s="10">
        <f t="shared" si="12"/>
        <v>73761.45</v>
      </c>
      <c r="H85" s="10">
        <f t="shared" si="13"/>
        <v>3407.6699999999983</v>
      </c>
      <c r="I85" s="14">
        <f t="shared" si="14"/>
        <v>4.8436203427875496E-2</v>
      </c>
      <c r="J85" s="10">
        <f t="shared" si="15"/>
        <v>18654.300000000017</v>
      </c>
    </row>
    <row r="86" spans="1:10" x14ac:dyDescent="0.3">
      <c r="A86" s="4" t="s">
        <v>31</v>
      </c>
      <c r="B86" s="4" t="s">
        <v>53</v>
      </c>
      <c r="C86" s="4">
        <v>10</v>
      </c>
      <c r="D86" s="9">
        <v>71853.710000000006</v>
      </c>
      <c r="E86" s="4"/>
      <c r="F86" s="10">
        <f>IF(C86&lt;=fact_months,"",ROUND(D86*(1+Equalisation!$G$14/100)+IF(C86&gt;=equalisation_month,Equalisation!$F$14,0),2))</f>
        <v>75301.17</v>
      </c>
      <c r="G86" s="10">
        <f t="shared" si="12"/>
        <v>75301.17</v>
      </c>
      <c r="H86" s="10">
        <f t="shared" si="13"/>
        <v>3447.4599999999919</v>
      </c>
      <c r="I86" s="14">
        <f t="shared" si="14"/>
        <v>4.797887262884535E-2</v>
      </c>
      <c r="J86" s="10">
        <f t="shared" si="15"/>
        <v>22101.760000000009</v>
      </c>
    </row>
    <row r="87" spans="1:10" x14ac:dyDescent="0.3">
      <c r="A87" s="4" t="s">
        <v>31</v>
      </c>
      <c r="B87" s="4" t="s">
        <v>54</v>
      </c>
      <c r="C87" s="4">
        <v>11</v>
      </c>
      <c r="D87" s="9">
        <v>72425.11</v>
      </c>
      <c r="E87" s="4"/>
      <c r="F87" s="10">
        <f>IF(C87&lt;=fact_months,"",ROUND(D87*(1+Equalisation!$G$14/100)+IF(C87&gt;=equalisation_month,Equalisation!$F$14,0),2))</f>
        <v>75887.72</v>
      </c>
      <c r="G87" s="10">
        <f t="shared" si="12"/>
        <v>75887.72</v>
      </c>
      <c r="H87" s="10">
        <f t="shared" si="13"/>
        <v>3462.6100000000006</v>
      </c>
      <c r="I87" s="14">
        <f t="shared" si="14"/>
        <v>4.7809523520226625E-2</v>
      </c>
      <c r="J87" s="10">
        <f t="shared" si="15"/>
        <v>25564.37000000001</v>
      </c>
    </row>
    <row r="88" spans="1:10" x14ac:dyDescent="0.3">
      <c r="A88" s="4" t="s">
        <v>31</v>
      </c>
      <c r="B88" s="4" t="s">
        <v>55</v>
      </c>
      <c r="C88" s="4">
        <v>12</v>
      </c>
      <c r="D88" s="9">
        <v>72496.53</v>
      </c>
      <c r="E88" s="4"/>
      <c r="F88" s="10">
        <f>IF(C88&lt;=fact_months,"",ROUND(D88*(1+Equalisation!$G$14/100)+IF(C88&gt;=equalisation_month,Equalisation!$F$14,0),2))</f>
        <v>75961.039999999994</v>
      </c>
      <c r="G88" s="10">
        <f t="shared" si="12"/>
        <v>75961.039999999994</v>
      </c>
      <c r="H88" s="10">
        <f t="shared" si="13"/>
        <v>3464.5099999999948</v>
      </c>
      <c r="I88" s="14">
        <f t="shared" si="14"/>
        <v>4.7788632090391012E-2</v>
      </c>
      <c r="J88" s="10">
        <f t="shared" si="15"/>
        <v>29028.880000000005</v>
      </c>
    </row>
  </sheetData>
  <autoFilter ref="A4:J88" xr:uid="{00000000-0009-0000-0000-000002000000}"/>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workbookViewId="0">
      <pane ySplit="5" topLeftCell="A6" activePane="bottomLeft" state="frozen"/>
      <selection pane="bottomLeft"/>
    </sheetView>
  </sheetViews>
  <sheetFormatPr defaultRowHeight="14.4" x14ac:dyDescent="0.3"/>
  <cols>
    <col min="1" max="1" width="10" customWidth="1"/>
    <col min="2" max="2" width="5" customWidth="1"/>
    <col min="3" max="5" width="16" customWidth="1"/>
    <col min="6" max="6" width="12" customWidth="1"/>
    <col min="7" max="7" width="16" customWidth="1"/>
  </cols>
  <sheetData>
    <row r="1" spans="1:7" ht="17.399999999999999" x14ac:dyDescent="0.35">
      <c r="A1" s="1" t="s">
        <v>56</v>
      </c>
    </row>
    <row r="2" spans="1:7" x14ac:dyDescent="0.3">
      <c r="A2" s="20" t="s">
        <v>57</v>
      </c>
      <c r="B2" s="21"/>
      <c r="C2" s="21"/>
      <c r="D2" s="21"/>
      <c r="E2" s="21"/>
      <c r="F2" s="21"/>
      <c r="G2" s="21"/>
    </row>
    <row r="3" spans="1:7" x14ac:dyDescent="0.3">
      <c r="A3" s="21"/>
      <c r="B3" s="21"/>
      <c r="C3" s="21"/>
      <c r="D3" s="21"/>
      <c r="E3" s="21"/>
      <c r="F3" s="21"/>
      <c r="G3" s="21"/>
    </row>
    <row r="5" spans="1:7" ht="30" customHeight="1" x14ac:dyDescent="0.3">
      <c r="A5" s="3" t="s">
        <v>35</v>
      </c>
      <c r="B5" s="3" t="s">
        <v>36</v>
      </c>
      <c r="C5" s="3" t="s">
        <v>37</v>
      </c>
      <c r="D5" s="3" t="s">
        <v>40</v>
      </c>
      <c r="E5" s="3" t="s">
        <v>41</v>
      </c>
      <c r="F5" s="3" t="s">
        <v>42</v>
      </c>
      <c r="G5" s="3" t="s">
        <v>43</v>
      </c>
    </row>
    <row r="6" spans="1:7" x14ac:dyDescent="0.3">
      <c r="A6" s="4" t="s">
        <v>44</v>
      </c>
      <c r="B6" s="4">
        <v>1</v>
      </c>
      <c r="C6" s="10">
        <f>SUMIF(Data!$C$5:$C$88,$B6,Data!$D$5:$D$88)</f>
        <v>1431549.17</v>
      </c>
      <c r="D6" s="10">
        <f>SUMIF(Data!$C$5:$C$88,$B6,Data!$G$5:$G$88)</f>
        <v>1466464.76</v>
      </c>
      <c r="E6" s="10">
        <f t="shared" ref="E6:E17" si="0">D6-C6</f>
        <v>34915.590000000084</v>
      </c>
      <c r="F6" s="14">
        <f t="shared" ref="F6:F18" si="1">E6/C6</f>
        <v>2.4390073866621072E-2</v>
      </c>
      <c r="G6" s="10">
        <f>E6</f>
        <v>34915.590000000084</v>
      </c>
    </row>
    <row r="7" spans="1:7" x14ac:dyDescent="0.3">
      <c r="A7" s="4" t="s">
        <v>45</v>
      </c>
      <c r="B7" s="4">
        <v>2</v>
      </c>
      <c r="C7" s="10">
        <f>SUMIF(Data!$C$5:$C$88,$B7,Data!$D$5:$D$88)</f>
        <v>1427411.7500000002</v>
      </c>
      <c r="D7" s="10">
        <f>SUMIF(Data!$C$5:$C$88,$B7,Data!$G$5:$G$88)</f>
        <v>1462002.4000000001</v>
      </c>
      <c r="E7" s="10">
        <f t="shared" si="0"/>
        <v>34590.649999999907</v>
      </c>
      <c r="F7" s="14">
        <f t="shared" si="1"/>
        <v>2.4233126846545786E-2</v>
      </c>
      <c r="G7" s="10">
        <f t="shared" ref="G7:G17" si="2">G6+E7</f>
        <v>69506.239999999991</v>
      </c>
    </row>
    <row r="8" spans="1:7" x14ac:dyDescent="0.3">
      <c r="A8" s="4" t="s">
        <v>46</v>
      </c>
      <c r="B8" s="4">
        <v>3</v>
      </c>
      <c r="C8" s="10">
        <f>SUMIF(Data!$C$5:$C$88,$B8,Data!$D$5:$D$88)</f>
        <v>1409482.9100000001</v>
      </c>
      <c r="D8" s="10">
        <f>SUMIF(Data!$C$5:$C$88,$B8,Data!$G$5:$G$88)</f>
        <v>1443777.85</v>
      </c>
      <c r="E8" s="10">
        <f t="shared" si="0"/>
        <v>34294.939999999944</v>
      </c>
      <c r="F8" s="14">
        <f t="shared" si="1"/>
        <v>2.4331575613073548E-2</v>
      </c>
      <c r="G8" s="10">
        <f t="shared" si="2"/>
        <v>103801.17999999993</v>
      </c>
    </row>
    <row r="9" spans="1:7" x14ac:dyDescent="0.3">
      <c r="A9" s="4" t="s">
        <v>47</v>
      </c>
      <c r="B9" s="4">
        <v>4</v>
      </c>
      <c r="C9" s="10">
        <f>SUMIF(Data!$C$5:$C$88,$B9,Data!$D$5:$D$88)</f>
        <v>1386037.4900000002</v>
      </c>
      <c r="D9" s="10">
        <f>SUMIF(Data!$C$5:$C$88,$B9,Data!$G$5:$G$88)</f>
        <v>1420273.3900000001</v>
      </c>
      <c r="E9" s="10">
        <f t="shared" si="0"/>
        <v>34235.899999999907</v>
      </c>
      <c r="F9" s="14">
        <f t="shared" si="1"/>
        <v>2.4700558424289015E-2</v>
      </c>
      <c r="G9" s="10">
        <f t="shared" si="2"/>
        <v>138037.07999999984</v>
      </c>
    </row>
    <row r="10" spans="1:7" x14ac:dyDescent="0.3">
      <c r="A10" s="4" t="s">
        <v>48</v>
      </c>
      <c r="B10" s="4">
        <v>5</v>
      </c>
      <c r="C10" s="10">
        <f>SUMIF(Data!$C$5:$C$88,$B10,Data!$D$5:$D$88)</f>
        <v>1359833.7899999998</v>
      </c>
      <c r="D10" s="10">
        <f>SUMIF(Data!$C$5:$C$88,$B10,Data!$G$5:$G$88)</f>
        <v>1393836.3399999999</v>
      </c>
      <c r="E10" s="10">
        <f t="shared" si="0"/>
        <v>34002.550000000047</v>
      </c>
      <c r="F10" s="14">
        <f t="shared" si="1"/>
        <v>2.5004930933507728E-2</v>
      </c>
      <c r="G10" s="10">
        <f t="shared" si="2"/>
        <v>172039.62999999989</v>
      </c>
    </row>
    <row r="11" spans="1:7" x14ac:dyDescent="0.3">
      <c r="A11" s="4" t="s">
        <v>49</v>
      </c>
      <c r="B11" s="4">
        <v>6</v>
      </c>
      <c r="C11" s="10">
        <f>SUMIF(Data!$C$5:$C$88,$B11,Data!$D$5:$D$88)</f>
        <v>1335009.25</v>
      </c>
      <c r="D11" s="10">
        <f>SUMIF(Data!$C$5:$C$88,$B11,Data!$G$5:$G$88)</f>
        <v>1368196.2799999998</v>
      </c>
      <c r="E11" s="10">
        <f t="shared" si="0"/>
        <v>33187.029999999795</v>
      </c>
      <c r="F11" s="14">
        <f t="shared" si="1"/>
        <v>2.4859026257683079E-2</v>
      </c>
      <c r="G11" s="10">
        <f t="shared" si="2"/>
        <v>205226.65999999968</v>
      </c>
    </row>
    <row r="12" spans="1:7" x14ac:dyDescent="0.3">
      <c r="A12" s="4" t="s">
        <v>50</v>
      </c>
      <c r="B12" s="4">
        <v>7</v>
      </c>
      <c r="C12" s="10">
        <f>SUMIF(Data!$C$5:$C$88,$B12,Data!$D$5:$D$88)</f>
        <v>1326734.3899999999</v>
      </c>
      <c r="D12" s="10">
        <f>SUMIF(Data!$C$5:$C$88,$B12,Data!$G$5:$G$88)</f>
        <v>1358760.25</v>
      </c>
      <c r="E12" s="10">
        <f t="shared" si="0"/>
        <v>32025.860000000102</v>
      </c>
      <c r="F12" s="14">
        <f t="shared" si="1"/>
        <v>2.4138863243003829E-2</v>
      </c>
      <c r="G12" s="10">
        <f t="shared" si="2"/>
        <v>237252.51999999979</v>
      </c>
    </row>
    <row r="13" spans="1:7" x14ac:dyDescent="0.3">
      <c r="A13" s="4" t="s">
        <v>51</v>
      </c>
      <c r="B13" s="4">
        <v>8</v>
      </c>
      <c r="C13" s="10">
        <f>SUMIF(Data!$C$5:$C$88,$B13,Data!$D$5:$D$88)</f>
        <v>1329492.6700000002</v>
      </c>
      <c r="D13" s="10">
        <f>SUMIF(Data!$C$5:$C$88,$B13,Data!$G$5:$G$88)</f>
        <v>1362405.68</v>
      </c>
      <c r="E13" s="10">
        <f t="shared" si="0"/>
        <v>32913.009999999776</v>
      </c>
      <c r="F13" s="14">
        <f t="shared" si="1"/>
        <v>2.475606728993833E-2</v>
      </c>
      <c r="G13" s="10">
        <f t="shared" si="2"/>
        <v>270165.52999999956</v>
      </c>
    </row>
    <row r="14" spans="1:7" x14ac:dyDescent="0.3">
      <c r="A14" s="4" t="s">
        <v>52</v>
      </c>
      <c r="B14" s="4">
        <v>9</v>
      </c>
      <c r="C14" s="10">
        <f>SUMIF(Data!$C$5:$C$88,$B14,Data!$D$5:$D$88)</f>
        <v>1358454.6600000001</v>
      </c>
      <c r="D14" s="10">
        <f>SUMIF(Data!$C$5:$C$88,$B14,Data!$G$5:$G$88)</f>
        <v>1424841.45</v>
      </c>
      <c r="E14" s="10">
        <f t="shared" si="0"/>
        <v>66386.789999999804</v>
      </c>
      <c r="F14" s="14">
        <f t="shared" si="1"/>
        <v>4.8869345407523426E-2</v>
      </c>
      <c r="G14" s="10">
        <f t="shared" si="2"/>
        <v>336552.31999999937</v>
      </c>
    </row>
    <row r="15" spans="1:7" x14ac:dyDescent="0.3">
      <c r="A15" s="4" t="s">
        <v>53</v>
      </c>
      <c r="B15" s="4">
        <v>10</v>
      </c>
      <c r="C15" s="10">
        <f>SUMIF(Data!$C$5:$C$88,$B15,Data!$D$5:$D$88)</f>
        <v>1387416.65</v>
      </c>
      <c r="D15" s="10">
        <f>SUMIF(Data!$C$5:$C$88,$B15,Data!$G$5:$G$88)</f>
        <v>1454514.3099999998</v>
      </c>
      <c r="E15" s="10">
        <f t="shared" si="0"/>
        <v>67097.659999999916</v>
      </c>
      <c r="F15" s="14">
        <f t="shared" si="1"/>
        <v>4.8361579054136274E-2</v>
      </c>
      <c r="G15" s="10">
        <f t="shared" si="2"/>
        <v>403649.97999999928</v>
      </c>
    </row>
    <row r="16" spans="1:7" x14ac:dyDescent="0.3">
      <c r="A16" s="4" t="s">
        <v>54</v>
      </c>
      <c r="B16" s="4">
        <v>11</v>
      </c>
      <c r="C16" s="10">
        <f>SUMIF(Data!$C$5:$C$88,$B16,Data!$D$5:$D$88)</f>
        <v>1398449.79</v>
      </c>
      <c r="D16" s="10">
        <f>SUMIF(Data!$C$5:$C$88,$B16,Data!$G$5:$G$88)</f>
        <v>1465818.27</v>
      </c>
      <c r="E16" s="10">
        <f t="shared" si="0"/>
        <v>67368.479999999981</v>
      </c>
      <c r="F16" s="14">
        <f t="shared" si="1"/>
        <v>4.8173685234705478E-2</v>
      </c>
      <c r="G16" s="10">
        <f t="shared" si="2"/>
        <v>471018.45999999926</v>
      </c>
    </row>
    <row r="17" spans="1:7" x14ac:dyDescent="0.3">
      <c r="A17" s="4" t="s">
        <v>55</v>
      </c>
      <c r="B17" s="4">
        <v>12</v>
      </c>
      <c r="C17" s="10">
        <f>SUMIF(Data!$C$5:$C$88,$B17,Data!$D$5:$D$88)</f>
        <v>1399828.91</v>
      </c>
      <c r="D17" s="10">
        <f>SUMIF(Data!$C$5:$C$88,$B17,Data!$G$5:$G$88)</f>
        <v>1467231.23</v>
      </c>
      <c r="E17" s="10">
        <f t="shared" si="0"/>
        <v>67402.320000000065</v>
      </c>
      <c r="F17" s="14">
        <f t="shared" si="1"/>
        <v>4.8150398608355696E-2</v>
      </c>
      <c r="G17" s="10">
        <f t="shared" si="2"/>
        <v>538420.77999999933</v>
      </c>
    </row>
    <row r="18" spans="1:7" x14ac:dyDescent="0.3">
      <c r="A18" s="7" t="s">
        <v>58</v>
      </c>
      <c r="C18" s="13">
        <f>SUM(C6:C17)</f>
        <v>16549701.43</v>
      </c>
      <c r="D18" s="13">
        <f>SUM(D6:D17)</f>
        <v>17088122.209999997</v>
      </c>
      <c r="E18" s="13">
        <f>SUM(E6:E17)</f>
        <v>538420.77999999933</v>
      </c>
      <c r="F18" s="15">
        <f t="shared" si="1"/>
        <v>3.2533564564735433E-2</v>
      </c>
    </row>
  </sheetData>
  <mergeCells count="1">
    <mergeCell ref="A2:G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
  <sheetViews>
    <sheetView workbookViewId="0">
      <pane ySplit="4" topLeftCell="A5" activePane="bottomLeft" state="frozen"/>
      <selection pane="bottomLeft"/>
    </sheetView>
  </sheetViews>
  <sheetFormatPr defaultRowHeight="14.4" x14ac:dyDescent="0.3"/>
  <cols>
    <col min="1" max="1" width="22" customWidth="1"/>
    <col min="2" max="3" width="15" customWidth="1"/>
    <col min="4" max="4" width="16" customWidth="1"/>
    <col min="5" max="5" width="13" customWidth="1"/>
    <col min="6" max="9" width="16" customWidth="1"/>
    <col min="10" max="10" width="10" customWidth="1"/>
  </cols>
  <sheetData>
    <row r="1" spans="1:10" ht="17.399999999999999" x14ac:dyDescent="0.35">
      <c r="A1" s="1" t="s">
        <v>59</v>
      </c>
    </row>
    <row r="2" spans="1:10" x14ac:dyDescent="0.3">
      <c r="A2" s="2" t="s">
        <v>60</v>
      </c>
    </row>
    <row r="4" spans="1:10" ht="30" customHeight="1" x14ac:dyDescent="0.3">
      <c r="A4" s="3" t="s">
        <v>18</v>
      </c>
      <c r="B4" s="3" t="s">
        <v>61</v>
      </c>
      <c r="C4" s="3" t="s">
        <v>62</v>
      </c>
      <c r="D4" s="3" t="s">
        <v>63</v>
      </c>
      <c r="E4" s="3" t="s">
        <v>64</v>
      </c>
      <c r="F4" s="3" t="s">
        <v>65</v>
      </c>
      <c r="G4" s="3" t="s">
        <v>66</v>
      </c>
      <c r="H4" s="3" t="s">
        <v>67</v>
      </c>
      <c r="I4" s="3" t="s">
        <v>68</v>
      </c>
      <c r="J4" s="3" t="s">
        <v>69</v>
      </c>
    </row>
    <row r="5" spans="1:10" x14ac:dyDescent="0.3">
      <c r="A5" s="4" t="s">
        <v>25</v>
      </c>
      <c r="B5" s="10">
        <f>SUMIF(Data!$C$5:$C$16,"&lt;="&amp;fact_months,Data!$D$5:$D$16)</f>
        <v>2651344.75</v>
      </c>
      <c r="C5" s="10">
        <f>SUMIF(Data!$C$5:$C$16,"&lt;="&amp;fact_months,Data!$E$5:$E$16)</f>
        <v>2612209.02</v>
      </c>
      <c r="D5" s="10">
        <f t="shared" ref="D5:D11" si="0">C5-B5</f>
        <v>-39135.729999999981</v>
      </c>
      <c r="E5" s="14">
        <f t="shared" ref="E5:E12" si="1">D5/B5</f>
        <v>-1.4760709636119551E-2</v>
      </c>
      <c r="F5" s="10">
        <f>SUMIFS(Data!$F$5:$F$16,Data!$C$5:$C$16,"&gt;="&amp;equalisation_month)-SUMIFS(Data!$D$5:$D$16,Data!$C$5:$C$16,"&gt;="&amp;equalisation_month)</f>
        <v>13426.850000000326</v>
      </c>
      <c r="G5" s="10">
        <f>SUM(Data!$D$5:$D$16)</f>
        <v>3986984.5900000003</v>
      </c>
      <c r="H5" s="10">
        <f>SUM(Data!$G$5:$G$16)</f>
        <v>3961275.71</v>
      </c>
      <c r="I5" s="10">
        <f t="shared" ref="I5:I11" si="2">H5-G5</f>
        <v>-25708.880000000354</v>
      </c>
      <c r="J5" s="14">
        <f t="shared" ref="J5:J12" si="3">I5/G5</f>
        <v>-6.4482014965601738E-3</v>
      </c>
    </row>
    <row r="6" spans="1:10" x14ac:dyDescent="0.3">
      <c r="A6" s="4" t="s">
        <v>26</v>
      </c>
      <c r="B6" s="10">
        <f>SUMIF(Data!$C$17:$C$28,"&lt;="&amp;fact_months,Data!$D$17:$D$28)</f>
        <v>1866910.9000000001</v>
      </c>
      <c r="C6" s="10">
        <f>SUMIF(Data!$C$17:$C$28,"&lt;="&amp;fact_months,Data!$E$17:$E$28)</f>
        <v>2039420.2499999998</v>
      </c>
      <c r="D6" s="10">
        <f t="shared" si="0"/>
        <v>172509.34999999963</v>
      </c>
      <c r="E6" s="14">
        <f t="shared" si="1"/>
        <v>9.2403633188921669E-2</v>
      </c>
      <c r="F6" s="10">
        <f>SUMIFS(Data!$F$17:$F$28,Data!$C$17:$C$28,"&gt;="&amp;equalisation_month)-SUMIFS(Data!$D$17:$D$28,Data!$C$17:$C$28,"&gt;="&amp;equalisation_month)</f>
        <v>130312.84000000008</v>
      </c>
      <c r="G6" s="10">
        <f>SUM(Data!$D$17:$D$28)</f>
        <v>2807384.8200000008</v>
      </c>
      <c r="H6" s="10">
        <f>SUM(Data!$G$17:$G$28)</f>
        <v>3110207.01</v>
      </c>
      <c r="I6" s="10">
        <f t="shared" si="2"/>
        <v>302822.18999999901</v>
      </c>
      <c r="J6" s="14">
        <f t="shared" si="3"/>
        <v>0.10786629173267345</v>
      </c>
    </row>
    <row r="7" spans="1:10" x14ac:dyDescent="0.3">
      <c r="A7" s="4" t="s">
        <v>27</v>
      </c>
      <c r="B7" s="10">
        <f>SUMIF(Data!$C$29:$C$40,"&lt;="&amp;fact_months,Data!$D$29:$D$40)</f>
        <v>1755011.6300000001</v>
      </c>
      <c r="C7" s="10">
        <f>SUMIF(Data!$C$29:$C$40,"&lt;="&amp;fact_months,Data!$E$29:$E$40)</f>
        <v>1778274.8900000001</v>
      </c>
      <c r="D7" s="10">
        <f t="shared" si="0"/>
        <v>23263.260000000009</v>
      </c>
      <c r="E7" s="14">
        <f t="shared" si="1"/>
        <v>1.325533096324838E-2</v>
      </c>
      <c r="F7" s="10">
        <f>SUMIFS(Data!$F$29:$F$40,Data!$C$29:$C$40,"&gt;="&amp;equalisation_month)-SUMIFS(Data!$D$29:$D$40,Data!$C$29:$C$40,"&gt;="&amp;equalisation_month)</f>
        <v>18849.040000000037</v>
      </c>
      <c r="G7" s="10">
        <f>SUM(Data!$D$29:$D$40)</f>
        <v>2639115.2400000002</v>
      </c>
      <c r="H7" s="10">
        <f>SUM(Data!$G$29:$G$40)</f>
        <v>2681227.54</v>
      </c>
      <c r="I7" s="10">
        <f t="shared" si="2"/>
        <v>42112.299999999814</v>
      </c>
      <c r="J7" s="14">
        <f t="shared" si="3"/>
        <v>1.5956976550974639E-2</v>
      </c>
    </row>
    <row r="8" spans="1:10" x14ac:dyDescent="0.3">
      <c r="A8" s="4" t="s">
        <v>28</v>
      </c>
      <c r="B8" s="10">
        <f>SUMIF(Data!$C$41:$C$52,"&lt;="&amp;fact_months,Data!$D$41:$D$52)</f>
        <v>1676619.77</v>
      </c>
      <c r="C8" s="10">
        <f>SUMIF(Data!$C$41:$C$52,"&lt;="&amp;fact_months,Data!$E$41:$E$52)</f>
        <v>1716355.41</v>
      </c>
      <c r="D8" s="10">
        <f t="shared" si="0"/>
        <v>39735.639999999898</v>
      </c>
      <c r="E8" s="14">
        <f t="shared" si="1"/>
        <v>2.3699851755893286E-2</v>
      </c>
      <c r="F8" s="10">
        <f>SUMIFS(Data!$F$41:$F$52,Data!$C$41:$C$52,"&gt;="&amp;equalisation_month)-SUMIFS(Data!$D$41:$D$52,Data!$C$41:$C$52,"&gt;="&amp;equalisation_month)</f>
        <v>48817.209999999846</v>
      </c>
      <c r="G8" s="10">
        <f>SUM(Data!$D$41:$D$52)</f>
        <v>2521232.75</v>
      </c>
      <c r="H8" s="10">
        <f>SUM(Data!$G$41:$G$52)</f>
        <v>2609785.5999999996</v>
      </c>
      <c r="I8" s="10">
        <f t="shared" si="2"/>
        <v>88552.849999999627</v>
      </c>
      <c r="J8" s="14">
        <f t="shared" si="3"/>
        <v>3.5122838222690717E-2</v>
      </c>
    </row>
    <row r="9" spans="1:10" x14ac:dyDescent="0.3">
      <c r="A9" s="4" t="s">
        <v>29</v>
      </c>
      <c r="B9" s="10">
        <f>SUMIF(Data!$C$53:$C$64,"&lt;="&amp;fact_months,Data!$D$53:$D$64)</f>
        <v>1546798.25</v>
      </c>
      <c r="C9" s="10">
        <f>SUMIF(Data!$C$53:$C$64,"&lt;="&amp;fact_months,Data!$E$53:$E$64)</f>
        <v>1585034.38</v>
      </c>
      <c r="D9" s="10">
        <f t="shared" si="0"/>
        <v>38236.129999999888</v>
      </c>
      <c r="E9" s="14">
        <f t="shared" si="1"/>
        <v>2.4719532750958239E-2</v>
      </c>
      <c r="F9" s="10">
        <f>SUMIFS(Data!$F$53:$F$64,Data!$C$53:$C$64,"&gt;="&amp;equalisation_month)-SUMIFS(Data!$D$53:$D$64,Data!$C$53:$C$64,"&gt;="&amp;equalisation_month)</f>
        <v>18958.209999999963</v>
      </c>
      <c r="G9" s="10">
        <f>SUM(Data!$D$53:$D$64)</f>
        <v>2326012.4</v>
      </c>
      <c r="H9" s="10">
        <f>SUM(Data!$G$53:$G$64)</f>
        <v>2383206.7399999998</v>
      </c>
      <c r="I9" s="10">
        <f t="shared" si="2"/>
        <v>57194.339999999851</v>
      </c>
      <c r="J9" s="14">
        <f t="shared" si="3"/>
        <v>2.4589009069771017E-2</v>
      </c>
    </row>
    <row r="10" spans="1:10" x14ac:dyDescent="0.3">
      <c r="A10" s="4" t="s">
        <v>30</v>
      </c>
      <c r="B10" s="10">
        <f>SUMIF(Data!$C$65:$C$76,"&lt;="&amp;fact_months,Data!$D$65:$D$76)</f>
        <v>938893.37999999989</v>
      </c>
      <c r="C10" s="10">
        <f>SUMIF(Data!$C$65:$C$76,"&lt;="&amp;fact_months,Data!$E$65:$E$76)</f>
        <v>959203.63</v>
      </c>
      <c r="D10" s="10">
        <f t="shared" si="0"/>
        <v>20310.250000000116</v>
      </c>
      <c r="E10" s="14">
        <f t="shared" si="1"/>
        <v>2.1632115459159079E-2</v>
      </c>
      <c r="F10" s="10">
        <f>SUMIFS(Data!$F$65:$F$76,Data!$C$65:$C$76,"&gt;="&amp;equalisation_month)-SUMIFS(Data!$D$65:$D$76,Data!$C$65:$C$76,"&gt;="&amp;equalisation_month)</f>
        <v>24108.849999999977</v>
      </c>
      <c r="G10" s="10">
        <f>SUM(Data!$D$65:$D$76)</f>
        <v>1411869.7599999998</v>
      </c>
      <c r="H10" s="10">
        <f>SUM(Data!$G$65:$G$76)</f>
        <v>1456288.86</v>
      </c>
      <c r="I10" s="10">
        <f t="shared" si="2"/>
        <v>44419.100000000326</v>
      </c>
      <c r="J10" s="14">
        <f t="shared" si="3"/>
        <v>3.1461188034794606E-2</v>
      </c>
    </row>
    <row r="11" spans="1:10" x14ac:dyDescent="0.3">
      <c r="A11" s="4" t="s">
        <v>31</v>
      </c>
      <c r="B11" s="10">
        <f>SUMIF(Data!$C$77:$C$88,"&lt;="&amp;fact_months,Data!$D$77:$D$88)</f>
        <v>569972.74</v>
      </c>
      <c r="C11" s="10">
        <f>SUMIF(Data!$C$77:$C$88,"&lt;="&amp;fact_months,Data!$E$77:$E$88)</f>
        <v>585219.37000000011</v>
      </c>
      <c r="D11" s="10">
        <f t="shared" si="0"/>
        <v>15246.630000000121</v>
      </c>
      <c r="E11" s="14">
        <f t="shared" si="1"/>
        <v>2.6749752979414631E-2</v>
      </c>
      <c r="F11" s="10">
        <f>SUMIFS(Data!$F$77:$F$88,Data!$C$77:$C$88,"&gt;="&amp;equalisation_month)-SUMIFS(Data!$D$77:$D$88,Data!$C$77:$C$88,"&gt;="&amp;equalisation_month)</f>
        <v>13782.25</v>
      </c>
      <c r="G11" s="10">
        <f>SUM(Data!$D$77:$D$88)</f>
        <v>857101.87</v>
      </c>
      <c r="H11" s="10">
        <f>SUM(Data!$G$77:$G$88)</f>
        <v>886130.75000000012</v>
      </c>
      <c r="I11" s="10">
        <f t="shared" si="2"/>
        <v>29028.880000000121</v>
      </c>
      <c r="J11" s="14">
        <f t="shared" si="3"/>
        <v>3.3868646208880776E-2</v>
      </c>
    </row>
    <row r="12" spans="1:10" x14ac:dyDescent="0.3">
      <c r="A12" s="7" t="s">
        <v>32</v>
      </c>
      <c r="B12" s="13">
        <f>SUM(B5:B11)</f>
        <v>11005551.42</v>
      </c>
      <c r="C12" s="13">
        <f>SUM(C5:C11)</f>
        <v>11275716.949999999</v>
      </c>
      <c r="D12" s="13">
        <f>SUM(D5:D11)</f>
        <v>270165.52999999968</v>
      </c>
      <c r="E12" s="15">
        <f t="shared" si="1"/>
        <v>2.4548113919038841E-2</v>
      </c>
      <c r="F12" s="13">
        <f>SUM(F5:F11)</f>
        <v>268255.25000000023</v>
      </c>
      <c r="G12" s="13">
        <f>SUM(G5:G11)</f>
        <v>16549701.430000002</v>
      </c>
      <c r="H12" s="13">
        <f>SUM(H5:H11)</f>
        <v>17088122.210000001</v>
      </c>
      <c r="I12" s="13">
        <f>SUM(I5:I11)</f>
        <v>538420.7799999984</v>
      </c>
      <c r="J12" s="15">
        <f t="shared" si="3"/>
        <v>3.2533564564735377E-2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workbookViewId="0"/>
  </sheetViews>
  <sheetFormatPr defaultRowHeight="14.4" x14ac:dyDescent="0.3"/>
  <cols>
    <col min="1" max="1" width="46" customWidth="1"/>
    <col min="2" max="3" width="20" customWidth="1"/>
    <col min="4" max="4" width="18" customWidth="1"/>
    <col min="5" max="5" width="8" customWidth="1"/>
  </cols>
  <sheetData>
    <row r="1" spans="1:5" ht="17.399999999999999" x14ac:dyDescent="0.35">
      <c r="A1" s="1" t="s">
        <v>70</v>
      </c>
      <c r="D1" s="2" t="s">
        <v>71</v>
      </c>
    </row>
    <row r="2" spans="1:5" x14ac:dyDescent="0.3">
      <c r="A2" s="2" t="s">
        <v>72</v>
      </c>
      <c r="D2" s="2" t="s">
        <v>73</v>
      </c>
      <c r="E2" s="2" t="s">
        <v>74</v>
      </c>
    </row>
    <row r="3" spans="1:5" x14ac:dyDescent="0.3">
      <c r="D3" s="2" t="s">
        <v>75</v>
      </c>
      <c r="E3" s="2" t="s">
        <v>76</v>
      </c>
    </row>
    <row r="4" spans="1:5" x14ac:dyDescent="0.3">
      <c r="A4" s="7" t="s">
        <v>77</v>
      </c>
      <c r="D4" s="2" t="s">
        <v>78</v>
      </c>
      <c r="E4" s="2" t="s">
        <v>79</v>
      </c>
    </row>
    <row r="5" spans="1:5" x14ac:dyDescent="0.3">
      <c r="A5" t="s">
        <v>80</v>
      </c>
      <c r="B5" s="10">
        <f>SUMIF(Monthly!$B$6:$B$17,"&lt;="&amp;fact_months,Monthly!$C$6:$C$17)</f>
        <v>11005551.42</v>
      </c>
      <c r="D5" s="2" t="s">
        <v>81</v>
      </c>
      <c r="E5" s="2" t="s">
        <v>82</v>
      </c>
    </row>
    <row r="6" spans="1:5" x14ac:dyDescent="0.3">
      <c r="A6" t="s">
        <v>83</v>
      </c>
      <c r="B6" s="10">
        <f>SUMIF(Monthly!$B$6:$B$17,"&lt;="&amp;fact_months,Monthly!$D$6:$D$17)</f>
        <v>11275716.949999999</v>
      </c>
      <c r="D6" s="2" t="s">
        <v>84</v>
      </c>
      <c r="E6" s="2" t="s">
        <v>85</v>
      </c>
    </row>
    <row r="7" spans="1:5" x14ac:dyDescent="0.3">
      <c r="A7" t="s">
        <v>86</v>
      </c>
      <c r="B7" s="10">
        <f>B6-B5</f>
        <v>270165.52999999933</v>
      </c>
      <c r="D7" s="2" t="s">
        <v>87</v>
      </c>
      <c r="E7" s="2" t="s">
        <v>88</v>
      </c>
    </row>
    <row r="8" spans="1:5" x14ac:dyDescent="0.3">
      <c r="A8" t="s">
        <v>89</v>
      </c>
      <c r="B8" s="14">
        <f>B7/B5</f>
        <v>2.454811391903881E-2</v>
      </c>
    </row>
    <row r="10" spans="1:5" x14ac:dyDescent="0.3">
      <c r="A10" s="7" t="s">
        <v>90</v>
      </c>
    </row>
    <row r="11" spans="1:5" x14ac:dyDescent="0.3">
      <c r="A11" t="s">
        <v>91</v>
      </c>
      <c r="B11" s="10">
        <f>Equalisation!$E$15</f>
        <v>396521.56907576183</v>
      </c>
    </row>
    <row r="12" spans="1:5" x14ac:dyDescent="0.3">
      <c r="A12" t="s">
        <v>92</v>
      </c>
      <c r="B12" s="10">
        <f>SUMIFS(Data!$F$5:$F$88,Data!$C$5:$C$88,"&gt;="&amp;equalisation_month)-SUMIFS(Data!$D$5:$D$88,Data!$C$5:$C$88,"&gt;="&amp;equalisation_month)</f>
        <v>268255.24999999721</v>
      </c>
    </row>
    <row r="14" spans="1:5" x14ac:dyDescent="0.3">
      <c r="A14" s="7" t="s">
        <v>93</v>
      </c>
    </row>
    <row r="15" spans="1:5" x14ac:dyDescent="0.3">
      <c r="A15" t="s">
        <v>94</v>
      </c>
      <c r="B15" s="10">
        <f>Monthly!$C$18</f>
        <v>16549701.43</v>
      </c>
    </row>
    <row r="16" spans="1:5" x14ac:dyDescent="0.3">
      <c r="A16" t="s">
        <v>95</v>
      </c>
      <c r="B16" s="10">
        <f>Monthly!$D$18</f>
        <v>17088122.209999997</v>
      </c>
    </row>
    <row r="17" spans="1:3" x14ac:dyDescent="0.3">
      <c r="A17" t="s">
        <v>96</v>
      </c>
      <c r="B17" s="10">
        <f>B16-B15</f>
        <v>538420.77999999747</v>
      </c>
    </row>
    <row r="18" spans="1:3" x14ac:dyDescent="0.3">
      <c r="A18" t="s">
        <v>89</v>
      </c>
      <c r="B18" s="14">
        <f>B17/B15</f>
        <v>3.2533564564735322E-2</v>
      </c>
    </row>
    <row r="20" spans="1:3" x14ac:dyDescent="0.3">
      <c r="A20" t="s">
        <v>97</v>
      </c>
      <c r="B20" s="16" t="str">
        <f>INDEX(Monthly!$A$6:$A$17,MATCH(TRUE,INDEX(Monthly!$G$6:$G$17&gt;0,0),0))</f>
        <v>Jan</v>
      </c>
    </row>
    <row r="23" spans="1:3" x14ac:dyDescent="0.3">
      <c r="A23" s="20" t="s">
        <v>98</v>
      </c>
      <c r="B23" s="21"/>
      <c r="C23" s="21"/>
    </row>
    <row r="24" spans="1:3" x14ac:dyDescent="0.3">
      <c r="A24" s="21"/>
      <c r="B24" s="21"/>
      <c r="C24" s="21"/>
    </row>
    <row r="25" spans="1:3" x14ac:dyDescent="0.3">
      <c r="A25" s="21"/>
      <c r="B25" s="21"/>
      <c r="C25" s="21"/>
    </row>
  </sheetData>
  <mergeCells count="1">
    <mergeCell ref="A23:C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2"/>
  <sheetViews>
    <sheetView workbookViewId="0"/>
  </sheetViews>
  <sheetFormatPr defaultRowHeight="14.4" x14ac:dyDescent="0.3"/>
  <cols>
    <col min="1" max="1" width="32" customWidth="1"/>
    <col min="2" max="2" width="110" customWidth="1"/>
  </cols>
  <sheetData>
    <row r="1" spans="1:2" ht="17.399999999999999" x14ac:dyDescent="0.35">
      <c r="A1" s="1" t="s">
        <v>99</v>
      </c>
    </row>
    <row r="3" spans="1:2" x14ac:dyDescent="0.3">
      <c r="A3" s="17" t="s">
        <v>100</v>
      </c>
    </row>
    <row r="4" spans="1:2" ht="13.95" customHeight="1" x14ac:dyDescent="0.3">
      <c r="A4" s="18" t="s">
        <v>101</v>
      </c>
      <c r="B4" s="19" t="s">
        <v>102</v>
      </c>
    </row>
    <row r="5" spans="1:2" ht="13.95" customHeight="1" x14ac:dyDescent="0.3">
      <c r="A5" s="18" t="s">
        <v>103</v>
      </c>
      <c r="B5" s="19" t="s">
        <v>104</v>
      </c>
    </row>
    <row r="6" spans="1:2" ht="13.95" customHeight="1" x14ac:dyDescent="0.3">
      <c r="A6" s="18" t="s">
        <v>105</v>
      </c>
      <c r="B6" s="19" t="s">
        <v>106</v>
      </c>
    </row>
    <row r="8" spans="1:2" x14ac:dyDescent="0.3">
      <c r="A8" s="17" t="s">
        <v>107</v>
      </c>
    </row>
    <row r="9" spans="1:2" ht="52.05" customHeight="1" x14ac:dyDescent="0.3">
      <c r="A9" s="18" t="s">
        <v>108</v>
      </c>
      <c r="B9" s="19" t="s">
        <v>109</v>
      </c>
    </row>
    <row r="10" spans="1:2" ht="39" customHeight="1" x14ac:dyDescent="0.3">
      <c r="A10" s="18" t="s">
        <v>110</v>
      </c>
      <c r="B10" s="19" t="s">
        <v>111</v>
      </c>
    </row>
    <row r="11" spans="1:2" ht="52.05" customHeight="1" x14ac:dyDescent="0.3">
      <c r="A11" s="18" t="s">
        <v>112</v>
      </c>
      <c r="B11" s="19" t="s">
        <v>113</v>
      </c>
    </row>
    <row r="12" spans="1:2" ht="25.95" customHeight="1" x14ac:dyDescent="0.3">
      <c r="A12" s="18" t="s">
        <v>114</v>
      </c>
      <c r="B12" s="19" t="s">
        <v>115</v>
      </c>
    </row>
    <row r="13" spans="1:2" ht="25.95" customHeight="1" x14ac:dyDescent="0.3">
      <c r="A13" s="18" t="s">
        <v>116</v>
      </c>
      <c r="B13" s="19" t="s">
        <v>117</v>
      </c>
    </row>
    <row r="15" spans="1:2" x14ac:dyDescent="0.3">
      <c r="A15" s="17" t="s">
        <v>118</v>
      </c>
    </row>
    <row r="16" spans="1:2" ht="25.95" customHeight="1" x14ac:dyDescent="0.3">
      <c r="A16" s="18" t="s">
        <v>119</v>
      </c>
      <c r="B16" s="19" t="s">
        <v>120</v>
      </c>
    </row>
    <row r="17" spans="1:2" ht="39" customHeight="1" x14ac:dyDescent="0.3">
      <c r="A17" s="18" t="s">
        <v>121</v>
      </c>
      <c r="B17" s="19" t="s">
        <v>122</v>
      </c>
    </row>
    <row r="19" spans="1:2" x14ac:dyDescent="0.3">
      <c r="A19" s="17" t="s">
        <v>123</v>
      </c>
    </row>
    <row r="20" spans="1:2" ht="13.95" customHeight="1" x14ac:dyDescent="0.3">
      <c r="A20" s="18" t="s">
        <v>124</v>
      </c>
      <c r="B20" s="19" t="s">
        <v>125</v>
      </c>
    </row>
    <row r="21" spans="1:2" ht="91.05" customHeight="1" x14ac:dyDescent="0.3">
      <c r="A21" s="18" t="s">
        <v>126</v>
      </c>
      <c r="B21" s="19" t="s">
        <v>127</v>
      </c>
    </row>
    <row r="22" spans="1:2" ht="25.95" customHeight="1" x14ac:dyDescent="0.3">
      <c r="A22" s="18" t="s">
        <v>128</v>
      </c>
      <c r="B22" s="19"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Settings</vt:lpstr>
      <vt:lpstr>Equalisation</vt:lpstr>
      <vt:lpstr>Data</vt:lpstr>
      <vt:lpstr>Monthly</vt:lpstr>
      <vt:lpstr>Departments</vt:lpstr>
      <vt:lpstr>Summary</vt:lpstr>
      <vt:lpstr>Legend</vt:lpstr>
      <vt:lpstr>equalisation_month</vt:lpstr>
      <vt:lpstr>fact_months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Dimitrova</cp:lastModifiedBy>
  <dcterms:created xsi:type="dcterms:W3CDTF">2026-09-11T15:05:03Z</dcterms:created>
  <dcterms:modified xsi:type="dcterms:W3CDTF">2026-09-12T05:01:23Z</dcterms:modified>
</cp:coreProperties>
</file>