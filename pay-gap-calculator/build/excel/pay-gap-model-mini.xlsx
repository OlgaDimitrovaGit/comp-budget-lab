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ocuments\Projects IA\PROJECT-pay-gap-calculator\build\excel\"/>
    </mc:Choice>
  </mc:AlternateContent>
  <xr:revisionPtr revIDLastSave="0" documentId="13_ncr:1_{6612BD75-6273-4364-B78F-36E68222394A}" xr6:coauthVersionLast="47" xr6:coauthVersionMax="47" xr10:uidLastSave="{00000000-0000-0000-0000-000000000000}"/>
  <bookViews>
    <workbookView xWindow="-108" yWindow="-108" windowWidth="23256" windowHeight="13896" xr2:uid="{00000000-000D-0000-FFFF-FFFF00000000}"/>
  </bookViews>
  <sheets>
    <sheet name="Settings" sheetId="1" r:id="rId1"/>
    <sheet name="Data" sheetId="2" r:id="rId2"/>
    <sheet name="Categories" sheetId="3" r:id="rId3"/>
    <sheet name="Summary" sheetId="4" r:id="rId4"/>
    <sheet name="Legend" sheetId="5" r:id="rId5"/>
  </sheets>
  <definedNames>
    <definedName name="ceiling">Settings!$B$11</definedName>
    <definedName name="implementation_month">Settings!$B$8</definedName>
    <definedName name="rate_above">Settings!$B$10</definedName>
    <definedName name="rate_below">Settings!$B$9</definedName>
    <definedName name="threshold_pct">Settings!$B$7</definedName>
  </definedNames>
  <calcPr calcId="181029"/>
</workbook>
</file>

<file path=xl/calcChain.xml><?xml version="1.0" encoding="utf-8"?>
<calcChain xmlns="http://schemas.openxmlformats.org/spreadsheetml/2006/main">
  <c r="B5" i="4" l="1"/>
  <c r="BG7" i="3"/>
  <c r="BF7" i="3"/>
  <c r="BE7" i="3"/>
  <c r="BC7" i="3"/>
  <c r="BB7" i="3"/>
  <c r="D7" i="3"/>
  <c r="C7" i="3"/>
  <c r="B7" i="3"/>
  <c r="AP7" i="3" s="1"/>
  <c r="BG6" i="3"/>
  <c r="BF6" i="3"/>
  <c r="BE6" i="3"/>
  <c r="BC6" i="3"/>
  <c r="BB6" i="3"/>
  <c r="BA6" i="3"/>
  <c r="D6" i="3"/>
  <c r="C6" i="3"/>
  <c r="B6" i="3"/>
  <c r="BG5" i="3"/>
  <c r="BF5" i="3"/>
  <c r="BE5" i="3"/>
  <c r="BC5" i="3"/>
  <c r="BB5" i="3"/>
  <c r="D5" i="3"/>
  <c r="C5" i="3"/>
  <c r="B5" i="3"/>
  <c r="AP5" i="3" s="1"/>
  <c r="AG14" i="2"/>
  <c r="AE14" i="2"/>
  <c r="N14" i="2"/>
  <c r="J14" i="2"/>
  <c r="K14" i="2" s="1"/>
  <c r="AG13" i="2"/>
  <c r="AE13" i="2"/>
  <c r="N13" i="2"/>
  <c r="J13" i="2"/>
  <c r="L13" i="2" s="1"/>
  <c r="L7" i="3" s="1"/>
  <c r="AG12" i="2"/>
  <c r="AE12" i="2"/>
  <c r="N12" i="2"/>
  <c r="J12" i="2"/>
  <c r="L12" i="2" s="1"/>
  <c r="AG11" i="2"/>
  <c r="AE11" i="2"/>
  <c r="N11" i="2"/>
  <c r="J11" i="2"/>
  <c r="AG10" i="2"/>
  <c r="AE10" i="2"/>
  <c r="N10" i="2"/>
  <c r="J10" i="2"/>
  <c r="L10" i="2" s="1"/>
  <c r="AG9" i="2"/>
  <c r="AE9" i="2"/>
  <c r="N9" i="2"/>
  <c r="J9" i="2"/>
  <c r="L9" i="2" s="1"/>
  <c r="AG8" i="2"/>
  <c r="AE8" i="2"/>
  <c r="N8" i="2"/>
  <c r="J8" i="2"/>
  <c r="K8" i="2" s="1"/>
  <c r="AG7" i="2"/>
  <c r="AE7" i="2"/>
  <c r="N7" i="2"/>
  <c r="J7" i="2"/>
  <c r="L7" i="2" s="1"/>
  <c r="AG6" i="2"/>
  <c r="AE6" i="2"/>
  <c r="N6" i="2"/>
  <c r="J6" i="2"/>
  <c r="K6" i="2" s="1"/>
  <c r="AG5" i="2"/>
  <c r="AE5" i="2"/>
  <c r="N5" i="2"/>
  <c r="J5" i="2"/>
  <c r="K5" i="2" s="1"/>
  <c r="BA7" i="3" l="1"/>
  <c r="K9" i="2"/>
  <c r="L14" i="2"/>
  <c r="L5" i="2"/>
  <c r="M5" i="2" s="1"/>
  <c r="R5" i="3"/>
  <c r="S5" i="3"/>
  <c r="M7" i="3"/>
  <c r="N7" i="3" s="1"/>
  <c r="M14" i="2"/>
  <c r="R7" i="3"/>
  <c r="S7" i="3"/>
  <c r="L6" i="2"/>
  <c r="L5" i="3" s="1"/>
  <c r="M9" i="2"/>
  <c r="F6" i="3" s="1"/>
  <c r="K10" i="2"/>
  <c r="M10" i="2" s="1"/>
  <c r="AP6" i="3"/>
  <c r="S6" i="3"/>
  <c r="R6" i="3"/>
  <c r="L8" i="2"/>
  <c r="M5" i="3" s="1"/>
  <c r="P6" i="3"/>
  <c r="M6" i="3"/>
  <c r="K7" i="2"/>
  <c r="M7" i="2" s="1"/>
  <c r="B4" i="4"/>
  <c r="P5" i="3"/>
  <c r="L11" i="2"/>
  <c r="L6" i="3" s="1"/>
  <c r="K11" i="2"/>
  <c r="M11" i="2" s="1"/>
  <c r="K12" i="2"/>
  <c r="K13" i="2"/>
  <c r="BA5" i="3"/>
  <c r="T6" i="3" l="1"/>
  <c r="N6" i="3"/>
  <c r="N5" i="3"/>
  <c r="T7" i="3"/>
  <c r="M6" i="2"/>
  <c r="E5" i="3" s="1"/>
  <c r="T5" i="3"/>
  <c r="BK5" i="3" s="1"/>
  <c r="BK6" i="3"/>
  <c r="V6" i="3"/>
  <c r="U6" i="3"/>
  <c r="M13" i="2"/>
  <c r="O7" i="3"/>
  <c r="M12" i="2"/>
  <c r="AD6" i="2" s="1"/>
  <c r="P7" i="3"/>
  <c r="E6" i="3"/>
  <c r="BD6" i="3"/>
  <c r="BD5" i="3"/>
  <c r="AF14" i="2"/>
  <c r="AD14" i="2"/>
  <c r="BJ6" i="3"/>
  <c r="W6" i="3" s="1"/>
  <c r="AF12" i="2"/>
  <c r="J7" i="3" s="1"/>
  <c r="O6" i="3"/>
  <c r="Q6" i="3" s="1"/>
  <c r="O5" i="3"/>
  <c r="Q5" i="3" s="1"/>
  <c r="M8" i="2"/>
  <c r="BK7" i="3" l="1"/>
  <c r="U7" i="3"/>
  <c r="V7" i="3"/>
  <c r="F5" i="3"/>
  <c r="H5" i="3" s="1"/>
  <c r="AF6" i="2"/>
  <c r="AF7" i="2"/>
  <c r="AF8" i="2"/>
  <c r="AD7" i="2"/>
  <c r="BH7" i="3"/>
  <c r="AF11" i="2"/>
  <c r="AF13" i="2"/>
  <c r="I7" i="3" s="1"/>
  <c r="K7" i="3" s="1"/>
  <c r="AF9" i="2"/>
  <c r="J6" i="3" s="1"/>
  <c r="H6" i="3"/>
  <c r="BD7" i="3"/>
  <c r="F7" i="3"/>
  <c r="BH6" i="3"/>
  <c r="AD8" i="2"/>
  <c r="AD12" i="2"/>
  <c r="AD5" i="2"/>
  <c r="AF5" i="2"/>
  <c r="BJ7" i="3"/>
  <c r="AD13" i="2"/>
  <c r="Q7" i="3"/>
  <c r="BJ5" i="3"/>
  <c r="BH5" i="3"/>
  <c r="AD10" i="2"/>
  <c r="BI7" i="3"/>
  <c r="AD11" i="2"/>
  <c r="BI5" i="3"/>
  <c r="V5" i="3" s="1"/>
  <c r="E7" i="3"/>
  <c r="AF10" i="2"/>
  <c r="I6" i="3" s="1"/>
  <c r="AD9" i="2"/>
  <c r="BI6" i="3"/>
  <c r="H7" i="3" l="1"/>
  <c r="O13" i="2"/>
  <c r="O14" i="2"/>
  <c r="G7" i="3" s="1"/>
  <c r="O12" i="2"/>
  <c r="I5" i="3"/>
  <c r="O7" i="2"/>
  <c r="O5" i="2"/>
  <c r="O8" i="2"/>
  <c r="O6" i="2"/>
  <c r="O10" i="2"/>
  <c r="O9" i="2"/>
  <c r="O11" i="2"/>
  <c r="X6" i="3"/>
  <c r="Y6" i="3" s="1"/>
  <c r="AQ6" i="3"/>
  <c r="AQ5" i="3"/>
  <c r="K6" i="3"/>
  <c r="U5" i="3"/>
  <c r="X5" i="3" s="1"/>
  <c r="Y5" i="3" s="1"/>
  <c r="W7" i="3"/>
  <c r="J5" i="3"/>
  <c r="W5" i="3" l="1"/>
  <c r="K5" i="3"/>
  <c r="Z5" i="3"/>
  <c r="P8" i="2" s="1"/>
  <c r="AH5" i="3"/>
  <c r="W8" i="2" s="1"/>
  <c r="AH6" i="3"/>
  <c r="Z6" i="3"/>
  <c r="P11" i="2" s="1"/>
  <c r="W11" i="2"/>
  <c r="P5" i="2"/>
  <c r="W5" i="2"/>
  <c r="P9" i="2"/>
  <c r="W9" i="2"/>
  <c r="G5" i="3"/>
  <c r="G6" i="3"/>
  <c r="W6" i="2"/>
  <c r="P6" i="2"/>
  <c r="W7" i="2"/>
  <c r="P7" i="2"/>
  <c r="X7" i="3"/>
  <c r="Y7" i="3" s="1"/>
  <c r="AQ7" i="3"/>
  <c r="P10" i="2"/>
  <c r="W10" i="2"/>
  <c r="Z7" i="3" l="1"/>
  <c r="AH7" i="3"/>
  <c r="AF6" i="3"/>
  <c r="Q9" i="2"/>
  <c r="X7" i="2"/>
  <c r="AF5" i="3"/>
  <c r="Q5" i="2"/>
  <c r="Q10" i="2"/>
  <c r="X6" i="2"/>
  <c r="AN6" i="3"/>
  <c r="X9" i="2"/>
  <c r="Q8" i="2"/>
  <c r="Q11" i="2"/>
  <c r="AJ6" i="3"/>
  <c r="Q7" i="2"/>
  <c r="X8" i="2"/>
  <c r="X11" i="2"/>
  <c r="AB6" i="3"/>
  <c r="AJ5" i="3"/>
  <c r="Q6" i="2"/>
  <c r="X5" i="2"/>
  <c r="AI5" i="3" s="1"/>
  <c r="AN5" i="3"/>
  <c r="X10" i="2"/>
  <c r="AB5" i="3"/>
  <c r="AA5" i="3"/>
  <c r="R7" i="2" s="1"/>
  <c r="S7" i="2" s="1"/>
  <c r="T7" i="2" s="1"/>
  <c r="AI6" i="3" l="1"/>
  <c r="AA6" i="3"/>
  <c r="Y8" i="2"/>
  <c r="Z8" i="2" s="1"/>
  <c r="AA8" i="2" s="1"/>
  <c r="Y6" i="2"/>
  <c r="Z6" i="2" s="1"/>
  <c r="AA6" i="2" s="1"/>
  <c r="Y7" i="2"/>
  <c r="Z7" i="2" s="1"/>
  <c r="AA7" i="2" s="1"/>
  <c r="Y5" i="2"/>
  <c r="Z5" i="2" s="1"/>
  <c r="Y11" i="2"/>
  <c r="Z11" i="2" s="1"/>
  <c r="AA11" i="2" s="1"/>
  <c r="Y10" i="2"/>
  <c r="Z10" i="2" s="1"/>
  <c r="AA10" i="2" s="1"/>
  <c r="Y9" i="2"/>
  <c r="Z9" i="2" s="1"/>
  <c r="R11" i="2"/>
  <c r="S11" i="2" s="1"/>
  <c r="T11" i="2" s="1"/>
  <c r="R9" i="2"/>
  <c r="S9" i="2" s="1"/>
  <c r="R10" i="2"/>
  <c r="S10" i="2" s="1"/>
  <c r="T10" i="2" s="1"/>
  <c r="U7" i="2"/>
  <c r="V7" i="2" s="1"/>
  <c r="R8" i="2"/>
  <c r="S8" i="2" s="1"/>
  <c r="T8" i="2" s="1"/>
  <c r="R6" i="2"/>
  <c r="S6" i="2" s="1"/>
  <c r="T6" i="2" s="1"/>
  <c r="R5" i="2"/>
  <c r="S5" i="2" s="1"/>
  <c r="AI7" i="3"/>
  <c r="AJ7" i="3"/>
  <c r="W14" i="2"/>
  <c r="W12" i="2"/>
  <c r="W13" i="2"/>
  <c r="AB7" i="3"/>
  <c r="AA7" i="3"/>
  <c r="P12" i="2"/>
  <c r="P14" i="2"/>
  <c r="P13" i="2"/>
  <c r="Y14" i="2" l="1"/>
  <c r="Z14" i="2" s="1"/>
  <c r="AA14" i="2" s="1"/>
  <c r="X14" i="2"/>
  <c r="U8" i="2"/>
  <c r="V8" i="2"/>
  <c r="U11" i="2"/>
  <c r="V11" i="2" s="1"/>
  <c r="AA9" i="2"/>
  <c r="AO6" i="3"/>
  <c r="T5" i="2"/>
  <c r="AG5" i="3"/>
  <c r="X12" i="2"/>
  <c r="AN7" i="3"/>
  <c r="C12" i="4" s="1"/>
  <c r="Y12" i="2"/>
  <c r="Z12" i="2" s="1"/>
  <c r="U10" i="2"/>
  <c r="V10" i="2"/>
  <c r="AB11" i="2"/>
  <c r="AC11" i="2"/>
  <c r="AB7" i="2"/>
  <c r="AC7" i="2" s="1"/>
  <c r="Y13" i="2"/>
  <c r="Z13" i="2" s="1"/>
  <c r="AA13" i="2" s="1"/>
  <c r="X13" i="2"/>
  <c r="AB10" i="2"/>
  <c r="AC10" i="2" s="1"/>
  <c r="AA5" i="2"/>
  <c r="AO5" i="3"/>
  <c r="AB6" i="2"/>
  <c r="AC6" i="2" s="1"/>
  <c r="U6" i="2"/>
  <c r="V6" i="2" s="1"/>
  <c r="T9" i="2"/>
  <c r="AG6" i="3"/>
  <c r="R13" i="2"/>
  <c r="S13" i="2" s="1"/>
  <c r="T13" i="2" s="1"/>
  <c r="Q13" i="2"/>
  <c r="Q14" i="2"/>
  <c r="R14" i="2"/>
  <c r="S14" i="2" s="1"/>
  <c r="T14" i="2" s="1"/>
  <c r="Q12" i="2"/>
  <c r="AF7" i="3"/>
  <c r="B12" i="4" s="1"/>
  <c r="R12" i="2"/>
  <c r="S12" i="2" s="1"/>
  <c r="AB8" i="2"/>
  <c r="AC8" i="2" s="1"/>
  <c r="D12" i="4" l="1"/>
  <c r="U9" i="2"/>
  <c r="AD6" i="3" s="1"/>
  <c r="AC6" i="3"/>
  <c r="AK6" i="3"/>
  <c r="AB9" i="2"/>
  <c r="AL6" i="3" s="1"/>
  <c r="AB13" i="2"/>
  <c r="AC13" i="2" s="1"/>
  <c r="T12" i="2"/>
  <c r="AG7" i="3"/>
  <c r="AA12" i="2"/>
  <c r="AO7" i="3"/>
  <c r="U13" i="2"/>
  <c r="V13" i="2" s="1"/>
  <c r="AC5" i="3"/>
  <c r="U5" i="2"/>
  <c r="AD5" i="3" s="1"/>
  <c r="U14" i="2"/>
  <c r="V14" i="2" s="1"/>
  <c r="AB5" i="2"/>
  <c r="AL5" i="3" s="1"/>
  <c r="AK5" i="3"/>
  <c r="AB14" i="2"/>
  <c r="AC14" i="2" s="1"/>
  <c r="AM6" i="3" l="1"/>
  <c r="AE5" i="3"/>
  <c r="U12" i="2"/>
  <c r="AD7" i="3" s="1"/>
  <c r="B9" i="4" s="1"/>
  <c r="AC7" i="3"/>
  <c r="V12" i="2"/>
  <c r="AB12" i="2"/>
  <c r="AL7" i="3" s="1"/>
  <c r="C9" i="4" s="1"/>
  <c r="D9" i="4" s="1"/>
  <c r="AK7" i="3"/>
  <c r="V9" i="2"/>
  <c r="AC5" i="2"/>
  <c r="V5" i="2"/>
  <c r="AC9" i="2"/>
  <c r="AE6" i="3"/>
  <c r="AM5" i="3"/>
  <c r="C8" i="4"/>
  <c r="AC12" i="2" l="1"/>
  <c r="AE7" i="3"/>
  <c r="B8" i="4"/>
  <c r="B10" i="4" s="1"/>
  <c r="C10" i="4"/>
  <c r="D8" i="4"/>
  <c r="AM7" i="3"/>
  <c r="C14" i="4" l="1"/>
  <c r="C13" i="4"/>
  <c r="D10" i="4"/>
  <c r="C11" i="4"/>
  <c r="B14" i="4"/>
  <c r="B13" i="4"/>
  <c r="B11" i="4"/>
  <c r="D13" i="4" l="1"/>
  <c r="D11" i="4"/>
  <c r="D1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Model</author>
  </authors>
  <commentList>
    <comment ref="D4" authorId="0" shapeId="0" xr:uid="{00000000-0006-0000-0100-000001000000}">
      <text>
        <r>
          <rPr>
            <sz val="11"/>
            <color theme="1"/>
            <rFont val="Calibri"/>
            <family val="2"/>
            <scheme val="minor"/>
          </rPr>
          <t>EUR, actually paid for the period. Not annualised.</t>
        </r>
      </text>
    </comment>
    <comment ref="E4" authorId="0" shapeId="0" xr:uid="{00000000-0006-0000-0100-000002000000}">
      <text>
        <r>
          <rPr>
            <sz val="11"/>
            <color theme="1"/>
            <rFont val="Calibri"/>
            <family val="2"/>
            <scheme val="minor"/>
          </rPr>
          <t>EUR, actually paid for the period. Recorded on the same basis as base salary: what was actually paid, not a full-year figure.</t>
        </r>
      </text>
    </comment>
    <comment ref="G4" authorId="0" shapeId="0" xr:uid="{00000000-0006-0000-0100-000003000000}">
      <text>
        <r>
          <rPr>
            <sz val="11"/>
            <color theme="1"/>
            <rFont val="Calibri"/>
            <family val="2"/>
            <scheme val="minor"/>
          </rPr>
          <t>Position in the grade ladder: higher number = higher grade. Only the ordering matters for the calculation, not the absolute value.</t>
        </r>
      </text>
    </comment>
    <comment ref="H4" authorId="0" shapeId="0" xr:uid="{00000000-0006-0000-0100-000004000000}">
      <text>
        <r>
          <rPr>
            <sz val="11"/>
            <color theme="1"/>
            <rFont val="Calibri"/>
            <family val="2"/>
            <scheme val="minor"/>
          </rPr>
          <t>Share of a full-time position: 1.0 = full time, 0.5 = half time.</t>
        </r>
      </text>
    </comment>
    <comment ref="I4" authorId="0" shapeId="0" xr:uid="{00000000-0006-0000-0100-000005000000}">
      <text>
        <r>
          <rPr>
            <sz val="11"/>
            <color theme="1"/>
            <rFont val="Calibri"/>
            <family val="2"/>
            <scheme val="minor"/>
          </rPr>
          <t>Months worked during the period. 12 = full year.</t>
        </r>
      </text>
    </comment>
    <comment ref="J4" authorId="0" shapeId="0" xr:uid="{00000000-0006-0000-0100-000006000000}">
      <text>
        <r>
          <rPr>
            <sz val="11"/>
            <color theme="1"/>
            <rFont val="Calibri"/>
            <family val="2"/>
            <scheme val="minor"/>
          </rPr>
          <t>factor = fte x (months_worked / 12). Converts actual pay to a full-time, full-year equivalent.</t>
        </r>
      </text>
    </comment>
    <comment ref="K4" authorId="0" shapeId="0" xr:uid="{00000000-0006-0000-0100-000007000000}">
      <text>
        <r>
          <rPr>
            <sz val="11"/>
            <color theme="1"/>
            <rFont val="Calibri"/>
            <family val="2"/>
            <scheme val="minor"/>
          </rPr>
          <t>EUR per year at full time: base_salary / factor.</t>
        </r>
      </text>
    </comment>
    <comment ref="L4" authorId="0" shapeId="0" xr:uid="{00000000-0006-0000-0100-000008000000}">
      <text>
        <r>
          <rPr>
            <sz val="11"/>
            <color theme="1"/>
            <rFont val="Calibri"/>
            <family val="2"/>
            <scheme val="minor"/>
          </rPr>
          <t>EUR per year at full time: variable_pay / factor.</t>
        </r>
      </text>
    </comment>
    <comment ref="M4" authorId="0" shapeId="0" xr:uid="{00000000-0006-0000-0100-000009000000}">
      <text>
        <r>
          <rPr>
            <sz val="11"/>
            <color theme="1"/>
            <rFont val="Calibri"/>
            <family val="2"/>
            <scheme val="minor"/>
          </rPr>
          <t>EUR per year at full time: n_base + n_var. This is the figure employees are compared on.</t>
        </r>
      </text>
    </comment>
    <comment ref="N4" authorId="0" shapeId="0" xr:uid="{00000000-0006-0000-0100-00000A000000}">
      <text>
        <r>
          <rPr>
            <sz val="11"/>
            <color theme="1"/>
            <rFont val="Calibri"/>
            <family val="2"/>
            <scheme val="minor"/>
          </rPr>
          <t>EUR, actually paid: base_salary + variable_pay. The payroll total is the sum of this column.</t>
        </r>
      </text>
    </comment>
    <comment ref="O4" authorId="0" shapeId="0" xr:uid="{00000000-0006-0000-0100-00000B000000}">
      <text>
        <r>
          <rPr>
            <sz val="11"/>
            <color theme="1"/>
            <rFont val="Calibri"/>
            <family val="2"/>
            <scheme val="minor"/>
          </rPr>
          <t>Median n_total across the whole category, both genders. EUR per year at full time.</t>
        </r>
      </text>
    </comment>
  </commentList>
</comments>
</file>

<file path=xl/sharedStrings.xml><?xml version="1.0" encoding="utf-8"?>
<sst xmlns="http://schemas.openxmlformats.org/spreadsheetml/2006/main" count="215" uniqueCount="187">
  <si>
    <t>Model settings</t>
  </si>
  <si>
    <t>Mini version on the sample fixture (10 rows)</t>
  </si>
  <si>
    <t>Only the green cells are meant to be edited. Everything else recalculates.</t>
  </si>
  <si>
    <t>Name</t>
  </si>
  <si>
    <t>Value</t>
  </si>
  <si>
    <t>What it is</t>
  </si>
  <si>
    <t>Notes</t>
  </si>
  <si>
    <t>threshold_pct</t>
  </si>
  <si>
    <t>Threshold, %</t>
  </si>
  <si>
    <t>Target unexplained gap for the Minimum compliance scenario.</t>
  </si>
  <si>
    <t>implementation_month</t>
  </si>
  <si>
    <t>Implementation month</t>
  </si>
  <si>
    <t>1 = January. Drives the current-year effect: (13 - m) / 12.</t>
  </si>
  <si>
    <t>rate_below</t>
  </si>
  <si>
    <t>Contribution rate below ceiling, %</t>
  </si>
  <si>
    <t>Applied to the part of the uplift that fits under the ceiling.</t>
  </si>
  <si>
    <t>rate_above</t>
  </si>
  <si>
    <t>Contribution rate above ceiling, %</t>
  </si>
  <si>
    <t>Applied to the part that pushes base pay past the ceiling.</t>
  </si>
  <si>
    <t>ceiling</t>
  </si>
  <si>
    <t>Contribution ceiling, EUR</t>
  </si>
  <si>
    <t>Annual, applied to the employee's actual base pay.</t>
  </si>
  <si>
    <t>Source data</t>
  </si>
  <si>
    <t>The Data sheet holds a fixed export. The demo-data generator uses a PRNG (mulberry32 + Box-Muller) that cannot be reproduced byte-for-byte in Excel formulas, so the array is exported as plain numbers. Everything computed on top of it is live.</t>
  </si>
  <si>
    <t>Employee-level data and calculation</t>
  </si>
  <si>
    <t>Yellow — source data from the CSV. Blue — calculated by formula. Formulas reference the Categories sheet, where category-level gaps are computed.</t>
  </si>
  <si>
    <t>id</t>
  </si>
  <si>
    <t>category</t>
  </si>
  <si>
    <t>gender</t>
  </si>
  <si>
    <t>base_salary</t>
  </si>
  <si>
    <t>variable_pay</t>
  </si>
  <si>
    <t>tenure_years</t>
  </si>
  <si>
    <t>grade</t>
  </si>
  <si>
    <t>fte</t>
  </si>
  <si>
    <t>months_worked</t>
  </si>
  <si>
    <t>factor</t>
  </si>
  <si>
    <t>n_base</t>
  </si>
  <si>
    <t>n_var</t>
  </si>
  <si>
    <t>n_total</t>
  </si>
  <si>
    <t>actual_total</t>
  </si>
  <si>
    <t>median_cat</t>
  </si>
  <si>
    <t>recip_min</t>
  </si>
  <si>
    <t>deficit_min</t>
  </si>
  <si>
    <t>share_min</t>
  </si>
  <si>
    <t>uplift_norm_min</t>
  </si>
  <si>
    <t>uplift_act_min</t>
  </si>
  <si>
    <t>contrib_min</t>
  </si>
  <si>
    <t>cost_min</t>
  </si>
  <si>
    <t>recip_full</t>
  </si>
  <si>
    <t>deficit_full</t>
  </si>
  <si>
    <t>share_full</t>
  </si>
  <si>
    <t>uplift_norm_full</t>
  </si>
  <si>
    <t>uplift_act_full</t>
  </si>
  <si>
    <t>contrib_full</t>
  </si>
  <si>
    <t>cost_full</t>
  </si>
  <si>
    <t>_rank_cat</t>
  </si>
  <si>
    <t>_n_cat</t>
  </si>
  <si>
    <t>_rank_sex</t>
  </si>
  <si>
    <t>_n_sex</t>
  </si>
  <si>
    <t>E001</t>
  </si>
  <si>
    <t>Engineering</t>
  </si>
  <si>
    <t>F</t>
  </si>
  <si>
    <t>E002</t>
  </si>
  <si>
    <t>M</t>
  </si>
  <si>
    <t>E003</t>
  </si>
  <si>
    <t>E004</t>
  </si>
  <si>
    <t>E005</t>
  </si>
  <si>
    <t>Sales</t>
  </si>
  <si>
    <t>E006</t>
  </si>
  <si>
    <t>E007</t>
  </si>
  <si>
    <t>E008</t>
  </si>
  <si>
    <t>Customer Support</t>
  </si>
  <si>
    <t>E009</t>
  </si>
  <si>
    <t>E010</t>
  </si>
  <si>
    <t>Category-level calculation</t>
  </si>
  <si>
    <t>Regression: OLS of n_total on grade and tenure within each category, solved from explicit sums (no LINEST, no array formulas). Guard conditions mirror calc.js: fewer than 4 observations or a constant predictor means the regression is undefined, and the whole gap is treated as unexplained.</t>
  </si>
  <si>
    <t>headcount</t>
  </si>
  <si>
    <t>n_F</t>
  </si>
  <si>
    <t>n_M</t>
  </si>
  <si>
    <t>mean_M</t>
  </si>
  <si>
    <t>mean_F</t>
  </si>
  <si>
    <t>median_all</t>
  </si>
  <si>
    <t>raw_gap_mean_%</t>
  </si>
  <si>
    <t>median_M</t>
  </si>
  <si>
    <t>median_F</t>
  </si>
  <si>
    <t>raw_gap_median_%</t>
  </si>
  <si>
    <t>var_M</t>
  </si>
  <si>
    <t>var_F</t>
  </si>
  <si>
    <t>variable_gap_%</t>
  </si>
  <si>
    <t>base_M</t>
  </si>
  <si>
    <t>base_F</t>
  </si>
  <si>
    <t>base_gap_%</t>
  </si>
  <si>
    <t>var_grade</t>
  </si>
  <si>
    <t>var_tenure</t>
  </si>
  <si>
    <t>reg_ok</t>
  </si>
  <si>
    <t>coef_grade</t>
  </si>
  <si>
    <t>coef_tenure</t>
  </si>
  <si>
    <t>r2</t>
  </si>
  <si>
    <t>explained_%</t>
  </si>
  <si>
    <t>unexplained_%</t>
  </si>
  <si>
    <t>correct_min</t>
  </si>
  <si>
    <t>totalDef_min</t>
  </si>
  <si>
    <t>need_min</t>
  </si>
  <si>
    <t>adjust_min</t>
  </si>
  <si>
    <t>unexpl_after_min</t>
  </si>
  <si>
    <t>correct_full</t>
  </si>
  <si>
    <t>totalDef_full</t>
  </si>
  <si>
    <t>need_full</t>
  </si>
  <si>
    <t>adjust_full</t>
  </si>
  <si>
    <t>unexpl_after_full</t>
  </si>
  <si>
    <t>unreliable</t>
  </si>
  <si>
    <t>reverse_gap</t>
  </si>
  <si>
    <t>n</t>
  </si>
  <si>
    <t>Sum_g</t>
  </si>
  <si>
    <t>Sum_t</t>
  </si>
  <si>
    <t>Sum_y</t>
  </si>
  <si>
    <t>Sum_gg</t>
  </si>
  <si>
    <t>Sum_tt</t>
  </si>
  <si>
    <t>Sum_gt</t>
  </si>
  <si>
    <t>Sum_gy</t>
  </si>
  <si>
    <t>Sum_ty</t>
  </si>
  <si>
    <t>Sum_yy</t>
  </si>
  <si>
    <t>det</t>
  </si>
  <si>
    <t>Totals</t>
  </si>
  <si>
    <t>Every figure here is a formula referencing the Data and Categories sheets. No number on this sheet is typed in by hand.</t>
  </si>
  <si>
    <t>Payroll before adjustment</t>
  </si>
  <si>
    <t>Headcount</t>
  </si>
  <si>
    <t>Metric</t>
  </si>
  <si>
    <t>Minimum compliance</t>
  </si>
  <si>
    <t>Full equalisation</t>
  </si>
  <si>
    <t>Difference</t>
  </si>
  <si>
    <t>Pay adjustment</t>
  </si>
  <si>
    <t>Employer contributions</t>
  </si>
  <si>
    <t>Total</t>
  </si>
  <si>
    <t>As % of payroll</t>
  </si>
  <si>
    <t>Employees receiving an uplift</t>
  </si>
  <si>
    <t>Current-year effect</t>
  </si>
  <si>
    <t>Next-year effect</t>
  </si>
  <si>
    <t>Reconciliation with the calculator</t>
  </si>
  <si>
    <t>Filled in at the reconciliation step: totals from the HTML calculator are entered here and compared against B10 / C10. Any discrepancy above one cent is a blocker.</t>
  </si>
  <si>
    <t>Legend and method</t>
  </si>
  <si>
    <t>Colours</t>
  </si>
  <si>
    <t>Yellow</t>
  </si>
  <si>
    <t>Source data. Comes from the CSV, never calculated.</t>
  </si>
  <si>
    <t>Blue</t>
  </si>
  <si>
    <t>Calculated by formula. Nothing to edit — it recalculates itself.</t>
  </si>
  <si>
    <t>Green</t>
  </si>
  <si>
    <t>A setting on the Settings sheet. These are meant to be changed.</t>
  </si>
  <si>
    <t>Units</t>
  </si>
  <si>
    <t>Where to find them</t>
  </si>
  <si>
    <t>The units for each column are in a comment on its header cell on the Data sheet (red corner marker — hover over it). The same information, in short, is below.</t>
  </si>
  <si>
    <t>base_salary, variable_pay</t>
  </si>
  <si>
    <t>Euros actually paid for the period, not annualised. Someone on a 0.5 FTE contract, or who worked 7 months, shows what they actually received. Variable pay follows the same convention as base salary.</t>
  </si>
  <si>
    <t>n_base, n_var, n_total</t>
  </si>
  <si>
    <t>Euros per year at full time, obtained by dividing actual pay by factor. Employees can only be compared on these figures: otherwise half the gap would be a difference in working time rather than in pay.</t>
  </si>
  <si>
    <t>Position in the grade ladder: a higher number means a higher grade. Only the ordering matters to the calculation; the absolute value carries no meaning.</t>
  </si>
  <si>
    <t>Order of calculation</t>
  </si>
  <si>
    <t>1. Normalisation</t>
  </si>
  <si>
    <t>factor = fte x (months_worked / 12). Base salary and variable pay are divided by factor, converting them to a full-time, full-year equivalent. Only normalised figures are comparable across employees.</t>
  </si>
  <si>
    <t>2. Gaps</t>
  </si>
  <si>
    <t>raw_gap = (mean_M - mean_F) / mean_M x 100, computed on n_total (normalised base plus variable pay), separately for each category.</t>
  </si>
  <si>
    <t>3. Regression</t>
  </si>
  <si>
    <t>OLS of n_total on grade and tenure within each category, solved from explicit sums via Cramer's rule. It answers one question: how much of the gap is accounted for by grade and tenure. The guard mirrors calc.js — fewer than 4 observations or a constant predictor means the regression is undefined, explained = 0, and the whole gap is treated as unexplained (the conservative direction).</t>
  </si>
  <si>
    <t>4. Explained share</t>
  </si>
  <si>
    <t>explained = coef_grade x (mean male grade - mean female grade) + coef_tenure x (mean male tenure - mean female tenure), expressed as % of mean_M. Capped at the size of the gap itself: the model cannot explain more than exists.</t>
  </si>
  <si>
    <t>5. Selecting recipients</t>
  </si>
  <si>
    <t>Women whose normalised n_total falls below the median of their own category (the median across the whole category, both genders). Categories where the gap favours women are not adjusted in either scenario — levelling only ever moves pay upwards.</t>
  </si>
  <si>
    <t>6. Distribution</t>
  </si>
  <si>
    <t>Proportional to the shortfall against the median: share = (median - n_total) / sum of all shortfalls. The further below the middle an employee sits, the larger the portion of the budget they receive.</t>
  </si>
  <si>
    <t>Two distinct quantities</t>
  </si>
  <si>
    <t>The average category gap and an individual's shortfall do different jobs. The average gap determines HOW MUCH MONEY the category needs in total (step 5, the need formula). The shortfall against the median determines HOW THAT MONEY IS SPLIT between people (step 6). The average gap does not enter an individual uplift: a person's shortfall is measured against the category median, not against the male average.</t>
  </si>
  <si>
    <t>Consequence</t>
  </si>
  <si>
    <t>A woman paid above the median receives nothing, even where her category's gap is large. The method lifts the bottom half rather than every woman across the board.</t>
  </si>
  <si>
    <t>7. Contributions</t>
  </si>
  <si>
    <t>Charged on the increase in base pay, not on total salary, and always against actual base pay. The portion of the uplift that fits under the ceiling attracts the full rate; the portion above it attracts the reduced rate.</t>
  </si>
  <si>
    <t>8. Totals</t>
  </si>
  <si>
    <t>Current-year effect = full amount x (13 - implementation month) / 12. Implementing in January gives 12/12, in December 1/12.</t>
  </si>
  <si>
    <t>The two scenarios</t>
  </si>
  <si>
    <t>Bring the unexplained gap down to the threshold (5% by default). Categories already below the threshold are left untouched.</t>
  </si>
  <si>
    <t>Bring the unexplained gap to zero in every category where it is positive.</t>
  </si>
  <si>
    <t>Caveats</t>
  </si>
  <si>
    <t>What explained means</t>
  </si>
  <si>
    <t>The word is technical, not exculpatory. If women are systematically not promoted through the grades, the regression will attribute the gap to grade and call it explained. That is a limitation of the method, not a finding about fairness.</t>
  </si>
  <si>
    <t>No array formulas</t>
  </si>
  <si>
    <t>The whole model is built on ordinary formulas: SUMIFS, SUMPRODUCT, COUNTIFS. Ctrl+Shift+Enter is never required, in any version of Excel. Medians are computed via rank (the helper columns _rank_cat / _rank_sex on the Data sheet) and the regression from explicit sums rather than LINEST.</t>
  </si>
  <si>
    <t>PRNG</t>
  </si>
  <si>
    <t>The demo data is generated by mulberry32 + Box-Muller from a fixed seed. That cannot be reproduced byte-for-byte in Excel formulas, so the array is exported as plain numbers. Everything computed on top of it is live.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</si>
</sst>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quot;%&quot;"/>
  </numFmts>
  <fonts count="6" x14ac:knownFonts="1">
    <font>
      <sz val="11"/>
      <color theme="1"/>
      <name val="Calibri"/>
      <family val="2"/>
      <scheme val="minor"/>
    </font>
    <font>
      <b/>
      <sz val="13"/>
      <name val="Calibri"/>
    </font>
    <font>
      <sz val="9"/>
      <color rgb="FF6B7280"/>
      <name val="Calibri"/>
    </font>
    <font>
      <b/>
      <sz val="10"/>
      <color rgb="FFFFFFFF"/>
      <name val="Calibri"/>
    </font>
    <font>
      <b/>
      <sz val="11"/>
      <name val="Calibri"/>
    </font>
    <font>
      <b/>
      <sz val="10"/>
      <name val="Calibri"/>
    </font>
  </fonts>
  <fills count="6">
    <fill>
      <patternFill patternType="none"/>
    </fill>
    <fill>
      <patternFill patternType="gray125"/>
    </fill>
    <fill>
      <patternFill patternType="solid">
        <fgColor rgb="FF1F3B57"/>
      </patternFill>
    </fill>
    <fill>
      <patternFill patternType="solid">
        <fgColor rgb="FFE6F4EA"/>
      </patternFill>
    </fill>
    <fill>
      <patternFill patternType="solid">
        <fgColor rgb="FFFFF4D6"/>
      </patternFill>
    </fill>
    <fill>
      <patternFill patternType="solid">
        <fgColor rgb="FFEAF3FA"/>
      </patternFill>
    </fill>
  </fills>
  <borders count="2">
    <border>
      <left/>
      <right/>
      <top/>
      <bottom/>
      <diagonal/>
    </border>
    <border>
      <left style="thin">
        <color rgb="FFD0D7DE"/>
      </left>
      <right style="thin">
        <color rgb="FFD0D7DE"/>
      </right>
      <top style="thin">
        <color rgb="FFD0D7DE"/>
      </top>
      <bottom style="thin">
        <color rgb="FFD0D7DE"/>
      </bottom>
      <diagonal/>
    </border>
  </borders>
  <cellStyleXfs count="1">
    <xf numFmtId="0" fontId="0" fillId="0" borderId="0"/>
  </cellStyleXfs>
  <cellXfs count="23">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0" fillId="0" borderId="1" xfId="0" applyBorder="1"/>
    <xf numFmtId="0" fontId="4" fillId="3" borderId="1" xfId="0" applyFont="1" applyFill="1" applyBorder="1"/>
    <xf numFmtId="0" fontId="0" fillId="0" borderId="1" xfId="0" applyBorder="1" applyAlignment="1">
      <alignment vertical="top" wrapText="1"/>
    </xf>
    <xf numFmtId="0" fontId="4" fillId="0" borderId="0" xfId="0" applyFont="1"/>
    <xf numFmtId="0" fontId="0" fillId="4" borderId="1" xfId="0" applyFill="1" applyBorder="1"/>
    <xf numFmtId="4" fontId="0" fillId="4" borderId="1" xfId="0" applyNumberFormat="1" applyFill="1" applyBorder="1"/>
    <xf numFmtId="164" fontId="0" fillId="5" borderId="1" xfId="0" applyNumberFormat="1" applyFill="1" applyBorder="1"/>
    <xf numFmtId="4" fontId="0" fillId="5" borderId="1" xfId="0" applyNumberFormat="1" applyFill="1" applyBorder="1"/>
    <xf numFmtId="0" fontId="0" fillId="5" borderId="1" xfId="0" applyFill="1" applyBorder="1"/>
    <xf numFmtId="165" fontId="0" fillId="5" borderId="1" xfId="0" applyNumberFormat="1" applyFill="1" applyBorder="1"/>
    <xf numFmtId="4" fontId="0" fillId="5" borderId="0" xfId="0" applyNumberFormat="1" applyFill="1"/>
    <xf numFmtId="0" fontId="0" fillId="5" borderId="0" xfId="0" applyFill="1"/>
    <xf numFmtId="0" fontId="4" fillId="0" borderId="1" xfId="0" applyFont="1" applyBorder="1"/>
    <xf numFmtId="4" fontId="4" fillId="5" borderId="1" xfId="0" applyNumberFormat="1" applyFont="1" applyFill="1" applyBorder="1"/>
    <xf numFmtId="3" fontId="0" fillId="5" borderId="1" xfId="0" applyNumberFormat="1" applyFill="1" applyBorder="1"/>
    <xf numFmtId="0" fontId="5" fillId="0" borderId="0" xfId="0" applyFont="1"/>
    <xf numFmtId="0" fontId="0" fillId="0" borderId="0" xfId="0" applyAlignment="1">
      <alignment vertical="top" wrapText="1"/>
    </xf>
    <xf numFmtId="0" fontId="2"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
  <sheetViews>
    <sheetView tabSelected="1" workbookViewId="0"/>
  </sheetViews>
  <sheetFormatPr defaultRowHeight="14.4" x14ac:dyDescent="0.3"/>
  <cols>
    <col min="1" max="1" width="24" customWidth="1"/>
    <col min="2" max="2" width="14" customWidth="1"/>
    <col min="3" max="3" width="34" customWidth="1"/>
    <col min="4" max="4" width="76" customWidth="1"/>
  </cols>
  <sheetData>
    <row r="1" spans="1:4" ht="17.399999999999999" x14ac:dyDescent="0.35">
      <c r="A1" s="1" t="s">
        <v>0</v>
      </c>
    </row>
    <row r="2" spans="1:4" x14ac:dyDescent="0.3">
      <c r="A2" s="2" t="s">
        <v>1</v>
      </c>
    </row>
    <row r="4" spans="1:4" x14ac:dyDescent="0.3">
      <c r="A4" s="2" t="s">
        <v>2</v>
      </c>
    </row>
    <row r="6" spans="1:4" ht="30" customHeight="1" x14ac:dyDescent="0.3">
      <c r="A6" s="3" t="s">
        <v>3</v>
      </c>
      <c r="B6" s="3" t="s">
        <v>4</v>
      </c>
      <c r="C6" s="3" t="s">
        <v>5</v>
      </c>
      <c r="D6" s="3" t="s">
        <v>6</v>
      </c>
    </row>
    <row r="7" spans="1:4" ht="28.05" customHeight="1" x14ac:dyDescent="0.3">
      <c r="A7" s="4" t="s">
        <v>7</v>
      </c>
      <c r="B7" s="5">
        <v>5</v>
      </c>
      <c r="C7" s="4" t="s">
        <v>8</v>
      </c>
      <c r="D7" s="6" t="s">
        <v>9</v>
      </c>
    </row>
    <row r="8" spans="1:4" ht="28.05" customHeight="1" x14ac:dyDescent="0.3">
      <c r="A8" s="4" t="s">
        <v>10</v>
      </c>
      <c r="B8" s="5">
        <v>7</v>
      </c>
      <c r="C8" s="4" t="s">
        <v>11</v>
      </c>
      <c r="D8" s="6" t="s">
        <v>12</v>
      </c>
    </row>
    <row r="9" spans="1:4" ht="28.05" customHeight="1" x14ac:dyDescent="0.3">
      <c r="A9" s="4" t="s">
        <v>13</v>
      </c>
      <c r="B9" s="5">
        <v>31.5</v>
      </c>
      <c r="C9" s="4" t="s">
        <v>14</v>
      </c>
      <c r="D9" s="6" t="s">
        <v>15</v>
      </c>
    </row>
    <row r="10" spans="1:4" ht="28.05" customHeight="1" x14ac:dyDescent="0.3">
      <c r="A10" s="4" t="s">
        <v>16</v>
      </c>
      <c r="B10" s="5">
        <v>1.1499999999999999</v>
      </c>
      <c r="C10" s="4" t="s">
        <v>17</v>
      </c>
      <c r="D10" s="6" t="s">
        <v>18</v>
      </c>
    </row>
    <row r="11" spans="1:4" ht="28.05" customHeight="1" x14ac:dyDescent="0.3">
      <c r="A11" s="4" t="s">
        <v>19</v>
      </c>
      <c r="B11" s="5">
        <v>61214</v>
      </c>
      <c r="C11" s="4" t="s">
        <v>20</v>
      </c>
      <c r="D11" s="6" t="s">
        <v>21</v>
      </c>
    </row>
    <row r="14" spans="1:4" x14ac:dyDescent="0.3">
      <c r="A14" s="7" t="s">
        <v>22</v>
      </c>
    </row>
    <row r="15" spans="1:4" x14ac:dyDescent="0.3">
      <c r="A15" s="21" t="s">
        <v>23</v>
      </c>
      <c r="B15" s="22"/>
      <c r="C15" s="22"/>
      <c r="D15" s="22"/>
    </row>
    <row r="16" spans="1:4" x14ac:dyDescent="0.3">
      <c r="A16" s="22"/>
      <c r="B16" s="22"/>
      <c r="C16" s="22"/>
      <c r="D16" s="22"/>
    </row>
    <row r="17" spans="1:4" x14ac:dyDescent="0.3">
      <c r="A17" s="22"/>
      <c r="B17" s="22"/>
      <c r="C17" s="22"/>
      <c r="D17" s="22"/>
    </row>
  </sheetData>
  <mergeCells count="1">
    <mergeCell ref="A15:D1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4"/>
  <sheetViews>
    <sheetView workbookViewId="0">
      <pane ySplit="4" topLeftCell="A5" activePane="bottomLeft" state="frozen"/>
      <selection pane="bottomLeft"/>
    </sheetView>
  </sheetViews>
  <sheetFormatPr defaultRowHeight="14.4" x14ac:dyDescent="0.3"/>
  <cols>
    <col min="1" max="1" width="9" customWidth="1"/>
    <col min="2" max="2" width="18" customWidth="1"/>
    <col min="3" max="3" width="8" customWidth="1"/>
    <col min="4" max="5" width="13" customWidth="1"/>
    <col min="6" max="6" width="11" customWidth="1"/>
    <col min="7" max="7" width="8" customWidth="1"/>
    <col min="8" max="8" width="7" customWidth="1"/>
    <col min="9" max="9" width="11" customWidth="1"/>
    <col min="10" max="10" width="9" customWidth="1"/>
    <col min="11" max="13" width="12" customWidth="1"/>
    <col min="14" max="14" width="13" customWidth="1"/>
    <col min="15" max="15" width="12" customWidth="1"/>
    <col min="16" max="16" width="11" customWidth="1"/>
    <col min="17" max="17" width="12" customWidth="1"/>
    <col min="18" max="18" width="10" customWidth="1"/>
    <col min="19" max="20" width="13" customWidth="1"/>
    <col min="21" max="22" width="12" customWidth="1"/>
    <col min="23" max="23" width="11" customWidth="1"/>
    <col min="24" max="24" width="12" customWidth="1"/>
    <col min="25" max="25" width="10" customWidth="1"/>
    <col min="26" max="27" width="13" customWidth="1"/>
    <col min="28" max="29" width="12" customWidth="1"/>
    <col min="30" max="30" width="10" customWidth="1"/>
    <col min="31" max="31" width="8" customWidth="1"/>
    <col min="32" max="32" width="10" customWidth="1"/>
    <col min="33" max="33" width="8" customWidth="1"/>
  </cols>
  <sheetData>
    <row r="1" spans="1:33" ht="17.399999999999999" x14ac:dyDescent="0.35">
      <c r="A1" s="1" t="s">
        <v>24</v>
      </c>
    </row>
    <row r="2" spans="1:33" x14ac:dyDescent="0.3">
      <c r="A2" s="2" t="s">
        <v>25</v>
      </c>
    </row>
    <row r="4" spans="1:33" ht="30" customHeight="1" x14ac:dyDescent="0.3">
      <c r="A4" s="3" t="s">
        <v>26</v>
      </c>
      <c r="B4" s="3" t="s">
        <v>27</v>
      </c>
      <c r="C4" s="3" t="s">
        <v>28</v>
      </c>
      <c r="D4" s="3" t="s">
        <v>29</v>
      </c>
      <c r="E4" s="3" t="s">
        <v>30</v>
      </c>
      <c r="F4" s="3" t="s">
        <v>31</v>
      </c>
      <c r="G4" s="3" t="s">
        <v>32</v>
      </c>
      <c r="H4" s="3" t="s">
        <v>33</v>
      </c>
      <c r="I4" s="3" t="s">
        <v>34</v>
      </c>
      <c r="J4" s="3" t="s">
        <v>35</v>
      </c>
      <c r="K4" s="3" t="s">
        <v>36</v>
      </c>
      <c r="L4" s="3" t="s">
        <v>37</v>
      </c>
      <c r="M4" s="3" t="s">
        <v>38</v>
      </c>
      <c r="N4" s="3" t="s">
        <v>39</v>
      </c>
      <c r="O4" s="3" t="s">
        <v>40</v>
      </c>
      <c r="P4" s="3" t="s">
        <v>41</v>
      </c>
      <c r="Q4" s="3" t="s">
        <v>42</v>
      </c>
      <c r="R4" s="3" t="s">
        <v>43</v>
      </c>
      <c r="S4" s="3" t="s">
        <v>44</v>
      </c>
      <c r="T4" s="3" t="s">
        <v>45</v>
      </c>
      <c r="U4" s="3" t="s">
        <v>46</v>
      </c>
      <c r="V4" s="3" t="s">
        <v>47</v>
      </c>
      <c r="W4" s="3" t="s">
        <v>48</v>
      </c>
      <c r="X4" s="3" t="s">
        <v>49</v>
      </c>
      <c r="Y4" s="3" t="s">
        <v>50</v>
      </c>
      <c r="Z4" s="3" t="s">
        <v>51</v>
      </c>
      <c r="AA4" s="3" t="s">
        <v>52</v>
      </c>
      <c r="AB4" s="3" t="s">
        <v>53</v>
      </c>
      <c r="AC4" s="3" t="s">
        <v>54</v>
      </c>
      <c r="AD4" s="3" t="s">
        <v>55</v>
      </c>
      <c r="AE4" s="3" t="s">
        <v>56</v>
      </c>
      <c r="AF4" s="3" t="s">
        <v>57</v>
      </c>
      <c r="AG4" s="3" t="s">
        <v>58</v>
      </c>
    </row>
    <row r="5" spans="1:33" x14ac:dyDescent="0.3">
      <c r="A5" s="8" t="s">
        <v>59</v>
      </c>
      <c r="B5" s="8" t="s">
        <v>60</v>
      </c>
      <c r="C5" s="8" t="s">
        <v>61</v>
      </c>
      <c r="D5" s="9">
        <v>54000</v>
      </c>
      <c r="E5" s="9">
        <v>6500</v>
      </c>
      <c r="F5" s="8">
        <v>3.5</v>
      </c>
      <c r="G5" s="8">
        <v>6</v>
      </c>
      <c r="H5" s="8">
        <v>1</v>
      </c>
      <c r="I5" s="8">
        <v>12</v>
      </c>
      <c r="J5" s="10">
        <f t="shared" ref="J5:J14" si="0">H5*(I5/12)</f>
        <v>1</v>
      </c>
      <c r="K5" s="11">
        <f t="shared" ref="K5:K14" si="1">D5/J5</f>
        <v>54000</v>
      </c>
      <c r="L5" s="11">
        <f t="shared" ref="L5:L14" si="2">E5/J5</f>
        <v>6500</v>
      </c>
      <c r="M5" s="11">
        <f t="shared" ref="M5:M14" si="3">K5+L5</f>
        <v>60500</v>
      </c>
      <c r="N5" s="11">
        <f t="shared" ref="N5:N14" si="4">D5+E5</f>
        <v>60500</v>
      </c>
      <c r="O5" s="11">
        <f t="shared" ref="O5:O14" si="5">(SUMIFS($M$5:$M$14,$B$5:$B$14,B5,$AD$5:$AD$14,INT((AE5+1)/2))+SUMIFS($M$5:$M$14,$B$5:$B$14,B5,$AD$5:$AD$14,INT(AE5/2)+1))/2</f>
        <v>66850</v>
      </c>
      <c r="P5" s="12">
        <f>IF(AND(C5="F",M5&lt;O5,SUMIFS(Categories!$Z$5:$Z$7,Categories!$A$5:$A$7,B5)=1),1,0)</f>
        <v>0</v>
      </c>
      <c r="Q5" s="11">
        <f t="shared" ref="Q5:Q14" si="6">IF(P5=1,O5-M5,0)</f>
        <v>0</v>
      </c>
      <c r="R5" s="10">
        <f>IF(AND(P5=1,SUMIFS(Categories!$AA$5:$AA$7,Categories!$A$5:$A$7,B5)&gt;0),Q5/SUMIFS(Categories!$AA$5:$AA$7,Categories!$A$5:$A$7,B5),0)</f>
        <v>0</v>
      </c>
      <c r="S5" s="11">
        <f>R5*SUMIFS(Categories!$AB$5:$AB$7,Categories!$A$5:$A$7,B5)</f>
        <v>0</v>
      </c>
      <c r="T5" s="11">
        <f t="shared" ref="T5:T14" si="7">S5*J5</f>
        <v>0</v>
      </c>
      <c r="U5" s="11">
        <f t="shared" ref="U5:U14" si="8">IF(T5&lt;=0,0,(rate_below/100)*MIN(T5,MAX(0,ceiling-D5))+(rate_above/100)*(T5-MIN(T5,MAX(0,ceiling-D5))))</f>
        <v>0</v>
      </c>
      <c r="V5" s="11">
        <f t="shared" ref="V5:V14" si="9">T5+U5</f>
        <v>0</v>
      </c>
      <c r="W5" s="12">
        <f>IF(AND(C5="F",M5&lt;O5,SUMIFS(Categories!$AH$5:$AH$7,Categories!$A$5:$A$7,B5)=1),1,0)</f>
        <v>1</v>
      </c>
      <c r="X5" s="11">
        <f t="shared" ref="X5:X14" si="10">IF(W5=1,O5-M5,0)</f>
        <v>6350</v>
      </c>
      <c r="Y5" s="10">
        <f>IF(AND(W5=1,SUMIFS(Categories!$AI$5:$AI$7,Categories!$A$5:$A$7,B5)&gt;0),X5/SUMIFS(Categories!$AI$5:$AI$7,Categories!$A$5:$A$7,B5),0)</f>
        <v>0.77439024390243905</v>
      </c>
      <c r="Z5" s="11">
        <f>Y5*SUMIFS(Categories!$AJ$5:$AJ$7,Categories!$A$5:$A$7,B5)</f>
        <v>2599.1352549889116</v>
      </c>
      <c r="AA5" s="11">
        <f t="shared" ref="AA5:AA14" si="11">Z5*J5</f>
        <v>2599.1352549889116</v>
      </c>
      <c r="AB5" s="11">
        <f t="shared" ref="AB5:AB14" si="12">IF(AA5&lt;=0,0,(rate_below/100)*MIN(AA5,MAX(0,ceiling-D5))+(rate_above/100)*(AA5-MIN(AA5,MAX(0,ceiling-D5))))</f>
        <v>818.7276053215071</v>
      </c>
      <c r="AC5" s="11">
        <f t="shared" ref="AC5:AC14" si="13">AA5+AB5</f>
        <v>3417.8628603104189</v>
      </c>
      <c r="AD5" s="12">
        <f t="shared" ref="AD5:AD14" si="14">SUMPRODUCT(($B$5:$B$14=B5)*($M$5:$M$14&lt;M5))+SUMPRODUCT(($B$5:$B$14=B5)*($M$5:$M$14=M5)*(ROW($M$5:$M$14)&lt;ROW(M5)))+1</f>
        <v>1</v>
      </c>
      <c r="AE5" s="12">
        <f t="shared" ref="AE5:AE14" si="15">COUNTIF($B$5:$B$14,B5)</f>
        <v>4</v>
      </c>
      <c r="AF5" s="12">
        <f t="shared" ref="AF5:AF14" si="16">SUMPRODUCT(($B$5:$B$14=B5)*($C$5:$C$14=C5)*($M$5:$M$14&lt;M5))+SUMPRODUCT(($B$5:$B$14=B5)*($C$5:$C$14=C5)*($M$5:$M$14=M5)*(ROW($M$5:$M$14)&lt;ROW(M5)))+1</f>
        <v>1</v>
      </c>
      <c r="AG5" s="12">
        <f t="shared" ref="AG5:AG14" si="17">COUNTIFS($B$5:$B$14,B5,$C$5:$C$14,C5)</f>
        <v>2</v>
      </c>
    </row>
    <row r="6" spans="1:33" x14ac:dyDescent="0.3">
      <c r="A6" s="8" t="s">
        <v>62</v>
      </c>
      <c r="B6" s="8" t="s">
        <v>60</v>
      </c>
      <c r="C6" s="8" t="s">
        <v>63</v>
      </c>
      <c r="D6" s="9">
        <v>59500</v>
      </c>
      <c r="E6" s="9">
        <v>9200</v>
      </c>
      <c r="F6" s="8">
        <v>5</v>
      </c>
      <c r="G6" s="8">
        <v>6</v>
      </c>
      <c r="H6" s="8">
        <v>1</v>
      </c>
      <c r="I6" s="8">
        <v>12</v>
      </c>
      <c r="J6" s="10">
        <f t="shared" si="0"/>
        <v>1</v>
      </c>
      <c r="K6" s="11">
        <f t="shared" si="1"/>
        <v>59500</v>
      </c>
      <c r="L6" s="11">
        <f t="shared" si="2"/>
        <v>9200</v>
      </c>
      <c r="M6" s="11">
        <f t="shared" si="3"/>
        <v>68700</v>
      </c>
      <c r="N6" s="11">
        <f t="shared" si="4"/>
        <v>68700</v>
      </c>
      <c r="O6" s="11">
        <f t="shared" si="5"/>
        <v>66850</v>
      </c>
      <c r="P6" s="12">
        <f>IF(AND(C6="F",M6&lt;O6,SUMIFS(Categories!$Z$5:$Z$7,Categories!$A$5:$A$7,B6)=1),1,0)</f>
        <v>0</v>
      </c>
      <c r="Q6" s="11">
        <f t="shared" si="6"/>
        <v>0</v>
      </c>
      <c r="R6" s="10">
        <f>IF(AND(P6=1,SUMIFS(Categories!$AA$5:$AA$7,Categories!$A$5:$A$7,B6)&gt;0),Q6/SUMIFS(Categories!$AA$5:$AA$7,Categories!$A$5:$A$7,B6),0)</f>
        <v>0</v>
      </c>
      <c r="S6" s="11">
        <f>R6*SUMIFS(Categories!$AB$5:$AB$7,Categories!$A$5:$A$7,B6)</f>
        <v>0</v>
      </c>
      <c r="T6" s="11">
        <f t="shared" si="7"/>
        <v>0</v>
      </c>
      <c r="U6" s="11">
        <f t="shared" si="8"/>
        <v>0</v>
      </c>
      <c r="V6" s="11">
        <f t="shared" si="9"/>
        <v>0</v>
      </c>
      <c r="W6" s="12">
        <f>IF(AND(C6="F",M6&lt;O6,SUMIFS(Categories!$AH$5:$AH$7,Categories!$A$5:$A$7,B6)=1),1,0)</f>
        <v>0</v>
      </c>
      <c r="X6" s="11">
        <f t="shared" si="10"/>
        <v>0</v>
      </c>
      <c r="Y6" s="10">
        <f>IF(AND(W6=1,SUMIFS(Categories!$AI$5:$AI$7,Categories!$A$5:$A$7,B6)&gt;0),X6/SUMIFS(Categories!$AI$5:$AI$7,Categories!$A$5:$A$7,B6),0)</f>
        <v>0</v>
      </c>
      <c r="Z6" s="11">
        <f>Y6*SUMIFS(Categories!$AJ$5:$AJ$7,Categories!$A$5:$A$7,B6)</f>
        <v>0</v>
      </c>
      <c r="AA6" s="11">
        <f t="shared" si="11"/>
        <v>0</v>
      </c>
      <c r="AB6" s="11">
        <f t="shared" si="12"/>
        <v>0</v>
      </c>
      <c r="AC6" s="11">
        <f t="shared" si="13"/>
        <v>0</v>
      </c>
      <c r="AD6" s="12">
        <f t="shared" si="14"/>
        <v>3</v>
      </c>
      <c r="AE6" s="12">
        <f t="shared" si="15"/>
        <v>4</v>
      </c>
      <c r="AF6" s="12">
        <f t="shared" si="16"/>
        <v>1</v>
      </c>
      <c r="AG6" s="12">
        <f t="shared" si="17"/>
        <v>2</v>
      </c>
    </row>
    <row r="7" spans="1:33" x14ac:dyDescent="0.3">
      <c r="A7" s="8" t="s">
        <v>64</v>
      </c>
      <c r="B7" s="8" t="s">
        <v>60</v>
      </c>
      <c r="C7" s="8" t="s">
        <v>63</v>
      </c>
      <c r="D7" s="9">
        <v>71000</v>
      </c>
      <c r="E7" s="9">
        <v>14000</v>
      </c>
      <c r="F7" s="8">
        <v>8</v>
      </c>
      <c r="G7" s="8">
        <v>8</v>
      </c>
      <c r="H7" s="8">
        <v>1</v>
      </c>
      <c r="I7" s="8">
        <v>12</v>
      </c>
      <c r="J7" s="10">
        <f t="shared" si="0"/>
        <v>1</v>
      </c>
      <c r="K7" s="11">
        <f t="shared" si="1"/>
        <v>71000</v>
      </c>
      <c r="L7" s="11">
        <f t="shared" si="2"/>
        <v>14000</v>
      </c>
      <c r="M7" s="11">
        <f t="shared" si="3"/>
        <v>85000</v>
      </c>
      <c r="N7" s="11">
        <f t="shared" si="4"/>
        <v>85000</v>
      </c>
      <c r="O7" s="11">
        <f t="shared" si="5"/>
        <v>66850</v>
      </c>
      <c r="P7" s="12">
        <f>IF(AND(C7="F",M7&lt;O7,SUMIFS(Categories!$Z$5:$Z$7,Categories!$A$5:$A$7,B7)=1),1,0)</f>
        <v>0</v>
      </c>
      <c r="Q7" s="11">
        <f t="shared" si="6"/>
        <v>0</v>
      </c>
      <c r="R7" s="10">
        <f>IF(AND(P7=1,SUMIFS(Categories!$AA$5:$AA$7,Categories!$A$5:$A$7,B7)&gt;0),Q7/SUMIFS(Categories!$AA$5:$AA$7,Categories!$A$5:$A$7,B7),0)</f>
        <v>0</v>
      </c>
      <c r="S7" s="11">
        <f>R7*SUMIFS(Categories!$AB$5:$AB$7,Categories!$A$5:$A$7,B7)</f>
        <v>0</v>
      </c>
      <c r="T7" s="11">
        <f t="shared" si="7"/>
        <v>0</v>
      </c>
      <c r="U7" s="11">
        <f t="shared" si="8"/>
        <v>0</v>
      </c>
      <c r="V7" s="11">
        <f t="shared" si="9"/>
        <v>0</v>
      </c>
      <c r="W7" s="12">
        <f>IF(AND(C7="F",M7&lt;O7,SUMIFS(Categories!$AH$5:$AH$7,Categories!$A$5:$A$7,B7)=1),1,0)</f>
        <v>0</v>
      </c>
      <c r="X7" s="11">
        <f t="shared" si="10"/>
        <v>0</v>
      </c>
      <c r="Y7" s="10">
        <f>IF(AND(W7=1,SUMIFS(Categories!$AI$5:$AI$7,Categories!$A$5:$A$7,B7)&gt;0),X7/SUMIFS(Categories!$AI$5:$AI$7,Categories!$A$5:$A$7,B7),0)</f>
        <v>0</v>
      </c>
      <c r="Z7" s="11">
        <f>Y7*SUMIFS(Categories!$AJ$5:$AJ$7,Categories!$A$5:$A$7,B7)</f>
        <v>0</v>
      </c>
      <c r="AA7" s="11">
        <f t="shared" si="11"/>
        <v>0</v>
      </c>
      <c r="AB7" s="11">
        <f t="shared" si="12"/>
        <v>0</v>
      </c>
      <c r="AC7" s="11">
        <f t="shared" si="13"/>
        <v>0</v>
      </c>
      <c r="AD7" s="12">
        <f t="shared" si="14"/>
        <v>4</v>
      </c>
      <c r="AE7" s="12">
        <f t="shared" si="15"/>
        <v>4</v>
      </c>
      <c r="AF7" s="12">
        <f t="shared" si="16"/>
        <v>2</v>
      </c>
      <c r="AG7" s="12">
        <f t="shared" si="17"/>
        <v>2</v>
      </c>
    </row>
    <row r="8" spans="1:33" x14ac:dyDescent="0.3">
      <c r="A8" s="8" t="s">
        <v>65</v>
      </c>
      <c r="B8" s="8" t="s">
        <v>60</v>
      </c>
      <c r="C8" s="8" t="s">
        <v>61</v>
      </c>
      <c r="D8" s="9">
        <v>48000</v>
      </c>
      <c r="E8" s="9">
        <v>4000</v>
      </c>
      <c r="F8" s="8">
        <v>1.5</v>
      </c>
      <c r="G8" s="8">
        <v>5</v>
      </c>
      <c r="H8" s="8">
        <v>0.8</v>
      </c>
      <c r="I8" s="8">
        <v>12</v>
      </c>
      <c r="J8" s="10">
        <f t="shared" si="0"/>
        <v>0.8</v>
      </c>
      <c r="K8" s="11">
        <f t="shared" si="1"/>
        <v>60000</v>
      </c>
      <c r="L8" s="11">
        <f t="shared" si="2"/>
        <v>5000</v>
      </c>
      <c r="M8" s="11">
        <f t="shared" si="3"/>
        <v>65000</v>
      </c>
      <c r="N8" s="11">
        <f t="shared" si="4"/>
        <v>52000</v>
      </c>
      <c r="O8" s="11">
        <f t="shared" si="5"/>
        <v>66850</v>
      </c>
      <c r="P8" s="12">
        <f>IF(AND(C8="F",M8&lt;O8,SUMIFS(Categories!$Z$5:$Z$7,Categories!$A$5:$A$7,B8)=1),1,0)</f>
        <v>0</v>
      </c>
      <c r="Q8" s="11">
        <f t="shared" si="6"/>
        <v>0</v>
      </c>
      <c r="R8" s="10">
        <f>IF(AND(P8=1,SUMIFS(Categories!$AA$5:$AA$7,Categories!$A$5:$A$7,B8)&gt;0),Q8/SUMIFS(Categories!$AA$5:$AA$7,Categories!$A$5:$A$7,B8),0)</f>
        <v>0</v>
      </c>
      <c r="S8" s="11">
        <f>R8*SUMIFS(Categories!$AB$5:$AB$7,Categories!$A$5:$A$7,B8)</f>
        <v>0</v>
      </c>
      <c r="T8" s="11">
        <f t="shared" si="7"/>
        <v>0</v>
      </c>
      <c r="U8" s="11">
        <f t="shared" si="8"/>
        <v>0</v>
      </c>
      <c r="V8" s="11">
        <f t="shared" si="9"/>
        <v>0</v>
      </c>
      <c r="W8" s="12">
        <f>IF(AND(C8="F",M8&lt;O8,SUMIFS(Categories!$AH$5:$AH$7,Categories!$A$5:$A$7,B8)=1),1,0)</f>
        <v>1</v>
      </c>
      <c r="X8" s="11">
        <f t="shared" si="10"/>
        <v>1850</v>
      </c>
      <c r="Y8" s="10">
        <f>IF(AND(W8=1,SUMIFS(Categories!$AI$5:$AI$7,Categories!$A$5:$A$7,B8)&gt;0),X8/SUMIFS(Categories!$AI$5:$AI$7,Categories!$A$5:$A$7,B8),0)</f>
        <v>0.22560975609756098</v>
      </c>
      <c r="Z8" s="11">
        <f>Y8*SUMIFS(Categories!$AJ$5:$AJ$7,Categories!$A$5:$A$7,B8)</f>
        <v>757.22838137472229</v>
      </c>
      <c r="AA8" s="11">
        <f t="shared" si="11"/>
        <v>605.7827050997779</v>
      </c>
      <c r="AB8" s="11">
        <f t="shared" si="12"/>
        <v>190.82155210643003</v>
      </c>
      <c r="AC8" s="11">
        <f t="shared" si="13"/>
        <v>796.60425720620788</v>
      </c>
      <c r="AD8" s="12">
        <f t="shared" si="14"/>
        <v>2</v>
      </c>
      <c r="AE8" s="12">
        <f t="shared" si="15"/>
        <v>4</v>
      </c>
      <c r="AF8" s="12">
        <f t="shared" si="16"/>
        <v>2</v>
      </c>
      <c r="AG8" s="12">
        <f t="shared" si="17"/>
        <v>2</v>
      </c>
    </row>
    <row r="9" spans="1:33" x14ac:dyDescent="0.3">
      <c r="A9" s="8" t="s">
        <v>66</v>
      </c>
      <c r="B9" s="8" t="s">
        <v>67</v>
      </c>
      <c r="C9" s="8" t="s">
        <v>61</v>
      </c>
      <c r="D9" s="9">
        <v>41000</v>
      </c>
      <c r="E9" s="9">
        <v>7000</v>
      </c>
      <c r="F9" s="8">
        <v>2</v>
      </c>
      <c r="G9" s="8">
        <v>5</v>
      </c>
      <c r="H9" s="8">
        <v>1</v>
      </c>
      <c r="I9" s="8">
        <v>12</v>
      </c>
      <c r="J9" s="10">
        <f t="shared" si="0"/>
        <v>1</v>
      </c>
      <c r="K9" s="11">
        <f t="shared" si="1"/>
        <v>41000</v>
      </c>
      <c r="L9" s="11">
        <f t="shared" si="2"/>
        <v>7000</v>
      </c>
      <c r="M9" s="11">
        <f t="shared" si="3"/>
        <v>48000</v>
      </c>
      <c r="N9" s="11">
        <f t="shared" si="4"/>
        <v>48000</v>
      </c>
      <c r="O9" s="11">
        <f t="shared" si="5"/>
        <v>54000</v>
      </c>
      <c r="P9" s="12">
        <f>IF(AND(C9="F",M9&lt;O9,SUMIFS(Categories!$Z$5:$Z$7,Categories!$A$5:$A$7,B9)=1),1,0)</f>
        <v>1</v>
      </c>
      <c r="Q9" s="11">
        <f t="shared" si="6"/>
        <v>6000</v>
      </c>
      <c r="R9" s="10">
        <f>IF(AND(P9=1,SUMIFS(Categories!$AA$5:$AA$7,Categories!$A$5:$A$7,B9)&gt;0),Q9/SUMIFS(Categories!$AA$5:$AA$7,Categories!$A$5:$A$7,B9),0)</f>
        <v>1</v>
      </c>
      <c r="S9" s="11">
        <f>R9*SUMIFS(Categories!$AB$5:$AB$7,Categories!$A$5:$A$7,B9)</f>
        <v>27117.857142857138</v>
      </c>
      <c r="T9" s="11">
        <f t="shared" si="7"/>
        <v>27117.857142857138</v>
      </c>
      <c r="U9" s="11">
        <f t="shared" si="8"/>
        <v>6446.804357142857</v>
      </c>
      <c r="V9" s="11">
        <f t="shared" si="9"/>
        <v>33564.661499999995</v>
      </c>
      <c r="W9" s="12">
        <f>IF(AND(C9="F",M9&lt;O9,SUMIFS(Categories!$AH$5:$AH$7,Categories!$A$5:$A$7,B9)=1),1,0)</f>
        <v>1</v>
      </c>
      <c r="X9" s="11">
        <f t="shared" si="10"/>
        <v>6000</v>
      </c>
      <c r="Y9" s="10">
        <f>IF(AND(W9=1,SUMIFS(Categories!$AI$5:$AI$7,Categories!$A$5:$A$7,B9)&gt;0),X9/SUMIFS(Categories!$AI$5:$AI$7,Categories!$A$5:$A$7,B9),0)</f>
        <v>1</v>
      </c>
      <c r="Z9" s="11">
        <f>Y9*SUMIFS(Categories!$AJ$5:$AJ$7,Categories!$A$5:$A$7,B9)</f>
        <v>31071.428571428565</v>
      </c>
      <c r="AA9" s="11">
        <f t="shared" si="11"/>
        <v>31071.428571428565</v>
      </c>
      <c r="AB9" s="11">
        <f t="shared" si="12"/>
        <v>6492.2704285714281</v>
      </c>
      <c r="AC9" s="11">
        <f t="shared" si="13"/>
        <v>37563.698999999993</v>
      </c>
      <c r="AD9" s="12">
        <f t="shared" si="14"/>
        <v>1</v>
      </c>
      <c r="AE9" s="12">
        <f t="shared" si="15"/>
        <v>3</v>
      </c>
      <c r="AF9" s="12">
        <f t="shared" si="16"/>
        <v>1</v>
      </c>
      <c r="AG9" s="12">
        <f t="shared" si="17"/>
        <v>1</v>
      </c>
    </row>
    <row r="10" spans="1:33" x14ac:dyDescent="0.3">
      <c r="A10" s="8" t="s">
        <v>68</v>
      </c>
      <c r="B10" s="8" t="s">
        <v>67</v>
      </c>
      <c r="C10" s="8" t="s">
        <v>63</v>
      </c>
      <c r="D10" s="9">
        <v>42500</v>
      </c>
      <c r="E10" s="9">
        <v>11500</v>
      </c>
      <c r="F10" s="8">
        <v>2.5</v>
      </c>
      <c r="G10" s="8">
        <v>5</v>
      </c>
      <c r="H10" s="8">
        <v>1</v>
      </c>
      <c r="I10" s="8">
        <v>12</v>
      </c>
      <c r="J10" s="10">
        <f t="shared" si="0"/>
        <v>1</v>
      </c>
      <c r="K10" s="11">
        <f t="shared" si="1"/>
        <v>42500</v>
      </c>
      <c r="L10" s="11">
        <f t="shared" si="2"/>
        <v>11500</v>
      </c>
      <c r="M10" s="11">
        <f t="shared" si="3"/>
        <v>54000</v>
      </c>
      <c r="N10" s="11">
        <f t="shared" si="4"/>
        <v>54000</v>
      </c>
      <c r="O10" s="11">
        <f t="shared" si="5"/>
        <v>54000</v>
      </c>
      <c r="P10" s="12">
        <f>IF(AND(C10="F",M10&lt;O10,SUMIFS(Categories!$Z$5:$Z$7,Categories!$A$5:$A$7,B10)=1),1,0)</f>
        <v>0</v>
      </c>
      <c r="Q10" s="11">
        <f t="shared" si="6"/>
        <v>0</v>
      </c>
      <c r="R10" s="10">
        <f>IF(AND(P10=1,SUMIFS(Categories!$AA$5:$AA$7,Categories!$A$5:$A$7,B10)&gt;0),Q10/SUMIFS(Categories!$AA$5:$AA$7,Categories!$A$5:$A$7,B10),0)</f>
        <v>0</v>
      </c>
      <c r="S10" s="11">
        <f>R10*SUMIFS(Categories!$AB$5:$AB$7,Categories!$A$5:$A$7,B10)</f>
        <v>0</v>
      </c>
      <c r="T10" s="11">
        <f t="shared" si="7"/>
        <v>0</v>
      </c>
      <c r="U10" s="11">
        <f t="shared" si="8"/>
        <v>0</v>
      </c>
      <c r="V10" s="11">
        <f t="shared" si="9"/>
        <v>0</v>
      </c>
      <c r="W10" s="12">
        <f>IF(AND(C10="F",M10&lt;O10,SUMIFS(Categories!$AH$5:$AH$7,Categories!$A$5:$A$7,B10)=1),1,0)</f>
        <v>0</v>
      </c>
      <c r="X10" s="11">
        <f t="shared" si="10"/>
        <v>0</v>
      </c>
      <c r="Y10" s="10">
        <f>IF(AND(W10=1,SUMIFS(Categories!$AI$5:$AI$7,Categories!$A$5:$A$7,B10)&gt;0),X10/SUMIFS(Categories!$AI$5:$AI$7,Categories!$A$5:$A$7,B10),0)</f>
        <v>0</v>
      </c>
      <c r="Z10" s="11">
        <f>Y10*SUMIFS(Categories!$AJ$5:$AJ$7,Categories!$A$5:$A$7,B10)</f>
        <v>0</v>
      </c>
      <c r="AA10" s="11">
        <f t="shared" si="11"/>
        <v>0</v>
      </c>
      <c r="AB10" s="11">
        <f t="shared" si="12"/>
        <v>0</v>
      </c>
      <c r="AC10" s="11">
        <f t="shared" si="13"/>
        <v>0</v>
      </c>
      <c r="AD10" s="12">
        <f t="shared" si="14"/>
        <v>2</v>
      </c>
      <c r="AE10" s="12">
        <f t="shared" si="15"/>
        <v>3</v>
      </c>
      <c r="AF10" s="12">
        <f t="shared" si="16"/>
        <v>1</v>
      </c>
      <c r="AG10" s="12">
        <f t="shared" si="17"/>
        <v>2</v>
      </c>
    </row>
    <row r="11" spans="1:33" x14ac:dyDescent="0.3">
      <c r="A11" s="8" t="s">
        <v>69</v>
      </c>
      <c r="B11" s="8" t="s">
        <v>67</v>
      </c>
      <c r="C11" s="8" t="s">
        <v>63</v>
      </c>
      <c r="D11" s="9">
        <v>52000</v>
      </c>
      <c r="E11" s="9">
        <v>8750</v>
      </c>
      <c r="F11" s="8">
        <v>6</v>
      </c>
      <c r="G11" s="8">
        <v>7</v>
      </c>
      <c r="H11" s="8">
        <v>1</v>
      </c>
      <c r="I11" s="8">
        <v>7</v>
      </c>
      <c r="J11" s="10">
        <f t="shared" si="0"/>
        <v>0.58333333333333337</v>
      </c>
      <c r="K11" s="11">
        <f t="shared" si="1"/>
        <v>89142.85714285713</v>
      </c>
      <c r="L11" s="11">
        <f t="shared" si="2"/>
        <v>14999.999999999998</v>
      </c>
      <c r="M11" s="11">
        <f t="shared" si="3"/>
        <v>104142.85714285713</v>
      </c>
      <c r="N11" s="11">
        <f t="shared" si="4"/>
        <v>60750</v>
      </c>
      <c r="O11" s="11">
        <f t="shared" si="5"/>
        <v>54000</v>
      </c>
      <c r="P11" s="12">
        <f>IF(AND(C11="F",M11&lt;O11,SUMIFS(Categories!$Z$5:$Z$7,Categories!$A$5:$A$7,B11)=1),1,0)</f>
        <v>0</v>
      </c>
      <c r="Q11" s="11">
        <f t="shared" si="6"/>
        <v>0</v>
      </c>
      <c r="R11" s="10">
        <f>IF(AND(P11=1,SUMIFS(Categories!$AA$5:$AA$7,Categories!$A$5:$A$7,B11)&gt;0),Q11/SUMIFS(Categories!$AA$5:$AA$7,Categories!$A$5:$A$7,B11),0)</f>
        <v>0</v>
      </c>
      <c r="S11" s="11">
        <f>R11*SUMIFS(Categories!$AB$5:$AB$7,Categories!$A$5:$A$7,B11)</f>
        <v>0</v>
      </c>
      <c r="T11" s="11">
        <f t="shared" si="7"/>
        <v>0</v>
      </c>
      <c r="U11" s="11">
        <f t="shared" si="8"/>
        <v>0</v>
      </c>
      <c r="V11" s="11">
        <f t="shared" si="9"/>
        <v>0</v>
      </c>
      <c r="W11" s="12">
        <f>IF(AND(C11="F",M11&lt;O11,SUMIFS(Categories!$AH$5:$AH$7,Categories!$A$5:$A$7,B11)=1),1,0)</f>
        <v>0</v>
      </c>
      <c r="X11" s="11">
        <f t="shared" si="10"/>
        <v>0</v>
      </c>
      <c r="Y11" s="10">
        <f>IF(AND(W11=1,SUMIFS(Categories!$AI$5:$AI$7,Categories!$A$5:$A$7,B11)&gt;0),X11/SUMIFS(Categories!$AI$5:$AI$7,Categories!$A$5:$A$7,B11),0)</f>
        <v>0</v>
      </c>
      <c r="Z11" s="11">
        <f>Y11*SUMIFS(Categories!$AJ$5:$AJ$7,Categories!$A$5:$A$7,B11)</f>
        <v>0</v>
      </c>
      <c r="AA11" s="11">
        <f t="shared" si="11"/>
        <v>0</v>
      </c>
      <c r="AB11" s="11">
        <f t="shared" si="12"/>
        <v>0</v>
      </c>
      <c r="AC11" s="11">
        <f t="shared" si="13"/>
        <v>0</v>
      </c>
      <c r="AD11" s="12">
        <f t="shared" si="14"/>
        <v>3</v>
      </c>
      <c r="AE11" s="12">
        <f t="shared" si="15"/>
        <v>3</v>
      </c>
      <c r="AF11" s="12">
        <f t="shared" si="16"/>
        <v>2</v>
      </c>
      <c r="AG11" s="12">
        <f t="shared" si="17"/>
        <v>2</v>
      </c>
    </row>
    <row r="12" spans="1:33" x14ac:dyDescent="0.3">
      <c r="A12" s="8" t="s">
        <v>70</v>
      </c>
      <c r="B12" s="8" t="s">
        <v>71</v>
      </c>
      <c r="C12" s="8" t="s">
        <v>61</v>
      </c>
      <c r="D12" s="9">
        <v>31000</v>
      </c>
      <c r="E12" s="9">
        <v>1200</v>
      </c>
      <c r="F12" s="8">
        <v>4</v>
      </c>
      <c r="G12" s="8">
        <v>4</v>
      </c>
      <c r="H12" s="8">
        <v>0.5</v>
      </c>
      <c r="I12" s="8">
        <v>12</v>
      </c>
      <c r="J12" s="10">
        <f t="shared" si="0"/>
        <v>0.5</v>
      </c>
      <c r="K12" s="11">
        <f t="shared" si="1"/>
        <v>62000</v>
      </c>
      <c r="L12" s="11">
        <f t="shared" si="2"/>
        <v>2400</v>
      </c>
      <c r="M12" s="11">
        <f t="shared" si="3"/>
        <v>64400</v>
      </c>
      <c r="N12" s="11">
        <f t="shared" si="4"/>
        <v>32200</v>
      </c>
      <c r="O12" s="11">
        <f t="shared" si="5"/>
        <v>35000</v>
      </c>
      <c r="P12" s="12">
        <f>IF(AND(C12="F",M12&lt;O12,SUMIFS(Categories!$Z$5:$Z$7,Categories!$A$5:$A$7,B12)=1),1,0)</f>
        <v>0</v>
      </c>
      <c r="Q12" s="11">
        <f t="shared" si="6"/>
        <v>0</v>
      </c>
      <c r="R12" s="10">
        <f>IF(AND(P12=1,SUMIFS(Categories!$AA$5:$AA$7,Categories!$A$5:$A$7,B12)&gt;0),Q12/SUMIFS(Categories!$AA$5:$AA$7,Categories!$A$5:$A$7,B12),0)</f>
        <v>0</v>
      </c>
      <c r="S12" s="11">
        <f>R12*SUMIFS(Categories!$AB$5:$AB$7,Categories!$A$5:$A$7,B12)</f>
        <v>0</v>
      </c>
      <c r="T12" s="11">
        <f t="shared" si="7"/>
        <v>0</v>
      </c>
      <c r="U12" s="11">
        <f t="shared" si="8"/>
        <v>0</v>
      </c>
      <c r="V12" s="11">
        <f t="shared" si="9"/>
        <v>0</v>
      </c>
      <c r="W12" s="12">
        <f>IF(AND(C12="F",M12&lt;O12,SUMIFS(Categories!$AH$5:$AH$7,Categories!$A$5:$A$7,B12)=1),1,0)</f>
        <v>0</v>
      </c>
      <c r="X12" s="11">
        <f t="shared" si="10"/>
        <v>0</v>
      </c>
      <c r="Y12" s="10">
        <f>IF(AND(W12=1,SUMIFS(Categories!$AI$5:$AI$7,Categories!$A$5:$A$7,B12)&gt;0),X12/SUMIFS(Categories!$AI$5:$AI$7,Categories!$A$5:$A$7,B12),0)</f>
        <v>0</v>
      </c>
      <c r="Z12" s="11">
        <f>Y12*SUMIFS(Categories!$AJ$5:$AJ$7,Categories!$A$5:$A$7,B12)</f>
        <v>0</v>
      </c>
      <c r="AA12" s="11">
        <f t="shared" si="11"/>
        <v>0</v>
      </c>
      <c r="AB12" s="11">
        <f t="shared" si="12"/>
        <v>0</v>
      </c>
      <c r="AC12" s="11">
        <f t="shared" si="13"/>
        <v>0</v>
      </c>
      <c r="AD12" s="12">
        <f t="shared" si="14"/>
        <v>3</v>
      </c>
      <c r="AE12" s="12">
        <f t="shared" si="15"/>
        <v>3</v>
      </c>
      <c r="AF12" s="12">
        <f t="shared" si="16"/>
        <v>2</v>
      </c>
      <c r="AG12" s="12">
        <f t="shared" si="17"/>
        <v>2</v>
      </c>
    </row>
    <row r="13" spans="1:33" x14ac:dyDescent="0.3">
      <c r="A13" s="8" t="s">
        <v>72</v>
      </c>
      <c r="B13" s="8" t="s">
        <v>71</v>
      </c>
      <c r="C13" s="8" t="s">
        <v>63</v>
      </c>
      <c r="D13" s="9">
        <v>33500</v>
      </c>
      <c r="E13" s="9">
        <v>1500</v>
      </c>
      <c r="F13" s="8">
        <v>4.5</v>
      </c>
      <c r="G13" s="8">
        <v>4</v>
      </c>
      <c r="H13" s="8">
        <v>1</v>
      </c>
      <c r="I13" s="8">
        <v>12</v>
      </c>
      <c r="J13" s="10">
        <f t="shared" si="0"/>
        <v>1</v>
      </c>
      <c r="K13" s="11">
        <f t="shared" si="1"/>
        <v>33500</v>
      </c>
      <c r="L13" s="11">
        <f t="shared" si="2"/>
        <v>1500</v>
      </c>
      <c r="M13" s="11">
        <f t="shared" si="3"/>
        <v>35000</v>
      </c>
      <c r="N13" s="11">
        <f t="shared" si="4"/>
        <v>35000</v>
      </c>
      <c r="O13" s="11">
        <f t="shared" si="5"/>
        <v>35000</v>
      </c>
      <c r="P13" s="12">
        <f>IF(AND(C13="F",M13&lt;O13,SUMIFS(Categories!$Z$5:$Z$7,Categories!$A$5:$A$7,B13)=1),1,0)</f>
        <v>0</v>
      </c>
      <c r="Q13" s="11">
        <f t="shared" si="6"/>
        <v>0</v>
      </c>
      <c r="R13" s="10">
        <f>IF(AND(P13=1,SUMIFS(Categories!$AA$5:$AA$7,Categories!$A$5:$A$7,B13)&gt;0),Q13/SUMIFS(Categories!$AA$5:$AA$7,Categories!$A$5:$A$7,B13),0)</f>
        <v>0</v>
      </c>
      <c r="S13" s="11">
        <f>R13*SUMIFS(Categories!$AB$5:$AB$7,Categories!$A$5:$A$7,B13)</f>
        <v>0</v>
      </c>
      <c r="T13" s="11">
        <f t="shared" si="7"/>
        <v>0</v>
      </c>
      <c r="U13" s="11">
        <f t="shared" si="8"/>
        <v>0</v>
      </c>
      <c r="V13" s="11">
        <f t="shared" si="9"/>
        <v>0</v>
      </c>
      <c r="W13" s="12">
        <f>IF(AND(C13="F",M13&lt;O13,SUMIFS(Categories!$AH$5:$AH$7,Categories!$A$5:$A$7,B13)=1),1,0)</f>
        <v>0</v>
      </c>
      <c r="X13" s="11">
        <f t="shared" si="10"/>
        <v>0</v>
      </c>
      <c r="Y13" s="10">
        <f>IF(AND(W13=1,SUMIFS(Categories!$AI$5:$AI$7,Categories!$A$5:$A$7,B13)&gt;0),X13/SUMIFS(Categories!$AI$5:$AI$7,Categories!$A$5:$A$7,B13),0)</f>
        <v>0</v>
      </c>
      <c r="Z13" s="11">
        <f>Y13*SUMIFS(Categories!$AJ$5:$AJ$7,Categories!$A$5:$A$7,B13)</f>
        <v>0</v>
      </c>
      <c r="AA13" s="11">
        <f t="shared" si="11"/>
        <v>0</v>
      </c>
      <c r="AB13" s="11">
        <f t="shared" si="12"/>
        <v>0</v>
      </c>
      <c r="AC13" s="11">
        <f t="shared" si="13"/>
        <v>0</v>
      </c>
      <c r="AD13" s="12">
        <f t="shared" si="14"/>
        <v>2</v>
      </c>
      <c r="AE13" s="12">
        <f t="shared" si="15"/>
        <v>3</v>
      </c>
      <c r="AF13" s="12">
        <f t="shared" si="16"/>
        <v>1</v>
      </c>
      <c r="AG13" s="12">
        <f t="shared" si="17"/>
        <v>1</v>
      </c>
    </row>
    <row r="14" spans="1:33" x14ac:dyDescent="0.3">
      <c r="A14" s="8" t="s">
        <v>73</v>
      </c>
      <c r="B14" s="8" t="s">
        <v>71</v>
      </c>
      <c r="C14" s="8" t="s">
        <v>61</v>
      </c>
      <c r="D14" s="9">
        <v>29000</v>
      </c>
      <c r="E14" s="9">
        <v>900</v>
      </c>
      <c r="F14" s="8">
        <v>1</v>
      </c>
      <c r="G14" s="8">
        <v>3</v>
      </c>
      <c r="H14" s="8">
        <v>1</v>
      </c>
      <c r="I14" s="8">
        <v>12</v>
      </c>
      <c r="J14" s="10">
        <f t="shared" si="0"/>
        <v>1</v>
      </c>
      <c r="K14" s="11">
        <f t="shared" si="1"/>
        <v>29000</v>
      </c>
      <c r="L14" s="11">
        <f t="shared" si="2"/>
        <v>900</v>
      </c>
      <c r="M14" s="11">
        <f t="shared" si="3"/>
        <v>29900</v>
      </c>
      <c r="N14" s="11">
        <f t="shared" si="4"/>
        <v>29900</v>
      </c>
      <c r="O14" s="11">
        <f t="shared" si="5"/>
        <v>35000</v>
      </c>
      <c r="P14" s="12">
        <f>IF(AND(C14="F",M14&lt;O14,SUMIFS(Categories!$Z$5:$Z$7,Categories!$A$5:$A$7,B14)=1),1,0)</f>
        <v>0</v>
      </c>
      <c r="Q14" s="11">
        <f t="shared" si="6"/>
        <v>0</v>
      </c>
      <c r="R14" s="10">
        <f>IF(AND(P14=1,SUMIFS(Categories!$AA$5:$AA$7,Categories!$A$5:$A$7,B14)&gt;0),Q14/SUMIFS(Categories!$AA$5:$AA$7,Categories!$A$5:$A$7,B14),0)</f>
        <v>0</v>
      </c>
      <c r="S14" s="11">
        <f>R14*SUMIFS(Categories!$AB$5:$AB$7,Categories!$A$5:$A$7,B14)</f>
        <v>0</v>
      </c>
      <c r="T14" s="11">
        <f t="shared" si="7"/>
        <v>0</v>
      </c>
      <c r="U14" s="11">
        <f t="shared" si="8"/>
        <v>0</v>
      </c>
      <c r="V14" s="11">
        <f t="shared" si="9"/>
        <v>0</v>
      </c>
      <c r="W14" s="12">
        <f>IF(AND(C14="F",M14&lt;O14,SUMIFS(Categories!$AH$5:$AH$7,Categories!$A$5:$A$7,B14)=1),1,0)</f>
        <v>0</v>
      </c>
      <c r="X14" s="11">
        <f t="shared" si="10"/>
        <v>0</v>
      </c>
      <c r="Y14" s="10">
        <f>IF(AND(W14=1,SUMIFS(Categories!$AI$5:$AI$7,Categories!$A$5:$A$7,B14)&gt;0),X14/SUMIFS(Categories!$AI$5:$AI$7,Categories!$A$5:$A$7,B14),0)</f>
        <v>0</v>
      </c>
      <c r="Z14" s="11">
        <f>Y14*SUMIFS(Categories!$AJ$5:$AJ$7,Categories!$A$5:$A$7,B14)</f>
        <v>0</v>
      </c>
      <c r="AA14" s="11">
        <f t="shared" si="11"/>
        <v>0</v>
      </c>
      <c r="AB14" s="11">
        <f t="shared" si="12"/>
        <v>0</v>
      </c>
      <c r="AC14" s="11">
        <f t="shared" si="13"/>
        <v>0</v>
      </c>
      <c r="AD14" s="12">
        <f t="shared" si="14"/>
        <v>1</v>
      </c>
      <c r="AE14" s="12">
        <f t="shared" si="15"/>
        <v>3</v>
      </c>
      <c r="AF14" s="12">
        <f t="shared" si="16"/>
        <v>1</v>
      </c>
      <c r="AG14" s="12">
        <f t="shared" si="17"/>
        <v>2</v>
      </c>
    </row>
  </sheetData>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K7"/>
  <sheetViews>
    <sheetView workbookViewId="0">
      <pane xSplit="1" ySplit="4" topLeftCell="B5" activePane="bottomRight" state="frozen"/>
      <selection pane="topRight"/>
      <selection pane="bottomLeft"/>
      <selection pane="bottomRight"/>
    </sheetView>
  </sheetViews>
  <sheetFormatPr defaultRowHeight="14.4" x14ac:dyDescent="0.3"/>
  <cols>
    <col min="1" max="1" width="18" customWidth="1"/>
    <col min="2" max="2" width="10" customWidth="1"/>
    <col min="3" max="4" width="7" customWidth="1"/>
    <col min="5" max="63" width="12" customWidth="1"/>
  </cols>
  <sheetData>
    <row r="1" spans="1:63" ht="17.399999999999999" x14ac:dyDescent="0.35">
      <c r="A1" s="1" t="s">
        <v>74</v>
      </c>
    </row>
    <row r="2" spans="1:63" x14ac:dyDescent="0.3">
      <c r="A2" s="2" t="s">
        <v>75</v>
      </c>
    </row>
    <row r="4" spans="1:63" ht="30" customHeight="1" x14ac:dyDescent="0.3">
      <c r="A4" s="3" t="s">
        <v>27</v>
      </c>
      <c r="B4" s="3" t="s">
        <v>76</v>
      </c>
      <c r="C4" s="3" t="s">
        <v>77</v>
      </c>
      <c r="D4" s="3" t="s">
        <v>78</v>
      </c>
      <c r="E4" s="3" t="s">
        <v>79</v>
      </c>
      <c r="F4" s="3" t="s">
        <v>80</v>
      </c>
      <c r="G4" s="3" t="s">
        <v>81</v>
      </c>
      <c r="H4" s="3" t="s">
        <v>82</v>
      </c>
      <c r="I4" s="3" t="s">
        <v>83</v>
      </c>
      <c r="J4" s="3" t="s">
        <v>84</v>
      </c>
      <c r="K4" s="3" t="s">
        <v>85</v>
      </c>
      <c r="L4" s="3" t="s">
        <v>86</v>
      </c>
      <c r="M4" s="3" t="s">
        <v>87</v>
      </c>
      <c r="N4" s="3" t="s">
        <v>88</v>
      </c>
      <c r="O4" s="3" t="s">
        <v>89</v>
      </c>
      <c r="P4" s="3" t="s">
        <v>90</v>
      </c>
      <c r="Q4" s="3" t="s">
        <v>91</v>
      </c>
      <c r="R4" s="3" t="s">
        <v>92</v>
      </c>
      <c r="S4" s="3" t="s">
        <v>93</v>
      </c>
      <c r="T4" s="3" t="s">
        <v>94</v>
      </c>
      <c r="U4" s="3" t="s">
        <v>95</v>
      </c>
      <c r="V4" s="3" t="s">
        <v>96</v>
      </c>
      <c r="W4" s="3" t="s">
        <v>97</v>
      </c>
      <c r="X4" s="3" t="s">
        <v>98</v>
      </c>
      <c r="Y4" s="3" t="s">
        <v>99</v>
      </c>
      <c r="Z4" s="3" t="s">
        <v>100</v>
      </c>
      <c r="AA4" s="3" t="s">
        <v>101</v>
      </c>
      <c r="AB4" s="3" t="s">
        <v>102</v>
      </c>
      <c r="AC4" s="3" t="s">
        <v>103</v>
      </c>
      <c r="AD4" s="3" t="s">
        <v>46</v>
      </c>
      <c r="AE4" s="3" t="s">
        <v>47</v>
      </c>
      <c r="AF4" s="3" t="s">
        <v>41</v>
      </c>
      <c r="AG4" s="3" t="s">
        <v>104</v>
      </c>
      <c r="AH4" s="3" t="s">
        <v>105</v>
      </c>
      <c r="AI4" s="3" t="s">
        <v>106</v>
      </c>
      <c r="AJ4" s="3" t="s">
        <v>107</v>
      </c>
      <c r="AK4" s="3" t="s">
        <v>108</v>
      </c>
      <c r="AL4" s="3" t="s">
        <v>53</v>
      </c>
      <c r="AM4" s="3" t="s">
        <v>54</v>
      </c>
      <c r="AN4" s="3" t="s">
        <v>48</v>
      </c>
      <c r="AO4" s="3" t="s">
        <v>109</v>
      </c>
      <c r="AP4" s="3" t="s">
        <v>110</v>
      </c>
      <c r="AQ4" s="3" t="s">
        <v>111</v>
      </c>
      <c r="AR4" s="3"/>
      <c r="AS4" s="3"/>
      <c r="AT4" s="3"/>
      <c r="AU4" s="3"/>
      <c r="AV4" s="3"/>
      <c r="AW4" s="3"/>
      <c r="AX4" s="3"/>
      <c r="AY4" s="3"/>
      <c r="AZ4" s="3"/>
      <c r="BA4" s="3" t="s">
        <v>112</v>
      </c>
      <c r="BB4" s="3" t="s">
        <v>113</v>
      </c>
      <c r="BC4" s="3" t="s">
        <v>114</v>
      </c>
      <c r="BD4" s="3" t="s">
        <v>115</v>
      </c>
      <c r="BE4" s="3" t="s">
        <v>116</v>
      </c>
      <c r="BF4" s="3" t="s">
        <v>117</v>
      </c>
      <c r="BG4" s="3" t="s">
        <v>118</v>
      </c>
      <c r="BH4" s="3" t="s">
        <v>119</v>
      </c>
      <c r="BI4" s="3" t="s">
        <v>120</v>
      </c>
      <c r="BJ4" s="3" t="s">
        <v>121</v>
      </c>
      <c r="BK4" s="3" t="s">
        <v>122</v>
      </c>
    </row>
    <row r="5" spans="1:63" x14ac:dyDescent="0.3">
      <c r="A5" s="8" t="s">
        <v>60</v>
      </c>
      <c r="B5" s="12">
        <f>COUNTIF(Data!$B$5:$B$14,$A5)</f>
        <v>4</v>
      </c>
      <c r="C5" s="12">
        <f>COUNTIFS(Data!$B$5:$B$14,$A5,Data!$C$5:$C$14,"F")</f>
        <v>2</v>
      </c>
      <c r="D5" s="12">
        <f>COUNTIFS(Data!$B$5:$B$14,$A5,Data!$C$5:$C$14,"M")</f>
        <v>2</v>
      </c>
      <c r="E5" s="11">
        <f>IF(D5=0,0,AVERAGEIFS(Data!$M$5:$M$14,Data!$B$5:$B$14,$A5,Data!$C$5:$C$14,"M"))</f>
        <v>76850</v>
      </c>
      <c r="F5" s="11">
        <f>IF(C5=0,0,AVERAGEIFS(Data!$M$5:$M$14,Data!$B$5:$B$14,$A5,Data!$C$5:$C$14,"F"))</f>
        <v>62750</v>
      </c>
      <c r="G5" s="11">
        <f>IF(B5=0,0,SUMIFS(Data!$O$5:$O$14,Data!$B$5:$B$14,$A5,Data!$AD$5:$AD$14,1))</f>
        <v>66850</v>
      </c>
      <c r="H5" s="13">
        <f>IF(OR(E5&lt;=0,C5=0,D5=0),0,(E5-F5)/E5*100)</f>
        <v>18.347430058555627</v>
      </c>
      <c r="I5" s="11">
        <f>IF(D5=0,0,(SUMIFS(Data!$M$5:$M$14,Data!$B$5:$B$14,$A5,Data!$C$5:$C$14,"M",Data!$AF$5:$AF$14,INT((D5+1)/2))+SUMIFS(Data!$M$5:$M$14,Data!$B$5:$B$14,$A5,Data!$C$5:$C$14,"M",Data!$AF$5:$AF$14,INT(D5/2)+1))/2)</f>
        <v>76850</v>
      </c>
      <c r="J5" s="11">
        <f>IF(C5=0,0,(SUMIFS(Data!$M$5:$M$14,Data!$B$5:$B$14,$A5,Data!$C$5:$C$14,"F",Data!$AF$5:$AF$14,INT((C5+1)/2))+SUMIFS(Data!$M$5:$M$14,Data!$B$5:$B$14,$A5,Data!$C$5:$C$14,"F",Data!$AF$5:$AF$14,INT(C5/2)+1))/2)</f>
        <v>62750</v>
      </c>
      <c r="K5" s="13">
        <f>IF(OR(I5&lt;=0,C5=0,D5=0),0,(I5-J5)/I5*100)</f>
        <v>18.347430058555627</v>
      </c>
      <c r="L5" s="11">
        <f>IF(D5=0,0,AVERAGEIFS(Data!$L$5:$L$14,Data!$B$5:$B$14,$A5,Data!$C$5:$C$14,"M"))</f>
        <v>11600</v>
      </c>
      <c r="M5" s="11">
        <f>IF(C5=0,0,AVERAGEIFS(Data!$L$5:$L$14,Data!$B$5:$B$14,$A5,Data!$C$5:$C$14,"F"))</f>
        <v>5750</v>
      </c>
      <c r="N5" s="13">
        <f>IF(OR(L5&lt;=0,C5=0,D5=0),0,(L5-M5)/L5*100)</f>
        <v>50.431034482758619</v>
      </c>
      <c r="O5" s="11">
        <f>IF(D5=0,0,AVERAGEIFS(Data!$K$5:$K$14,Data!$B$5:$B$14,$A5,Data!$C$5:$C$14,"M"))</f>
        <v>65250</v>
      </c>
      <c r="P5" s="11">
        <f>IF(C5=0,0,AVERAGEIFS(Data!$K$5:$K$14,Data!$B$5:$B$14,$A5,Data!$C$5:$C$14,"F"))</f>
        <v>57000</v>
      </c>
      <c r="Q5" s="13">
        <f>IF(OR(O5&lt;=0,C5=0,D5=0),0,(O5-P5)/O5*100)</f>
        <v>12.643678160919542</v>
      </c>
      <c r="R5" s="10">
        <f>IF(B5&lt;2,0,SUMPRODUCT((Data!$B$5:$B$14=$A5)*Data!$G$5:$G$14*Data!$G$5:$G$14)/B5-(SUMIFS(Data!$G$5:$G$14,Data!$B$5:$B$14,$A5)/B5)^2)</f>
        <v>1.1875</v>
      </c>
      <c r="S5" s="10">
        <f>IF(B5&lt;2,0,SUMPRODUCT((Data!$B$5:$B$14=$A5)*Data!$F$5:$F$14*Data!$F$5:$F$14)/B5-(SUMIFS(Data!$F$5:$F$14,Data!$B$5:$B$14,$A5)/B5)^2)</f>
        <v>5.625</v>
      </c>
      <c r="T5" s="12">
        <f>IF(AND(B5&gt;=4,R5&gt;0.000000001,S5&gt;0.000000001),1,0)</f>
        <v>1</v>
      </c>
      <c r="U5" s="11">
        <f>IF(OR(T5=0,ABS(BK5)&lt;0.000000001),0,((BH5-BB5*BD5/B5)*(BF5-BC5^2/B5)-(BI5-BC5*BD5/B5)*(BG5-BB5*BC5/B5))/BK5)</f>
        <v>4145.454545454545</v>
      </c>
      <c r="V5" s="11">
        <f>IF(OR(T5=0,ABS(BK5)&lt;0.000000001),0,((BI5-BC5*BD5/B5)*(BE5-BB5^2/B5)-(BH5-BB5*BD5/B5)*(BG5-BB5*BC5/B5))/BK5)</f>
        <v>1550.909090909091</v>
      </c>
      <c r="W5" s="10">
        <f>IF(OR(T5=0,ABS(BK5)&lt;0.000000001,(BJ5-BD5^2/B5)&lt;0.000000001),"",(U5*(BH5-BB5*BD5/B5)+V5*(BI5-BC5*BD5/B5))/(BJ5-BD5^2/B5))</f>
        <v>0.77339782635294374</v>
      </c>
      <c r="X5" s="13">
        <f>IF(H5&gt;=0,MAX(0,MIN(IF(OR(T5=0,E5&lt;=0),0,(U5*(IF(D5=0,0,AVERAGEIFS(Data!$G$5:$G$14,Data!$B$5:$B$14,$A5,Data!$C$5:$C$14,"M"))-IF(C5=0,0,AVERAGEIFS(Data!$G$5:$G$14,Data!$B$5:$B$14,$A5,Data!$C$5:$C$14,"F")))+V5*(IF(D5=0,0,AVERAGEIFS(Data!$F$5:$F$14,Data!$B$5:$B$14,$A5,Data!$C$5:$C$14,"M"))-IF(C5=0,0,AVERAGEIFS(Data!$F$5:$F$14,Data!$B$5:$B$14,$A5,Data!$C$5:$C$14,"F"))))/E5*100),H5)),MIN(0,MAX(IF(OR(T5=0,E5&lt;=0),0,(U5*(IF(D5=0,0,AVERAGEIFS(Data!$G$5:$G$14,Data!$B$5:$B$14,$A5,Data!$C$5:$C$14,"M"))-IF(C5=0,0,AVERAGEIFS(Data!$G$5:$G$14,Data!$B$5:$B$14,$A5,Data!$C$5:$C$14,"F")))+V5*(IF(D5=0,0,AVERAGEIFS(Data!$F$5:$F$14,Data!$B$5:$B$14,$A5,Data!$C$5:$C$14,"M"))-IF(C5=0,0,AVERAGEIFS(Data!$F$5:$F$14,Data!$B$5:$B$14,$A5,Data!$C$5:$C$14,"F"))))/E5*100),H5)))</f>
        <v>16.163719169574733</v>
      </c>
      <c r="Y5" s="13">
        <f>H5-X5</f>
        <v>2.1837108889808938</v>
      </c>
      <c r="Z5" s="12">
        <f>IF(AND(H5&gt;=0,Y5&gt;threshold_pct),1,0)</f>
        <v>0</v>
      </c>
      <c r="AA5" s="11">
        <f>IF(Z5=0,0,SUMIFS(Data!$Q$5:$Q$14,Data!$B$5:$B$14,$A5))</f>
        <v>0</v>
      </c>
      <c r="AB5" s="11">
        <f>IF(Z5=0,0,(Y5-threshold_pct)/100*E5*C5)</f>
        <v>0</v>
      </c>
      <c r="AC5" s="11">
        <f>SUMIFS(Data!$T$5:$T$14,Data!$B$5:$B$14,$A5)</f>
        <v>0</v>
      </c>
      <c r="AD5" s="11">
        <f>SUMIFS(Data!$U$5:$U$14,Data!$B$5:$B$14,$A5)</f>
        <v>0</v>
      </c>
      <c r="AE5" s="11">
        <f>AC5+AD5</f>
        <v>0</v>
      </c>
      <c r="AF5" s="12">
        <f>SUMIFS(Data!$P$5:$P$14,Data!$B$5:$B$14,$A5)</f>
        <v>0</v>
      </c>
      <c r="AG5" s="13">
        <f>IF(E5&lt;=0,0,(E5-(IF(C5=0,0,AVERAGEIFS(Data!$M$5:$M$14,Data!$B$5:$B$14,$A5,Data!$C$5:$C$14,"F"))+IF(C5=0,0,SUMIFS(Data!$S$5:$S$14,Data!$B$5:$B$14,$A5,Data!$C$5:$C$14,"F")/C5)))/E5*100-X5)</f>
        <v>2.1837108889808938</v>
      </c>
      <c r="AH5" s="12">
        <f>IF(AND(H5&gt;=0,Y5&gt;0),1,0)</f>
        <v>1</v>
      </c>
      <c r="AI5" s="11">
        <f>IF(AH5=0,0,SUMIFS(Data!$X$5:$X$14,Data!$B$5:$B$14,$A5))</f>
        <v>8200</v>
      </c>
      <c r="AJ5" s="11">
        <f>IF(AH5=0,0,Y5/100*E5*C5)</f>
        <v>3356.3636363636338</v>
      </c>
      <c r="AK5" s="11">
        <f>SUMIFS(Data!$AA$5:$AA$14,Data!$B$5:$B$14,$A5)</f>
        <v>3204.9179600886896</v>
      </c>
      <c r="AL5" s="11">
        <f>SUMIFS(Data!$AB$5:$AB$14,Data!$B$5:$B$14,$A5)</f>
        <v>1009.5491574279372</v>
      </c>
      <c r="AM5" s="11">
        <f>AK5+AL5</f>
        <v>4214.4671175166268</v>
      </c>
      <c r="AN5" s="12">
        <f>SUMIFS(Data!$W$5:$W$14,Data!$B$5:$B$14,$A5)</f>
        <v>2</v>
      </c>
      <c r="AO5" s="13">
        <f>IF(E5&lt;=0,0,(E5-(IF(C5=0,0,AVERAGEIFS(Data!$M$5:$M$14,Data!$B$5:$B$14,$A5,Data!$C$5:$C$14,"F"))+IF(C5=0,0,SUMIFS(Data!$Z$5:$Z$14,Data!$B$5:$B$14,$A5,Data!$C$5:$C$14,"F")/C5)))/E5*100-X5)</f>
        <v>3.5527136788005009E-15</v>
      </c>
      <c r="AP5" s="12">
        <f>IF(OR(B5&lt;10,C5&lt;3,D5&lt;3),1,0)</f>
        <v>1</v>
      </c>
      <c r="AQ5" s="12">
        <f>IF(H5&lt;0,1,0)</f>
        <v>0</v>
      </c>
      <c r="BA5" s="10">
        <f>B5</f>
        <v>4</v>
      </c>
      <c r="BB5" s="10">
        <f>SUMIFS(Data!$G$5:$G$14,Data!$B$5:$B$14,$A5)</f>
        <v>25</v>
      </c>
      <c r="BC5" s="10">
        <f>SUMIFS(Data!$F$5:$F$14,Data!$B$5:$B$14,$A5)</f>
        <v>18</v>
      </c>
      <c r="BD5" s="10">
        <f>SUMIFS(Data!$M$5:$M$14,Data!$B$5:$B$14,$A5)</f>
        <v>279200</v>
      </c>
      <c r="BE5" s="10">
        <f>SUMPRODUCT((Data!$B$5:$B$14=$A5)*Data!$G$5:$G$14*Data!$G$5:$G$14)</f>
        <v>161</v>
      </c>
      <c r="BF5" s="10">
        <f>SUMPRODUCT((Data!$B$5:$B$14=$A5)*Data!$F$5:$F$14*Data!$F$5:$F$14)</f>
        <v>103.5</v>
      </c>
      <c r="BG5" s="10">
        <f>SUMPRODUCT((Data!$B$5:$B$14=$A5)*Data!$G$5:$G$14*Data!$F$5:$F$14)</f>
        <v>122.5</v>
      </c>
      <c r="BH5" s="10">
        <f>SUMPRODUCT((Data!$B$5:$B$14=$A5)*Data!$G$5:$G$14*Data!$M$5:$M$14)</f>
        <v>1780200</v>
      </c>
      <c r="BI5" s="10">
        <f>SUMPRODUCT((Data!$B$5:$B$14=$A5)*Data!$F$5:$F$14*Data!$M$5:$M$14)</f>
        <v>1332750</v>
      </c>
      <c r="BJ5" s="10">
        <f>SUMPRODUCT((Data!$B$5:$B$14=$A5)*Data!$M$5:$M$14*Data!$M$5:$M$14)</f>
        <v>19829940000</v>
      </c>
      <c r="BK5" s="10">
        <f>IF(T5=0,0,((BE5-BB5^2/B5)*(BF5-BC5^2/B5)-(BG5-BB5*BC5/B5)^2))</f>
        <v>6.875</v>
      </c>
    </row>
    <row r="6" spans="1:63" x14ac:dyDescent="0.3">
      <c r="A6" s="8" t="s">
        <v>67</v>
      </c>
      <c r="B6" s="12">
        <f>COUNTIF(Data!$B$5:$B$14,$A6)</f>
        <v>3</v>
      </c>
      <c r="C6" s="12">
        <f>COUNTIFS(Data!$B$5:$B$14,$A6,Data!$C$5:$C$14,"F")</f>
        <v>1</v>
      </c>
      <c r="D6" s="12">
        <f>COUNTIFS(Data!$B$5:$B$14,$A6,Data!$C$5:$C$14,"M")</f>
        <v>2</v>
      </c>
      <c r="E6" s="11">
        <f>IF(D6=0,0,AVERAGEIFS(Data!$M$5:$M$14,Data!$B$5:$B$14,$A6,Data!$C$5:$C$14,"M"))</f>
        <v>79071.428571428565</v>
      </c>
      <c r="F6" s="11">
        <f>IF(C6=0,0,AVERAGEIFS(Data!$M$5:$M$14,Data!$B$5:$B$14,$A6,Data!$C$5:$C$14,"F"))</f>
        <v>48000</v>
      </c>
      <c r="G6" s="11">
        <f>IF(B6=0,0,SUMIFS(Data!$O$5:$O$14,Data!$B$5:$B$14,$A6,Data!$AD$5:$AD$14,1))</f>
        <v>54000</v>
      </c>
      <c r="H6" s="13">
        <f>IF(OR(E6&lt;=0,C6=0,D6=0),0,(E6-F6)/E6*100)</f>
        <v>39.295392953929536</v>
      </c>
      <c r="I6" s="11">
        <f>IF(D6=0,0,(SUMIFS(Data!$M$5:$M$14,Data!$B$5:$B$14,$A6,Data!$C$5:$C$14,"M",Data!$AF$5:$AF$14,INT((D6+1)/2))+SUMIFS(Data!$M$5:$M$14,Data!$B$5:$B$14,$A6,Data!$C$5:$C$14,"M",Data!$AF$5:$AF$14,INT(D6/2)+1))/2)</f>
        <v>79071.428571428565</v>
      </c>
      <c r="J6" s="11">
        <f>IF(C6=0,0,(SUMIFS(Data!$M$5:$M$14,Data!$B$5:$B$14,$A6,Data!$C$5:$C$14,"F",Data!$AF$5:$AF$14,INT((C6+1)/2))+SUMIFS(Data!$M$5:$M$14,Data!$B$5:$B$14,$A6,Data!$C$5:$C$14,"F",Data!$AF$5:$AF$14,INT(C6/2)+1))/2)</f>
        <v>48000</v>
      </c>
      <c r="K6" s="13">
        <f>IF(OR(I6&lt;=0,C6=0,D6=0),0,(I6-J6)/I6*100)</f>
        <v>39.295392953929536</v>
      </c>
      <c r="L6" s="11">
        <f>IF(D6=0,0,AVERAGEIFS(Data!$L$5:$L$14,Data!$B$5:$B$14,$A6,Data!$C$5:$C$14,"M"))</f>
        <v>13250</v>
      </c>
      <c r="M6" s="11">
        <f>IF(C6=0,0,AVERAGEIFS(Data!$L$5:$L$14,Data!$B$5:$B$14,$A6,Data!$C$5:$C$14,"F"))</f>
        <v>7000</v>
      </c>
      <c r="N6" s="13">
        <f>IF(OR(L6&lt;=0,C6=0,D6=0),0,(L6-M6)/L6*100)</f>
        <v>47.169811320754718</v>
      </c>
      <c r="O6" s="11">
        <f>IF(D6=0,0,AVERAGEIFS(Data!$K$5:$K$14,Data!$B$5:$B$14,$A6,Data!$C$5:$C$14,"M"))</f>
        <v>65821.428571428565</v>
      </c>
      <c r="P6" s="11">
        <f>IF(C6=0,0,AVERAGEIFS(Data!$K$5:$K$14,Data!$B$5:$B$14,$A6,Data!$C$5:$C$14,"F"))</f>
        <v>41000</v>
      </c>
      <c r="Q6" s="13">
        <f>IF(OR(O6&lt;=0,C6=0,D6=0),0,(O6-P6)/O6*100)</f>
        <v>37.710255018990765</v>
      </c>
      <c r="R6" s="10">
        <f>IF(B6&lt;2,0,SUMPRODUCT((Data!$B$5:$B$14=$A6)*Data!$G$5:$G$14*Data!$G$5:$G$14)/B6-(SUMIFS(Data!$G$5:$G$14,Data!$B$5:$B$14,$A6)/B6)^2)</f>
        <v>0.88888888888888573</v>
      </c>
      <c r="S6" s="10">
        <f>IF(B6&lt;2,0,SUMPRODUCT((Data!$B$5:$B$14=$A6)*Data!$F$5:$F$14*Data!$F$5:$F$14)/B6-(SUMIFS(Data!$F$5:$F$14,Data!$B$5:$B$14,$A6)/B6)^2)</f>
        <v>3.1666666666666661</v>
      </c>
      <c r="T6" s="12">
        <f>IF(AND(B6&gt;=4,R6&gt;0.000000001,S6&gt;0.000000001),1,0)</f>
        <v>0</v>
      </c>
      <c r="U6" s="11">
        <f>IF(OR(T6=0,ABS(BK6)&lt;0.000000001),0,((BH6-BB6*BD6/B6)*(BF6-BC6^2/B6)-(BI6-BC6*BD6/B6)*(BG6-BB6*BC6/B6))/BK6)</f>
        <v>0</v>
      </c>
      <c r="V6" s="11">
        <f>IF(OR(T6=0,ABS(BK6)&lt;0.000000001),0,((BI6-BC6*BD6/B6)*(BE6-BB6^2/B6)-(BH6-BB6*BD6/B6)*(BG6-BB6*BC6/B6))/BK6)</f>
        <v>0</v>
      </c>
      <c r="W6" s="10" t="str">
        <f>IF(OR(T6=0,ABS(BK6)&lt;0.000000001,(BJ6-BD6^2/B6)&lt;0.000000001),"",(U6*(BH6-BB6*BD6/B6)+V6*(BI6-BC6*BD6/B6))/(BJ6-BD6^2/B6))</f>
        <v/>
      </c>
      <c r="X6" s="13">
        <f>IF(H6&gt;=0,MAX(0,MIN(IF(OR(T6=0,E6&lt;=0),0,(U6*(IF(D6=0,0,AVERAGEIFS(Data!$G$5:$G$14,Data!$B$5:$B$14,$A6,Data!$C$5:$C$14,"M"))-IF(C6=0,0,AVERAGEIFS(Data!$G$5:$G$14,Data!$B$5:$B$14,$A6,Data!$C$5:$C$14,"F")))+V6*(IF(D6=0,0,AVERAGEIFS(Data!$F$5:$F$14,Data!$B$5:$B$14,$A6,Data!$C$5:$C$14,"M"))-IF(C6=0,0,AVERAGEIFS(Data!$F$5:$F$14,Data!$B$5:$B$14,$A6,Data!$C$5:$C$14,"F"))))/E6*100),H6)),MIN(0,MAX(IF(OR(T6=0,E6&lt;=0),0,(U6*(IF(D6=0,0,AVERAGEIFS(Data!$G$5:$G$14,Data!$B$5:$B$14,$A6,Data!$C$5:$C$14,"M"))-IF(C6=0,0,AVERAGEIFS(Data!$G$5:$G$14,Data!$B$5:$B$14,$A6,Data!$C$5:$C$14,"F")))+V6*(IF(D6=0,0,AVERAGEIFS(Data!$F$5:$F$14,Data!$B$5:$B$14,$A6,Data!$C$5:$C$14,"M"))-IF(C6=0,0,AVERAGEIFS(Data!$F$5:$F$14,Data!$B$5:$B$14,$A6,Data!$C$5:$C$14,"F"))))/E6*100),H6)))</f>
        <v>0</v>
      </c>
      <c r="Y6" s="13">
        <f>H6-X6</f>
        <v>39.295392953929536</v>
      </c>
      <c r="Z6" s="12">
        <f>IF(AND(H6&gt;=0,Y6&gt;threshold_pct),1,0)</f>
        <v>1</v>
      </c>
      <c r="AA6" s="11">
        <f>IF(Z6=0,0,SUMIFS(Data!$Q$5:$Q$14,Data!$B$5:$B$14,$A6))</f>
        <v>6000</v>
      </c>
      <c r="AB6" s="11">
        <f>IF(Z6=0,0,(Y6-threshold_pct)/100*E6*C6)</f>
        <v>27117.857142857138</v>
      </c>
      <c r="AC6" s="11">
        <f>SUMIFS(Data!$T$5:$T$14,Data!$B$5:$B$14,$A6)</f>
        <v>27117.857142857138</v>
      </c>
      <c r="AD6" s="11">
        <f>SUMIFS(Data!$U$5:$U$14,Data!$B$5:$B$14,$A6)</f>
        <v>6446.804357142857</v>
      </c>
      <c r="AE6" s="11">
        <f>AC6+AD6</f>
        <v>33564.661499999995</v>
      </c>
      <c r="AF6" s="12">
        <f>SUMIFS(Data!$P$5:$P$14,Data!$B$5:$B$14,$A6)</f>
        <v>1</v>
      </c>
      <c r="AG6" s="13">
        <f>IF(E6&lt;=0,0,(E6-(IF(C6=0,0,AVERAGEIFS(Data!$M$5:$M$14,Data!$B$5:$B$14,$A6,Data!$C$5:$C$14,"F"))+IF(C6=0,0,SUMIFS(Data!$S$5:$S$14,Data!$B$5:$B$14,$A6,Data!$C$5:$C$14,"F")/C6)))/E6*100-X6)</f>
        <v>5.0000000000000089</v>
      </c>
      <c r="AH6" s="12">
        <f>IF(AND(H6&gt;=0,Y6&gt;0),1,0)</f>
        <v>1</v>
      </c>
      <c r="AI6" s="11">
        <f>IF(AH6=0,0,SUMIFS(Data!$X$5:$X$14,Data!$B$5:$B$14,$A6))</f>
        <v>6000</v>
      </c>
      <c r="AJ6" s="11">
        <f>IF(AH6=0,0,Y6/100*E6*C6)</f>
        <v>31071.428571428565</v>
      </c>
      <c r="AK6" s="11">
        <f>SUMIFS(Data!$AA$5:$AA$14,Data!$B$5:$B$14,$A6)</f>
        <v>31071.428571428565</v>
      </c>
      <c r="AL6" s="11">
        <f>SUMIFS(Data!$AB$5:$AB$14,Data!$B$5:$B$14,$A6)</f>
        <v>6492.2704285714281</v>
      </c>
      <c r="AM6" s="11">
        <f>AK6+AL6</f>
        <v>37563.698999999993</v>
      </c>
      <c r="AN6" s="12">
        <f>SUMIFS(Data!$W$5:$W$14,Data!$B$5:$B$14,$A6)</f>
        <v>1</v>
      </c>
      <c r="AO6" s="13">
        <f>IF(E6&lt;=0,0,(E6-(IF(C6=0,0,AVERAGEIFS(Data!$M$5:$M$14,Data!$B$5:$B$14,$A6,Data!$C$5:$C$14,"F"))+IF(C6=0,0,SUMIFS(Data!$Z$5:$Z$14,Data!$B$5:$B$14,$A6,Data!$C$5:$C$14,"F")/C6)))/E6*100-X6)</f>
        <v>0</v>
      </c>
      <c r="AP6" s="12">
        <f>IF(OR(B6&lt;10,C6&lt;3,D6&lt;3),1,0)</f>
        <v>1</v>
      </c>
      <c r="AQ6" s="12">
        <f>IF(H6&lt;0,1,0)</f>
        <v>0</v>
      </c>
      <c r="BA6" s="10">
        <f>B6</f>
        <v>3</v>
      </c>
      <c r="BB6" s="10">
        <f>SUMIFS(Data!$G$5:$G$14,Data!$B$5:$B$14,$A6)</f>
        <v>17</v>
      </c>
      <c r="BC6" s="10">
        <f>SUMIFS(Data!$F$5:$F$14,Data!$B$5:$B$14,$A6)</f>
        <v>10.5</v>
      </c>
      <c r="BD6" s="10">
        <f>SUMIFS(Data!$M$5:$M$14,Data!$B$5:$B$14,$A6)</f>
        <v>206142.85714285713</v>
      </c>
      <c r="BE6" s="10">
        <f>SUMPRODUCT((Data!$B$5:$B$14=$A6)*Data!$G$5:$G$14*Data!$G$5:$G$14)</f>
        <v>99</v>
      </c>
      <c r="BF6" s="10">
        <f>SUMPRODUCT((Data!$B$5:$B$14=$A6)*Data!$F$5:$F$14*Data!$F$5:$F$14)</f>
        <v>46.25</v>
      </c>
      <c r="BG6" s="10">
        <f>SUMPRODUCT((Data!$B$5:$B$14=$A6)*Data!$G$5:$G$14*Data!$F$5:$F$14)</f>
        <v>64.5</v>
      </c>
      <c r="BH6" s="10">
        <f>SUMPRODUCT((Data!$B$5:$B$14=$A6)*Data!$G$5:$G$14*Data!$M$5:$M$14)</f>
        <v>1239000</v>
      </c>
      <c r="BI6" s="10">
        <f>SUMPRODUCT((Data!$B$5:$B$14=$A6)*Data!$F$5:$F$14*Data!$M$5:$M$14)</f>
        <v>855857.14285714272</v>
      </c>
      <c r="BJ6" s="10">
        <f>SUMPRODUCT((Data!$B$5:$B$14=$A6)*Data!$M$5:$M$14*Data!$M$5:$M$14)</f>
        <v>16065734693.877548</v>
      </c>
      <c r="BK6" s="10">
        <f>IF(T6=0,0,((BE6-BB6^2/B6)*(BF6-BC6^2/B6)-(BG6-BB6*BC6/B6)^2))</f>
        <v>0</v>
      </c>
    </row>
    <row r="7" spans="1:63" x14ac:dyDescent="0.3">
      <c r="A7" s="8" t="s">
        <v>71</v>
      </c>
      <c r="B7" s="12">
        <f>COUNTIF(Data!$B$5:$B$14,$A7)</f>
        <v>3</v>
      </c>
      <c r="C7" s="12">
        <f>COUNTIFS(Data!$B$5:$B$14,$A7,Data!$C$5:$C$14,"F")</f>
        <v>2</v>
      </c>
      <c r="D7" s="12">
        <f>COUNTIFS(Data!$B$5:$B$14,$A7,Data!$C$5:$C$14,"M")</f>
        <v>1</v>
      </c>
      <c r="E7" s="11">
        <f>IF(D7=0,0,AVERAGEIFS(Data!$M$5:$M$14,Data!$B$5:$B$14,$A7,Data!$C$5:$C$14,"M"))</f>
        <v>35000</v>
      </c>
      <c r="F7" s="11">
        <f>IF(C7=0,0,AVERAGEIFS(Data!$M$5:$M$14,Data!$B$5:$B$14,$A7,Data!$C$5:$C$14,"F"))</f>
        <v>47150</v>
      </c>
      <c r="G7" s="11">
        <f>IF(B7=0,0,SUMIFS(Data!$O$5:$O$14,Data!$B$5:$B$14,$A7,Data!$AD$5:$AD$14,1))</f>
        <v>35000</v>
      </c>
      <c r="H7" s="13">
        <f>IF(OR(E7&lt;=0,C7=0,D7=0),0,(E7-F7)/E7*100)</f>
        <v>-34.714285714285715</v>
      </c>
      <c r="I7" s="11">
        <f>IF(D7=0,0,(SUMIFS(Data!$M$5:$M$14,Data!$B$5:$B$14,$A7,Data!$C$5:$C$14,"M",Data!$AF$5:$AF$14,INT((D7+1)/2))+SUMIFS(Data!$M$5:$M$14,Data!$B$5:$B$14,$A7,Data!$C$5:$C$14,"M",Data!$AF$5:$AF$14,INT(D7/2)+1))/2)</f>
        <v>35000</v>
      </c>
      <c r="J7" s="11">
        <f>IF(C7=0,0,(SUMIFS(Data!$M$5:$M$14,Data!$B$5:$B$14,$A7,Data!$C$5:$C$14,"F",Data!$AF$5:$AF$14,INT((C7+1)/2))+SUMIFS(Data!$M$5:$M$14,Data!$B$5:$B$14,$A7,Data!$C$5:$C$14,"F",Data!$AF$5:$AF$14,INT(C7/2)+1))/2)</f>
        <v>47150</v>
      </c>
      <c r="K7" s="13">
        <f>IF(OR(I7&lt;=0,C7=0,D7=0),0,(I7-J7)/I7*100)</f>
        <v>-34.714285714285715</v>
      </c>
      <c r="L7" s="11">
        <f>IF(D7=0,0,AVERAGEIFS(Data!$L$5:$L$14,Data!$B$5:$B$14,$A7,Data!$C$5:$C$14,"M"))</f>
        <v>1500</v>
      </c>
      <c r="M7" s="11">
        <f>IF(C7=0,0,AVERAGEIFS(Data!$L$5:$L$14,Data!$B$5:$B$14,$A7,Data!$C$5:$C$14,"F"))</f>
        <v>1650</v>
      </c>
      <c r="N7" s="13">
        <f>IF(OR(L7&lt;=0,C7=0,D7=0),0,(L7-M7)/L7*100)</f>
        <v>-10</v>
      </c>
      <c r="O7" s="11">
        <f>IF(D7=0,0,AVERAGEIFS(Data!$K$5:$K$14,Data!$B$5:$B$14,$A7,Data!$C$5:$C$14,"M"))</f>
        <v>33500</v>
      </c>
      <c r="P7" s="11">
        <f>IF(C7=0,0,AVERAGEIFS(Data!$K$5:$K$14,Data!$B$5:$B$14,$A7,Data!$C$5:$C$14,"F"))</f>
        <v>45500</v>
      </c>
      <c r="Q7" s="13">
        <f>IF(OR(O7&lt;=0,C7=0,D7=0),0,(O7-P7)/O7*100)</f>
        <v>-35.820895522388057</v>
      </c>
      <c r="R7" s="10">
        <f>IF(B7&lt;2,0,SUMPRODUCT((Data!$B$5:$B$14=$A7)*Data!$G$5:$G$14*Data!$G$5:$G$14)/B7-(SUMIFS(Data!$G$5:$G$14,Data!$B$5:$B$14,$A7)/B7)^2)</f>
        <v>0.22222222222222321</v>
      </c>
      <c r="S7" s="10">
        <f>IF(B7&lt;2,0,SUMPRODUCT((Data!$B$5:$B$14=$A7)*Data!$F$5:$F$14*Data!$F$5:$F$14)/B7-(SUMIFS(Data!$F$5:$F$14,Data!$B$5:$B$14,$A7)/B7)^2)</f>
        <v>2.3888888888888893</v>
      </c>
      <c r="T7" s="12">
        <f>IF(AND(B7&gt;=4,R7&gt;0.000000001,S7&gt;0.000000001),1,0)</f>
        <v>0</v>
      </c>
      <c r="U7" s="11">
        <f>IF(OR(T7=0,ABS(BK7)&lt;0.000000001),0,((BH7-BB7*BD7/B7)*(BF7-BC7^2/B7)-(BI7-BC7*BD7/B7)*(BG7-BB7*BC7/B7))/BK7)</f>
        <v>0</v>
      </c>
      <c r="V7" s="11">
        <f>IF(OR(T7=0,ABS(BK7)&lt;0.000000001),0,((BI7-BC7*BD7/B7)*(BE7-BB7^2/B7)-(BH7-BB7*BD7/B7)*(BG7-BB7*BC7/B7))/BK7)</f>
        <v>0</v>
      </c>
      <c r="W7" s="10" t="str">
        <f>IF(OR(T7=0,ABS(BK7)&lt;0.000000001,(BJ7-BD7^2/B7)&lt;0.000000001),"",(U7*(BH7-BB7*BD7/B7)+V7*(BI7-BC7*BD7/B7))/(BJ7-BD7^2/B7))</f>
        <v/>
      </c>
      <c r="X7" s="13">
        <f>IF(H7&gt;=0,MAX(0,MIN(IF(OR(T7=0,E7&lt;=0),0,(U7*(IF(D7=0,0,AVERAGEIFS(Data!$G$5:$G$14,Data!$B$5:$B$14,$A7,Data!$C$5:$C$14,"M"))-IF(C7=0,0,AVERAGEIFS(Data!$G$5:$G$14,Data!$B$5:$B$14,$A7,Data!$C$5:$C$14,"F")))+V7*(IF(D7=0,0,AVERAGEIFS(Data!$F$5:$F$14,Data!$B$5:$B$14,$A7,Data!$C$5:$C$14,"M"))-IF(C7=0,0,AVERAGEIFS(Data!$F$5:$F$14,Data!$B$5:$B$14,$A7,Data!$C$5:$C$14,"F"))))/E7*100),H7)),MIN(0,MAX(IF(OR(T7=0,E7&lt;=0),0,(U7*(IF(D7=0,0,AVERAGEIFS(Data!$G$5:$G$14,Data!$B$5:$B$14,$A7,Data!$C$5:$C$14,"M"))-IF(C7=0,0,AVERAGEIFS(Data!$G$5:$G$14,Data!$B$5:$B$14,$A7,Data!$C$5:$C$14,"F")))+V7*(IF(D7=0,0,AVERAGEIFS(Data!$F$5:$F$14,Data!$B$5:$B$14,$A7,Data!$C$5:$C$14,"M"))-IF(C7=0,0,AVERAGEIFS(Data!$F$5:$F$14,Data!$B$5:$B$14,$A7,Data!$C$5:$C$14,"F"))))/E7*100),H7)))</f>
        <v>0</v>
      </c>
      <c r="Y7" s="13">
        <f>H7-X7</f>
        <v>-34.714285714285715</v>
      </c>
      <c r="Z7" s="12">
        <f>IF(AND(H7&gt;=0,Y7&gt;threshold_pct),1,0)</f>
        <v>0</v>
      </c>
      <c r="AA7" s="11">
        <f>IF(Z7=0,0,SUMIFS(Data!$Q$5:$Q$14,Data!$B$5:$B$14,$A7))</f>
        <v>0</v>
      </c>
      <c r="AB7" s="11">
        <f>IF(Z7=0,0,(Y7-threshold_pct)/100*E7*C7)</f>
        <v>0</v>
      </c>
      <c r="AC7" s="11">
        <f>SUMIFS(Data!$T$5:$T$14,Data!$B$5:$B$14,$A7)</f>
        <v>0</v>
      </c>
      <c r="AD7" s="11">
        <f>SUMIFS(Data!$U$5:$U$14,Data!$B$5:$B$14,$A7)</f>
        <v>0</v>
      </c>
      <c r="AE7" s="11">
        <f>AC7+AD7</f>
        <v>0</v>
      </c>
      <c r="AF7" s="12">
        <f>SUMIFS(Data!$P$5:$P$14,Data!$B$5:$B$14,$A7)</f>
        <v>0</v>
      </c>
      <c r="AG7" s="13">
        <f>IF(E7&lt;=0,0,(E7-(IF(C7=0,0,AVERAGEIFS(Data!$M$5:$M$14,Data!$B$5:$B$14,$A7,Data!$C$5:$C$14,"F"))+IF(C7=0,0,SUMIFS(Data!$S$5:$S$14,Data!$B$5:$B$14,$A7,Data!$C$5:$C$14,"F")/C7)))/E7*100-X7)</f>
        <v>-34.714285714285715</v>
      </c>
      <c r="AH7" s="12">
        <f>IF(AND(H7&gt;=0,Y7&gt;0),1,0)</f>
        <v>0</v>
      </c>
      <c r="AI7" s="11">
        <f>IF(AH7=0,0,SUMIFS(Data!$X$5:$X$14,Data!$B$5:$B$14,$A7))</f>
        <v>0</v>
      </c>
      <c r="AJ7" s="11">
        <f>IF(AH7=0,0,Y7/100*E7*C7)</f>
        <v>0</v>
      </c>
      <c r="AK7" s="11">
        <f>SUMIFS(Data!$AA$5:$AA$14,Data!$B$5:$B$14,$A7)</f>
        <v>0</v>
      </c>
      <c r="AL7" s="11">
        <f>SUMIFS(Data!$AB$5:$AB$14,Data!$B$5:$B$14,$A7)</f>
        <v>0</v>
      </c>
      <c r="AM7" s="11">
        <f>AK7+AL7</f>
        <v>0</v>
      </c>
      <c r="AN7" s="12">
        <f>SUMIFS(Data!$W$5:$W$14,Data!$B$5:$B$14,$A7)</f>
        <v>0</v>
      </c>
      <c r="AO7" s="13">
        <f>IF(E7&lt;=0,0,(E7-(IF(C7=0,0,AVERAGEIFS(Data!$M$5:$M$14,Data!$B$5:$B$14,$A7,Data!$C$5:$C$14,"F"))+IF(C7=0,0,SUMIFS(Data!$Z$5:$Z$14,Data!$B$5:$B$14,$A7,Data!$C$5:$C$14,"F")/C7)))/E7*100-X7)</f>
        <v>-34.714285714285715</v>
      </c>
      <c r="AP7" s="12">
        <f>IF(OR(B7&lt;10,C7&lt;3,D7&lt;3),1,0)</f>
        <v>1</v>
      </c>
      <c r="AQ7" s="12">
        <f>IF(H7&lt;0,1,0)</f>
        <v>1</v>
      </c>
      <c r="BA7" s="10">
        <f>B7</f>
        <v>3</v>
      </c>
      <c r="BB7" s="10">
        <f>SUMIFS(Data!$G$5:$G$14,Data!$B$5:$B$14,$A7)</f>
        <v>11</v>
      </c>
      <c r="BC7" s="10">
        <f>SUMIFS(Data!$F$5:$F$14,Data!$B$5:$B$14,$A7)</f>
        <v>9.5</v>
      </c>
      <c r="BD7" s="10">
        <f>SUMIFS(Data!$M$5:$M$14,Data!$B$5:$B$14,$A7)</f>
        <v>129300</v>
      </c>
      <c r="BE7" s="10">
        <f>SUMPRODUCT((Data!$B$5:$B$14=$A7)*Data!$G$5:$G$14*Data!$G$5:$G$14)</f>
        <v>41</v>
      </c>
      <c r="BF7" s="10">
        <f>SUMPRODUCT((Data!$B$5:$B$14=$A7)*Data!$F$5:$F$14*Data!$F$5:$F$14)</f>
        <v>37.25</v>
      </c>
      <c r="BG7" s="10">
        <f>SUMPRODUCT((Data!$B$5:$B$14=$A7)*Data!$G$5:$G$14*Data!$F$5:$F$14)</f>
        <v>37</v>
      </c>
      <c r="BH7" s="10">
        <f>SUMPRODUCT((Data!$B$5:$B$14=$A7)*Data!$G$5:$G$14*Data!$M$5:$M$14)</f>
        <v>487300</v>
      </c>
      <c r="BI7" s="10">
        <f>SUMPRODUCT((Data!$B$5:$B$14=$A7)*Data!$F$5:$F$14*Data!$M$5:$M$14)</f>
        <v>445000</v>
      </c>
      <c r="BJ7" s="10">
        <f>SUMPRODUCT((Data!$B$5:$B$14=$A7)*Data!$M$5:$M$14*Data!$M$5:$M$14)</f>
        <v>6266370000</v>
      </c>
      <c r="BK7" s="10">
        <f>IF(T7=0,0,((BE7-BB7^2/B7)*(BF7-BC7^2/B7)-(BG7-BB7*BC7/B7)^2))</f>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8"/>
  <sheetViews>
    <sheetView workbookViewId="0"/>
  </sheetViews>
  <sheetFormatPr defaultRowHeight="14.4" x14ac:dyDescent="0.3"/>
  <cols>
    <col min="1" max="1" width="40" customWidth="1"/>
    <col min="2" max="4" width="20" customWidth="1"/>
  </cols>
  <sheetData>
    <row r="1" spans="1:4" ht="17.399999999999999" x14ac:dyDescent="0.35">
      <c r="A1" s="1" t="s">
        <v>123</v>
      </c>
    </row>
    <row r="2" spans="1:4" x14ac:dyDescent="0.3">
      <c r="A2" s="2" t="s">
        <v>124</v>
      </c>
    </row>
    <row r="4" spans="1:4" x14ac:dyDescent="0.3">
      <c r="A4" s="7" t="s">
        <v>125</v>
      </c>
      <c r="B4" s="14">
        <f>SUM(Data!$N$5:$N$14)</f>
        <v>526050</v>
      </c>
    </row>
    <row r="5" spans="1:4" x14ac:dyDescent="0.3">
      <c r="A5" t="s">
        <v>126</v>
      </c>
      <c r="B5" s="15">
        <f>COUNTA(Data!$A$5:$A$14)</f>
        <v>10</v>
      </c>
    </row>
    <row r="7" spans="1:4" ht="30" customHeight="1" x14ac:dyDescent="0.3">
      <c r="A7" s="3" t="s">
        <v>127</v>
      </c>
      <c r="B7" s="3" t="s">
        <v>128</v>
      </c>
      <c r="C7" s="3" t="s">
        <v>129</v>
      </c>
      <c r="D7" s="3" t="s">
        <v>130</v>
      </c>
    </row>
    <row r="8" spans="1:4" x14ac:dyDescent="0.3">
      <c r="A8" s="4" t="s">
        <v>131</v>
      </c>
      <c r="B8" s="11">
        <f>SUM(Categories!$AC$5:$AC$7)</f>
        <v>27117.857142857138</v>
      </c>
      <c r="C8" s="11">
        <f>SUM(Categories!$AK$5:$AK$7)</f>
        <v>34276.346531517258</v>
      </c>
      <c r="D8" s="11">
        <f t="shared" ref="D8:D14" si="0">C8-B8</f>
        <v>7158.4893886601203</v>
      </c>
    </row>
    <row r="9" spans="1:4" x14ac:dyDescent="0.3">
      <c r="A9" s="4" t="s">
        <v>132</v>
      </c>
      <c r="B9" s="11">
        <f>SUM(Categories!$AD$5:$AD$7)</f>
        <v>6446.804357142857</v>
      </c>
      <c r="C9" s="11">
        <f>SUM(Categories!$AL$5:$AL$7)</f>
        <v>7501.8195859993648</v>
      </c>
      <c r="D9" s="11">
        <f t="shared" si="0"/>
        <v>1055.0152288565077</v>
      </c>
    </row>
    <row r="10" spans="1:4" x14ac:dyDescent="0.3">
      <c r="A10" s="16" t="s">
        <v>133</v>
      </c>
      <c r="B10" s="17">
        <f>B8+B9</f>
        <v>33564.661499999995</v>
      </c>
      <c r="C10" s="17">
        <f>C8+C9</f>
        <v>41778.166117516623</v>
      </c>
      <c r="D10" s="17">
        <f t="shared" si="0"/>
        <v>8213.5046175166281</v>
      </c>
    </row>
    <row r="11" spans="1:4" x14ac:dyDescent="0.3">
      <c r="A11" s="4" t="s">
        <v>134</v>
      </c>
      <c r="B11" s="13">
        <f>IF($B$4=0,0,B10/$B$4*100)</f>
        <v>6.3805078414599352</v>
      </c>
      <c r="C11" s="13">
        <f>IF($B$4=0,0,C10/$B$4*100)</f>
        <v>7.9418622027405421</v>
      </c>
      <c r="D11" s="13">
        <f t="shared" si="0"/>
        <v>1.5613543612806069</v>
      </c>
    </row>
    <row r="12" spans="1:4" x14ac:dyDescent="0.3">
      <c r="A12" s="4" t="s">
        <v>135</v>
      </c>
      <c r="B12" s="18">
        <f>SUM(Categories!$AF$5:$AF$7)</f>
        <v>1</v>
      </c>
      <c r="C12" s="18">
        <f>SUM(Categories!$AN$5:$AN$7)</f>
        <v>3</v>
      </c>
      <c r="D12" s="18">
        <f t="shared" si="0"/>
        <v>2</v>
      </c>
    </row>
    <row r="13" spans="1:4" x14ac:dyDescent="0.3">
      <c r="A13" s="4" t="s">
        <v>136</v>
      </c>
      <c r="B13" s="11">
        <f>B10*(13-implementation_month)/12</f>
        <v>16782.330749999997</v>
      </c>
      <c r="C13" s="11">
        <f>C10*(13-implementation_month)/12</f>
        <v>20889.083058758311</v>
      </c>
      <c r="D13" s="11">
        <f t="shared" si="0"/>
        <v>4106.752308758314</v>
      </c>
    </row>
    <row r="14" spans="1:4" x14ac:dyDescent="0.3">
      <c r="A14" s="4" t="s">
        <v>137</v>
      </c>
      <c r="B14" s="11">
        <f>B10</f>
        <v>33564.661499999995</v>
      </c>
      <c r="C14" s="11">
        <f>C10</f>
        <v>41778.166117516623</v>
      </c>
      <c r="D14" s="11">
        <f t="shared" si="0"/>
        <v>8213.5046175166281</v>
      </c>
    </row>
    <row r="16" spans="1:4" x14ac:dyDescent="0.3">
      <c r="A16" s="7" t="s">
        <v>138</v>
      </c>
    </row>
    <row r="17" spans="1:4" x14ac:dyDescent="0.3">
      <c r="A17" s="21" t="s">
        <v>139</v>
      </c>
      <c r="B17" s="22"/>
      <c r="C17" s="22"/>
      <c r="D17" s="22"/>
    </row>
    <row r="18" spans="1:4" x14ac:dyDescent="0.3">
      <c r="A18" s="22"/>
      <c r="B18" s="22"/>
      <c r="C18" s="22"/>
      <c r="D18" s="22"/>
    </row>
  </sheetData>
  <mergeCells count="1">
    <mergeCell ref="A17:D1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33"/>
  <sheetViews>
    <sheetView workbookViewId="0"/>
  </sheetViews>
  <sheetFormatPr defaultRowHeight="14.4" x14ac:dyDescent="0.3"/>
  <cols>
    <col min="1" max="1" width="30" customWidth="1"/>
    <col min="2" max="2" width="110" customWidth="1"/>
  </cols>
  <sheetData>
    <row r="1" spans="1:2" ht="17.399999999999999" x14ac:dyDescent="0.35">
      <c r="A1" s="1" t="s">
        <v>140</v>
      </c>
    </row>
    <row r="3" spans="1:2" x14ac:dyDescent="0.3">
      <c r="A3" s="7" t="s">
        <v>141</v>
      </c>
    </row>
    <row r="4" spans="1:2" ht="15" customHeight="1" x14ac:dyDescent="0.3">
      <c r="A4" s="19" t="s">
        <v>142</v>
      </c>
      <c r="B4" s="20" t="s">
        <v>143</v>
      </c>
    </row>
    <row r="5" spans="1:2" ht="15" customHeight="1" x14ac:dyDescent="0.3">
      <c r="A5" s="19" t="s">
        <v>144</v>
      </c>
      <c r="B5" s="20" t="s">
        <v>145</v>
      </c>
    </row>
    <row r="6" spans="1:2" ht="15" customHeight="1" x14ac:dyDescent="0.3">
      <c r="A6" s="19" t="s">
        <v>146</v>
      </c>
      <c r="B6" s="20" t="s">
        <v>147</v>
      </c>
    </row>
    <row r="7" spans="1:2" x14ac:dyDescent="0.3">
      <c r="A7" s="7"/>
    </row>
    <row r="8" spans="1:2" x14ac:dyDescent="0.3">
      <c r="A8" s="7" t="s">
        <v>148</v>
      </c>
    </row>
    <row r="9" spans="1:2" ht="25.95" customHeight="1" x14ac:dyDescent="0.3">
      <c r="A9" s="19" t="s">
        <v>149</v>
      </c>
      <c r="B9" s="20" t="s">
        <v>150</v>
      </c>
    </row>
    <row r="10" spans="1:2" ht="25.95" customHeight="1" x14ac:dyDescent="0.3">
      <c r="A10" s="19" t="s">
        <v>151</v>
      </c>
      <c r="B10" s="20" t="s">
        <v>152</v>
      </c>
    </row>
    <row r="11" spans="1:2" ht="25.95" customHeight="1" x14ac:dyDescent="0.3">
      <c r="A11" s="19" t="s">
        <v>153</v>
      </c>
      <c r="B11" s="20" t="s">
        <v>154</v>
      </c>
    </row>
    <row r="12" spans="1:2" ht="25.95" customHeight="1" x14ac:dyDescent="0.3">
      <c r="A12" s="19" t="s">
        <v>32</v>
      </c>
      <c r="B12" s="20" t="s">
        <v>155</v>
      </c>
    </row>
    <row r="13" spans="1:2" x14ac:dyDescent="0.3">
      <c r="A13" s="7"/>
    </row>
    <row r="14" spans="1:2" x14ac:dyDescent="0.3">
      <c r="A14" s="7" t="s">
        <v>156</v>
      </c>
    </row>
    <row r="15" spans="1:2" ht="25.95" customHeight="1" x14ac:dyDescent="0.3">
      <c r="A15" s="19" t="s">
        <v>157</v>
      </c>
      <c r="B15" s="20" t="s">
        <v>158</v>
      </c>
    </row>
    <row r="16" spans="1:2" ht="25.95" customHeight="1" x14ac:dyDescent="0.3">
      <c r="A16" s="19" t="s">
        <v>159</v>
      </c>
      <c r="B16" s="20" t="s">
        <v>160</v>
      </c>
    </row>
    <row r="17" spans="1:2" ht="52.05" customHeight="1" x14ac:dyDescent="0.3">
      <c r="A17" s="19" t="s">
        <v>161</v>
      </c>
      <c r="B17" s="20" t="s">
        <v>162</v>
      </c>
    </row>
    <row r="18" spans="1:2" ht="39" customHeight="1" x14ac:dyDescent="0.3">
      <c r="A18" s="19" t="s">
        <v>163</v>
      </c>
      <c r="B18" s="20" t="s">
        <v>164</v>
      </c>
    </row>
    <row r="19" spans="1:2" ht="39" customHeight="1" x14ac:dyDescent="0.3">
      <c r="A19" s="19" t="s">
        <v>165</v>
      </c>
      <c r="B19" s="20" t="s">
        <v>166</v>
      </c>
    </row>
    <row r="20" spans="1:2" ht="25.95" customHeight="1" x14ac:dyDescent="0.3">
      <c r="A20" s="19" t="s">
        <v>167</v>
      </c>
      <c r="B20" s="20" t="s">
        <v>168</v>
      </c>
    </row>
    <row r="21" spans="1:2" ht="52.05" customHeight="1" x14ac:dyDescent="0.3">
      <c r="A21" s="19" t="s">
        <v>169</v>
      </c>
      <c r="B21" s="20" t="s">
        <v>170</v>
      </c>
    </row>
    <row r="22" spans="1:2" ht="25.95" customHeight="1" x14ac:dyDescent="0.3">
      <c r="A22" s="19" t="s">
        <v>171</v>
      </c>
      <c r="B22" s="20" t="s">
        <v>172</v>
      </c>
    </row>
    <row r="23" spans="1:2" ht="39" customHeight="1" x14ac:dyDescent="0.3">
      <c r="A23" s="19" t="s">
        <v>173</v>
      </c>
      <c r="B23" s="20" t="s">
        <v>174</v>
      </c>
    </row>
    <row r="24" spans="1:2" ht="25.95" customHeight="1" x14ac:dyDescent="0.3">
      <c r="A24" s="19" t="s">
        <v>175</v>
      </c>
      <c r="B24" s="20" t="s">
        <v>176</v>
      </c>
    </row>
    <row r="25" spans="1:2" x14ac:dyDescent="0.3">
      <c r="A25" s="7"/>
    </row>
    <row r="26" spans="1:2" x14ac:dyDescent="0.3">
      <c r="A26" s="7" t="s">
        <v>177</v>
      </c>
    </row>
    <row r="27" spans="1:2" ht="25.95" customHeight="1" x14ac:dyDescent="0.3">
      <c r="A27" s="19" t="s">
        <v>128</v>
      </c>
      <c r="B27" s="20" t="s">
        <v>178</v>
      </c>
    </row>
    <row r="28" spans="1:2" ht="15" customHeight="1" x14ac:dyDescent="0.3">
      <c r="A28" s="19" t="s">
        <v>129</v>
      </c>
      <c r="B28" s="20" t="s">
        <v>179</v>
      </c>
    </row>
    <row r="29" spans="1:2" x14ac:dyDescent="0.3">
      <c r="A29" s="7"/>
    </row>
    <row r="30" spans="1:2" x14ac:dyDescent="0.3">
      <c r="A30" s="7" t="s">
        <v>180</v>
      </c>
    </row>
    <row r="31" spans="1:2" ht="39" customHeight="1" x14ac:dyDescent="0.3">
      <c r="A31" s="19" t="s">
        <v>181</v>
      </c>
      <c r="B31" s="20" t="s">
        <v>182</v>
      </c>
    </row>
    <row r="32" spans="1:2" ht="39" customHeight="1" x14ac:dyDescent="0.3">
      <c r="A32" s="19" t="s">
        <v>183</v>
      </c>
      <c r="B32" s="20" t="s">
        <v>184</v>
      </c>
    </row>
    <row r="33" spans="1:2" ht="39" customHeight="1" x14ac:dyDescent="0.3">
      <c r="A33" s="19" t="s">
        <v>185</v>
      </c>
      <c r="B33" s="20" t="s">
        <v>186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Settings</vt:lpstr>
      <vt:lpstr>Data</vt:lpstr>
      <vt:lpstr>Categories</vt:lpstr>
      <vt:lpstr>Summary</vt:lpstr>
      <vt:lpstr>Legend</vt:lpstr>
      <vt:lpstr>ceiling</vt:lpstr>
      <vt:lpstr>implementation_month</vt:lpstr>
      <vt:lpstr>rate_above</vt:lpstr>
      <vt:lpstr>rate_below</vt:lpstr>
      <vt:lpstr>threshold_pct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Olga Dimitrova</cp:lastModifiedBy>
  <dcterms:created xsi:type="dcterms:W3CDTF">2026-08-31T07:26:46Z</dcterms:created>
  <dcterms:modified xsi:type="dcterms:W3CDTF">2026-09-03T11:35:40Z</dcterms:modified>
</cp:coreProperties>
</file>