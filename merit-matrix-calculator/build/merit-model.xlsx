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Projects IA\PROJECT-pay-gap-calculator\merit-matrix-calculator\build\"/>
    </mc:Choice>
  </mc:AlternateContent>
  <xr:revisionPtr revIDLastSave="0" documentId="13_ncr:1_{3D5CCA96-1E12-4AF8-A327-AA9D9ACBE6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Inputs" sheetId="2" r:id="rId2"/>
    <sheet name="Lists" sheetId="3" state="hidden" r:id="rId3"/>
    <sheet name="Bands" sheetId="4" r:id="rId4"/>
    <sheet name="Employees" sheetId="5" r:id="rId5"/>
    <sheet name="Calc" sheetId="6" r:id="rId6"/>
    <sheet name="Categories" sheetId="7" r:id="rId7"/>
    <sheet name="Matrix" sheetId="8" r:id="rId8"/>
  </sheets>
  <definedNames>
    <definedName name="AboveCeilingTier1">Inputs!$B$15</definedName>
    <definedName name="AboveCeilingTier2">Inputs!$B$16</definedName>
    <definedName name="AboveCeilingTier3">Inputs!$B$17</definedName>
    <definedName name="Ceiling">Inputs!$B$14</definedName>
    <definedName name="ClipAtMax">Inputs!$B$11</definedName>
    <definedName name="CompanyTarget">Inputs!$B$12</definedName>
    <definedName name="EffDate">Inputs!$B$4</definedName>
    <definedName name="EffMonth">Inputs!$B$5</definedName>
    <definedName name="InYearFactor">Inputs!$B$6</definedName>
    <definedName name="MaxIncrease">Inputs!$B$10</definedName>
    <definedName name="MinMonthsChange">Inputs!$B$9</definedName>
    <definedName name="MinMonthsHire">Inputs!$B$8</definedName>
    <definedName name="PoolPct">Inputs!$B$7</definedName>
    <definedName name="RateBelow">Inputs!$B$13</definedName>
  </definedNames>
  <calcPr calcId="181029"/>
</workbook>
</file>

<file path=xl/calcChain.xml><?xml version="1.0" encoding="utf-8"?>
<calcChain xmlns="http://schemas.openxmlformats.org/spreadsheetml/2006/main">
  <c r="A29" i="8" l="1"/>
  <c r="A28" i="8"/>
  <c r="A27" i="8"/>
  <c r="A26" i="8"/>
  <c r="A25" i="8"/>
  <c r="E24" i="8"/>
  <c r="D24" i="8"/>
  <c r="C24" i="8"/>
  <c r="B24" i="8"/>
  <c r="A20" i="8"/>
  <c r="A19" i="8"/>
  <c r="A18" i="8"/>
  <c r="A17" i="8"/>
  <c r="A16" i="8"/>
  <c r="E15" i="8"/>
  <c r="D15" i="8"/>
  <c r="C15" i="8"/>
  <c r="B15" i="8"/>
  <c r="A11" i="8"/>
  <c r="A10" i="8"/>
  <c r="A9" i="8"/>
  <c r="A8" i="8"/>
  <c r="A7" i="8"/>
  <c r="E6" i="8"/>
  <c r="D6" i="8"/>
  <c r="C6" i="8"/>
  <c r="B6" i="8"/>
  <c r="AO216" i="6"/>
  <c r="J216" i="6"/>
  <c r="I216" i="6"/>
  <c r="G216" i="6"/>
  <c r="AF216" i="6" s="1"/>
  <c r="D216" i="6"/>
  <c r="A216" i="6"/>
  <c r="B216" i="6" s="1"/>
  <c r="AO215" i="6"/>
  <c r="A215" i="6"/>
  <c r="B215" i="6" s="1"/>
  <c r="I215" i="6" s="1"/>
  <c r="AO214" i="6"/>
  <c r="K214" i="6"/>
  <c r="A214" i="6"/>
  <c r="B214" i="6" s="1"/>
  <c r="AO213" i="6"/>
  <c r="A213" i="6"/>
  <c r="B213" i="6" s="1"/>
  <c r="AO212" i="6"/>
  <c r="A212" i="6"/>
  <c r="B212" i="6" s="1"/>
  <c r="AO211" i="6"/>
  <c r="J211" i="6"/>
  <c r="A211" i="6"/>
  <c r="B211" i="6" s="1"/>
  <c r="AO210" i="6"/>
  <c r="A210" i="6"/>
  <c r="B210" i="6" s="1"/>
  <c r="I210" i="6" s="1"/>
  <c r="AO209" i="6"/>
  <c r="B209" i="6"/>
  <c r="A209" i="6"/>
  <c r="AO208" i="6"/>
  <c r="A208" i="6"/>
  <c r="B208" i="6" s="1"/>
  <c r="C208" i="6" s="1"/>
  <c r="AO207" i="6"/>
  <c r="A207" i="6"/>
  <c r="B207" i="6" s="1"/>
  <c r="AO206" i="6"/>
  <c r="A206" i="6"/>
  <c r="B206" i="6" s="1"/>
  <c r="AO205" i="6"/>
  <c r="A205" i="6"/>
  <c r="B205" i="6" s="1"/>
  <c r="AO204" i="6"/>
  <c r="A204" i="6"/>
  <c r="B204" i="6" s="1"/>
  <c r="C204" i="6" s="1"/>
  <c r="AO203" i="6"/>
  <c r="K203" i="6"/>
  <c r="J203" i="6"/>
  <c r="I203" i="6"/>
  <c r="F203" i="6"/>
  <c r="AL203" i="6" s="1"/>
  <c r="E203" i="6"/>
  <c r="D203" i="6"/>
  <c r="B203" i="6"/>
  <c r="C203" i="6" s="1"/>
  <c r="A203" i="6"/>
  <c r="AO202" i="6"/>
  <c r="A202" i="6"/>
  <c r="B202" i="6" s="1"/>
  <c r="AO201" i="6"/>
  <c r="G201" i="6"/>
  <c r="A201" i="6"/>
  <c r="B201" i="6" s="1"/>
  <c r="AO200" i="6"/>
  <c r="K200" i="6"/>
  <c r="G200" i="6"/>
  <c r="AF200" i="6" s="1"/>
  <c r="F200" i="6"/>
  <c r="AK200" i="6" s="1"/>
  <c r="D200" i="6"/>
  <c r="A200" i="6"/>
  <c r="B200" i="6" s="1"/>
  <c r="C200" i="6" s="1"/>
  <c r="AO199" i="6"/>
  <c r="J199" i="6"/>
  <c r="I199" i="6"/>
  <c r="H199" i="6"/>
  <c r="AG199" i="6" s="1"/>
  <c r="G199" i="6"/>
  <c r="F199" i="6"/>
  <c r="E199" i="6"/>
  <c r="A199" i="6"/>
  <c r="B199" i="6" s="1"/>
  <c r="K199" i="6" s="1"/>
  <c r="AO198" i="6"/>
  <c r="A198" i="6"/>
  <c r="B198" i="6" s="1"/>
  <c r="AO197" i="6"/>
  <c r="A197" i="6"/>
  <c r="B197" i="6" s="1"/>
  <c r="AO196" i="6"/>
  <c r="A196" i="6"/>
  <c r="B196" i="6" s="1"/>
  <c r="G196" i="6" s="1"/>
  <c r="AO195" i="6"/>
  <c r="K195" i="6"/>
  <c r="A195" i="6"/>
  <c r="B195" i="6" s="1"/>
  <c r="AO194" i="6"/>
  <c r="A194" i="6"/>
  <c r="B194" i="6" s="1"/>
  <c r="H194" i="6" s="1"/>
  <c r="AG194" i="6" s="1"/>
  <c r="AO193" i="6"/>
  <c r="A193" i="6"/>
  <c r="B193" i="6" s="1"/>
  <c r="AO192" i="6"/>
  <c r="A192" i="6"/>
  <c r="B192" i="6" s="1"/>
  <c r="K192" i="6" s="1"/>
  <c r="AO191" i="6"/>
  <c r="A191" i="6"/>
  <c r="B191" i="6" s="1"/>
  <c r="G191" i="6" s="1"/>
  <c r="AO190" i="6"/>
  <c r="B190" i="6"/>
  <c r="A190" i="6"/>
  <c r="AO189" i="6"/>
  <c r="A189" i="6"/>
  <c r="B189" i="6" s="1"/>
  <c r="AO188" i="6"/>
  <c r="K188" i="6"/>
  <c r="J188" i="6"/>
  <c r="A188" i="6"/>
  <c r="B188" i="6" s="1"/>
  <c r="D188" i="6" s="1"/>
  <c r="AO187" i="6"/>
  <c r="A187" i="6"/>
  <c r="B187" i="6" s="1"/>
  <c r="AO186" i="6"/>
  <c r="E186" i="6"/>
  <c r="R186" i="6" s="1"/>
  <c r="A186" i="6"/>
  <c r="B186" i="6" s="1"/>
  <c r="AO185" i="6"/>
  <c r="A185" i="6"/>
  <c r="B185" i="6" s="1"/>
  <c r="I185" i="6" s="1"/>
  <c r="AO184" i="6"/>
  <c r="K184" i="6"/>
  <c r="F184" i="6"/>
  <c r="E184" i="6"/>
  <c r="C184" i="6"/>
  <c r="A184" i="6"/>
  <c r="B184" i="6" s="1"/>
  <c r="D184" i="6" s="1"/>
  <c r="AO183" i="6"/>
  <c r="A183" i="6"/>
  <c r="B183" i="6" s="1"/>
  <c r="I183" i="6" s="1"/>
  <c r="AO182" i="6"/>
  <c r="A182" i="6"/>
  <c r="B182" i="6" s="1"/>
  <c r="AO181" i="6"/>
  <c r="I181" i="6"/>
  <c r="A181" i="6"/>
  <c r="B181" i="6" s="1"/>
  <c r="AO180" i="6"/>
  <c r="A180" i="6"/>
  <c r="B180" i="6" s="1"/>
  <c r="AO179" i="6"/>
  <c r="A179" i="6"/>
  <c r="B179" i="6" s="1"/>
  <c r="J179" i="6" s="1"/>
  <c r="AO178" i="6"/>
  <c r="A178" i="6"/>
  <c r="B178" i="6" s="1"/>
  <c r="D178" i="6" s="1"/>
  <c r="AO177" i="6"/>
  <c r="A177" i="6"/>
  <c r="B177" i="6" s="1"/>
  <c r="K177" i="6" s="1"/>
  <c r="AO176" i="6"/>
  <c r="B176" i="6"/>
  <c r="A176" i="6"/>
  <c r="AO175" i="6"/>
  <c r="A175" i="6"/>
  <c r="B175" i="6" s="1"/>
  <c r="AO174" i="6"/>
  <c r="A174" i="6"/>
  <c r="B174" i="6" s="1"/>
  <c r="AO173" i="6"/>
  <c r="B173" i="6"/>
  <c r="C173" i="6" s="1"/>
  <c r="A173" i="6"/>
  <c r="AO172" i="6"/>
  <c r="B172" i="6"/>
  <c r="A172" i="6"/>
  <c r="AO171" i="6"/>
  <c r="A171" i="6"/>
  <c r="B171" i="6" s="1"/>
  <c r="J171" i="6" s="1"/>
  <c r="AO170" i="6"/>
  <c r="A170" i="6"/>
  <c r="B170" i="6" s="1"/>
  <c r="AO169" i="6"/>
  <c r="B169" i="6"/>
  <c r="A169" i="6"/>
  <c r="AO168" i="6"/>
  <c r="K168" i="6"/>
  <c r="A168" i="6"/>
  <c r="B168" i="6" s="1"/>
  <c r="I168" i="6" s="1"/>
  <c r="AO167" i="6"/>
  <c r="A167" i="6"/>
  <c r="B167" i="6" s="1"/>
  <c r="D167" i="6" s="1"/>
  <c r="AO166" i="6"/>
  <c r="A166" i="6"/>
  <c r="B166" i="6" s="1"/>
  <c r="AO165" i="6"/>
  <c r="A165" i="6"/>
  <c r="B165" i="6" s="1"/>
  <c r="J165" i="6" s="1"/>
  <c r="AO164" i="6"/>
  <c r="B164" i="6"/>
  <c r="C164" i="6" s="1"/>
  <c r="A164" i="6"/>
  <c r="AO163" i="6"/>
  <c r="A163" i="6"/>
  <c r="B163" i="6" s="1"/>
  <c r="AO162" i="6"/>
  <c r="A162" i="6"/>
  <c r="B162" i="6" s="1"/>
  <c r="AO161" i="6"/>
  <c r="A161" i="6"/>
  <c r="B161" i="6" s="1"/>
  <c r="AO160" i="6"/>
  <c r="K160" i="6"/>
  <c r="A160" i="6"/>
  <c r="B160" i="6" s="1"/>
  <c r="G160" i="6" s="1"/>
  <c r="AO159" i="6"/>
  <c r="A159" i="6"/>
  <c r="B159" i="6" s="1"/>
  <c r="AO158" i="6"/>
  <c r="K158" i="6"/>
  <c r="I158" i="6"/>
  <c r="F158" i="6"/>
  <c r="D158" i="6"/>
  <c r="A158" i="6"/>
  <c r="B158" i="6" s="1"/>
  <c r="C158" i="6" s="1"/>
  <c r="AO157" i="6"/>
  <c r="A157" i="6"/>
  <c r="B157" i="6" s="1"/>
  <c r="C157" i="6" s="1"/>
  <c r="AO156" i="6"/>
  <c r="A156" i="6"/>
  <c r="B156" i="6" s="1"/>
  <c r="AO155" i="6"/>
  <c r="B155" i="6"/>
  <c r="A155" i="6"/>
  <c r="AO154" i="6"/>
  <c r="K154" i="6"/>
  <c r="I154" i="6"/>
  <c r="H154" i="6"/>
  <c r="AG154" i="6" s="1"/>
  <c r="F154" i="6"/>
  <c r="A154" i="6"/>
  <c r="B154" i="6" s="1"/>
  <c r="E154" i="6" s="1"/>
  <c r="R154" i="6" s="1"/>
  <c r="AO153" i="6"/>
  <c r="B153" i="6"/>
  <c r="A153" i="6"/>
  <c r="AO152" i="6"/>
  <c r="A152" i="6"/>
  <c r="B152" i="6" s="1"/>
  <c r="D152" i="6" s="1"/>
  <c r="AO151" i="6"/>
  <c r="B151" i="6"/>
  <c r="A151" i="6"/>
  <c r="AO150" i="6"/>
  <c r="K150" i="6"/>
  <c r="J150" i="6"/>
  <c r="B150" i="6"/>
  <c r="H150" i="6" s="1"/>
  <c r="AG150" i="6" s="1"/>
  <c r="A150" i="6"/>
  <c r="AO149" i="6"/>
  <c r="A149" i="6"/>
  <c r="B149" i="6" s="1"/>
  <c r="AO148" i="6"/>
  <c r="K148" i="6"/>
  <c r="I148" i="6"/>
  <c r="A148" i="6"/>
  <c r="B148" i="6" s="1"/>
  <c r="AO147" i="6"/>
  <c r="A147" i="6"/>
  <c r="B147" i="6" s="1"/>
  <c r="E147" i="6" s="1"/>
  <c r="AO146" i="6"/>
  <c r="E146" i="6"/>
  <c r="A146" i="6"/>
  <c r="B146" i="6" s="1"/>
  <c r="AO145" i="6"/>
  <c r="A145" i="6"/>
  <c r="B145" i="6" s="1"/>
  <c r="H145" i="6" s="1"/>
  <c r="AG145" i="6" s="1"/>
  <c r="AO144" i="6"/>
  <c r="A144" i="6"/>
  <c r="B144" i="6" s="1"/>
  <c r="J144" i="6" s="1"/>
  <c r="AO143" i="6"/>
  <c r="A143" i="6"/>
  <c r="B143" i="6" s="1"/>
  <c r="AO142" i="6"/>
  <c r="B142" i="6"/>
  <c r="A142" i="6"/>
  <c r="AO141" i="6"/>
  <c r="A141" i="6"/>
  <c r="B141" i="6" s="1"/>
  <c r="AO140" i="6"/>
  <c r="A140" i="6"/>
  <c r="B140" i="6" s="1"/>
  <c r="AO139" i="6"/>
  <c r="B139" i="6"/>
  <c r="A139" i="6"/>
  <c r="AO138" i="6"/>
  <c r="A138" i="6"/>
  <c r="B138" i="6" s="1"/>
  <c r="AO137" i="6"/>
  <c r="A137" i="6"/>
  <c r="B137" i="6" s="1"/>
  <c r="E137" i="6" s="1"/>
  <c r="R137" i="6" s="1"/>
  <c r="AO136" i="6"/>
  <c r="AG136" i="6"/>
  <c r="K136" i="6"/>
  <c r="J136" i="6"/>
  <c r="H136" i="6"/>
  <c r="G136" i="6"/>
  <c r="F136" i="6"/>
  <c r="A136" i="6"/>
  <c r="B136" i="6" s="1"/>
  <c r="D136" i="6" s="1"/>
  <c r="AO135" i="6"/>
  <c r="AF135" i="6"/>
  <c r="AH135" i="6" s="1"/>
  <c r="P135" i="6"/>
  <c r="I135" i="6"/>
  <c r="H135" i="6"/>
  <c r="AG135" i="6" s="1"/>
  <c r="G135" i="6"/>
  <c r="E135" i="6"/>
  <c r="A135" i="6"/>
  <c r="B135" i="6" s="1"/>
  <c r="AO134" i="6"/>
  <c r="A134" i="6"/>
  <c r="B134" i="6" s="1"/>
  <c r="J134" i="6" s="1"/>
  <c r="AO133" i="6"/>
  <c r="J133" i="6"/>
  <c r="I133" i="6"/>
  <c r="H133" i="6"/>
  <c r="AG133" i="6" s="1"/>
  <c r="A133" i="6"/>
  <c r="B133" i="6" s="1"/>
  <c r="AO132" i="6"/>
  <c r="A132" i="6"/>
  <c r="B132" i="6" s="1"/>
  <c r="K132" i="6" s="1"/>
  <c r="AO131" i="6"/>
  <c r="A131" i="6"/>
  <c r="B131" i="6" s="1"/>
  <c r="J131" i="6" s="1"/>
  <c r="AO130" i="6"/>
  <c r="A130" i="6"/>
  <c r="B130" i="6" s="1"/>
  <c r="AO129" i="6"/>
  <c r="A129" i="6"/>
  <c r="B129" i="6" s="1"/>
  <c r="AO128" i="6"/>
  <c r="A128" i="6"/>
  <c r="B128" i="6" s="1"/>
  <c r="AO127" i="6"/>
  <c r="A127" i="6"/>
  <c r="B127" i="6" s="1"/>
  <c r="AO126" i="6"/>
  <c r="B126" i="6"/>
  <c r="A126" i="6"/>
  <c r="AO125" i="6"/>
  <c r="A125" i="6"/>
  <c r="B125" i="6" s="1"/>
  <c r="AO124" i="6"/>
  <c r="B124" i="6"/>
  <c r="A124" i="6"/>
  <c r="AO123" i="6"/>
  <c r="A123" i="6"/>
  <c r="B123" i="6" s="1"/>
  <c r="AO122" i="6"/>
  <c r="H122" i="6"/>
  <c r="AG122" i="6" s="1"/>
  <c r="G122" i="6"/>
  <c r="E122" i="6"/>
  <c r="A122" i="6"/>
  <c r="B122" i="6" s="1"/>
  <c r="D122" i="6" s="1"/>
  <c r="AO121" i="6"/>
  <c r="A121" i="6"/>
  <c r="B121" i="6" s="1"/>
  <c r="AO120" i="6"/>
  <c r="A120" i="6"/>
  <c r="B120" i="6" s="1"/>
  <c r="AO119" i="6"/>
  <c r="A119" i="6"/>
  <c r="B119" i="6" s="1"/>
  <c r="AO118" i="6"/>
  <c r="A118" i="6"/>
  <c r="B118" i="6" s="1"/>
  <c r="H118" i="6" s="1"/>
  <c r="AG118" i="6" s="1"/>
  <c r="AO117" i="6"/>
  <c r="A117" i="6"/>
  <c r="B117" i="6" s="1"/>
  <c r="AO116" i="6"/>
  <c r="A116" i="6"/>
  <c r="B116" i="6" s="1"/>
  <c r="H116" i="6" s="1"/>
  <c r="AG116" i="6" s="1"/>
  <c r="AO115" i="6"/>
  <c r="A115" i="6"/>
  <c r="B115" i="6" s="1"/>
  <c r="J115" i="6" s="1"/>
  <c r="AO114" i="6"/>
  <c r="C114" i="6"/>
  <c r="A114" i="6"/>
  <c r="B114" i="6" s="1"/>
  <c r="AO113" i="6"/>
  <c r="J113" i="6"/>
  <c r="I113" i="6"/>
  <c r="Q113" i="6" s="1"/>
  <c r="F113" i="6"/>
  <c r="A113" i="6"/>
  <c r="B113" i="6" s="1"/>
  <c r="G113" i="6" s="1"/>
  <c r="P113" i="6" s="1"/>
  <c r="S113" i="6" s="1"/>
  <c r="AO112" i="6"/>
  <c r="B112" i="6"/>
  <c r="G112" i="6" s="1"/>
  <c r="A112" i="6"/>
  <c r="AO111" i="6"/>
  <c r="A111" i="6"/>
  <c r="B111" i="6" s="1"/>
  <c r="C111" i="6" s="1"/>
  <c r="AO110" i="6"/>
  <c r="A110" i="6"/>
  <c r="B110" i="6" s="1"/>
  <c r="C110" i="6" s="1"/>
  <c r="AO109" i="6"/>
  <c r="A109" i="6"/>
  <c r="B109" i="6" s="1"/>
  <c r="J109" i="6" s="1"/>
  <c r="AO108" i="6"/>
  <c r="A108" i="6"/>
  <c r="B108" i="6" s="1"/>
  <c r="AO107" i="6"/>
  <c r="A107" i="6"/>
  <c r="B107" i="6" s="1"/>
  <c r="J107" i="6" s="1"/>
  <c r="AO106" i="6"/>
  <c r="A106" i="6"/>
  <c r="B106" i="6" s="1"/>
  <c r="C106" i="6" s="1"/>
  <c r="AO105" i="6"/>
  <c r="D105" i="6"/>
  <c r="C105" i="6"/>
  <c r="A105" i="6"/>
  <c r="B105" i="6" s="1"/>
  <c r="AO104" i="6"/>
  <c r="A104" i="6"/>
  <c r="B104" i="6" s="1"/>
  <c r="AO103" i="6"/>
  <c r="A103" i="6"/>
  <c r="B103" i="6" s="1"/>
  <c r="AO102" i="6"/>
  <c r="A102" i="6"/>
  <c r="B102" i="6" s="1"/>
  <c r="AO101" i="6"/>
  <c r="K101" i="6"/>
  <c r="J101" i="6"/>
  <c r="A101" i="6"/>
  <c r="B101" i="6" s="1"/>
  <c r="H101" i="6" s="1"/>
  <c r="AG101" i="6" s="1"/>
  <c r="AO100" i="6"/>
  <c r="A100" i="6"/>
  <c r="B100" i="6" s="1"/>
  <c r="AO99" i="6"/>
  <c r="A99" i="6"/>
  <c r="B99" i="6" s="1"/>
  <c r="C99" i="6" s="1"/>
  <c r="AO98" i="6"/>
  <c r="A98" i="6"/>
  <c r="B98" i="6" s="1"/>
  <c r="K98" i="6" s="1"/>
  <c r="AO97" i="6"/>
  <c r="A97" i="6"/>
  <c r="B97" i="6" s="1"/>
  <c r="AO96" i="6"/>
  <c r="A96" i="6"/>
  <c r="B96" i="6" s="1"/>
  <c r="AO95" i="6"/>
  <c r="A95" i="6"/>
  <c r="B95" i="6" s="1"/>
  <c r="C95" i="6" s="1"/>
  <c r="AO94" i="6"/>
  <c r="K94" i="6"/>
  <c r="A94" i="6"/>
  <c r="B94" i="6" s="1"/>
  <c r="J94" i="6" s="1"/>
  <c r="AO93" i="6"/>
  <c r="A93" i="6"/>
  <c r="B93" i="6" s="1"/>
  <c r="G93" i="6" s="1"/>
  <c r="AO92" i="6"/>
  <c r="I92" i="6"/>
  <c r="H92" i="6"/>
  <c r="AG92" i="6" s="1"/>
  <c r="C92" i="6"/>
  <c r="A92" i="6"/>
  <c r="B92" i="6" s="1"/>
  <c r="AO91" i="6"/>
  <c r="A91" i="6"/>
  <c r="B91" i="6" s="1"/>
  <c r="J91" i="6" s="1"/>
  <c r="AO90" i="6"/>
  <c r="A90" i="6"/>
  <c r="B90" i="6" s="1"/>
  <c r="AO89" i="6"/>
  <c r="A89" i="6"/>
  <c r="B89" i="6" s="1"/>
  <c r="H89" i="6" s="1"/>
  <c r="AG89" i="6" s="1"/>
  <c r="AO88" i="6"/>
  <c r="A88" i="6"/>
  <c r="B88" i="6" s="1"/>
  <c r="E88" i="6" s="1"/>
  <c r="R88" i="6" s="1"/>
  <c r="AO87" i="6"/>
  <c r="A87" i="6"/>
  <c r="B87" i="6" s="1"/>
  <c r="AO86" i="6"/>
  <c r="A86" i="6"/>
  <c r="B86" i="6" s="1"/>
  <c r="D86" i="6" s="1"/>
  <c r="AO85" i="6"/>
  <c r="A85" i="6"/>
  <c r="B85" i="6" s="1"/>
  <c r="AO84" i="6"/>
  <c r="A84" i="6"/>
  <c r="B84" i="6" s="1"/>
  <c r="H84" i="6" s="1"/>
  <c r="AG84" i="6" s="1"/>
  <c r="AO83" i="6"/>
  <c r="A83" i="6"/>
  <c r="B83" i="6" s="1"/>
  <c r="AO82" i="6"/>
  <c r="A82" i="6"/>
  <c r="B82" i="6" s="1"/>
  <c r="K82" i="6" s="1"/>
  <c r="AO81" i="6"/>
  <c r="A81" i="6"/>
  <c r="B81" i="6" s="1"/>
  <c r="AO80" i="6"/>
  <c r="AL80" i="6"/>
  <c r="AF80" i="6"/>
  <c r="K80" i="6"/>
  <c r="I80" i="6"/>
  <c r="G80" i="6"/>
  <c r="P80" i="6" s="1"/>
  <c r="F80" i="6"/>
  <c r="AK80" i="6" s="1"/>
  <c r="D80" i="6"/>
  <c r="A80" i="6"/>
  <c r="B80" i="6" s="1"/>
  <c r="AO79" i="6"/>
  <c r="R79" i="6"/>
  <c r="F79" i="6"/>
  <c r="AK79" i="6" s="1"/>
  <c r="E79" i="6"/>
  <c r="C79" i="6"/>
  <c r="A79" i="6"/>
  <c r="B79" i="6" s="1"/>
  <c r="AO78" i="6"/>
  <c r="A78" i="6"/>
  <c r="B78" i="6" s="1"/>
  <c r="C78" i="6" s="1"/>
  <c r="AO77" i="6"/>
  <c r="B77" i="6"/>
  <c r="A77" i="6"/>
  <c r="AO76" i="6"/>
  <c r="H76" i="6"/>
  <c r="AG76" i="6" s="1"/>
  <c r="G76" i="6"/>
  <c r="A76" i="6"/>
  <c r="B76" i="6" s="1"/>
  <c r="J76" i="6" s="1"/>
  <c r="AO75" i="6"/>
  <c r="B75" i="6"/>
  <c r="A75" i="6"/>
  <c r="AO74" i="6"/>
  <c r="A74" i="6"/>
  <c r="B74" i="6" s="1"/>
  <c r="I74" i="6" s="1"/>
  <c r="AO73" i="6"/>
  <c r="J73" i="6"/>
  <c r="F73" i="6"/>
  <c r="AL73" i="6" s="1"/>
  <c r="A73" i="6"/>
  <c r="B73" i="6" s="1"/>
  <c r="C73" i="6" s="1"/>
  <c r="AO72" i="6"/>
  <c r="K72" i="6"/>
  <c r="A72" i="6"/>
  <c r="B72" i="6" s="1"/>
  <c r="AO71" i="6"/>
  <c r="A71" i="6"/>
  <c r="B71" i="6" s="1"/>
  <c r="AO70" i="6"/>
  <c r="K70" i="6"/>
  <c r="H70" i="6"/>
  <c r="AG70" i="6" s="1"/>
  <c r="A70" i="6"/>
  <c r="B70" i="6" s="1"/>
  <c r="D70" i="6" s="1"/>
  <c r="AO69" i="6"/>
  <c r="A69" i="6"/>
  <c r="B69" i="6" s="1"/>
  <c r="AO68" i="6"/>
  <c r="A68" i="6"/>
  <c r="B68" i="6" s="1"/>
  <c r="AO67" i="6"/>
  <c r="J67" i="6"/>
  <c r="G67" i="6"/>
  <c r="AF67" i="6" s="1"/>
  <c r="E67" i="6"/>
  <c r="A67" i="6"/>
  <c r="B67" i="6" s="1"/>
  <c r="AO66" i="6"/>
  <c r="AL66" i="6"/>
  <c r="P66" i="6"/>
  <c r="K66" i="6"/>
  <c r="J66" i="6"/>
  <c r="I66" i="6"/>
  <c r="Q66" i="6" s="1"/>
  <c r="G66" i="6"/>
  <c r="AF66" i="6" s="1"/>
  <c r="D66" i="6"/>
  <c r="A66" i="6"/>
  <c r="B66" i="6" s="1"/>
  <c r="F66" i="6" s="1"/>
  <c r="AK66" i="6" s="1"/>
  <c r="AO65" i="6"/>
  <c r="A65" i="6"/>
  <c r="B65" i="6" s="1"/>
  <c r="H65" i="6" s="1"/>
  <c r="AG65" i="6" s="1"/>
  <c r="AO64" i="6"/>
  <c r="A64" i="6"/>
  <c r="B64" i="6" s="1"/>
  <c r="AO63" i="6"/>
  <c r="A63" i="6"/>
  <c r="B63" i="6" s="1"/>
  <c r="AO62" i="6"/>
  <c r="A62" i="6"/>
  <c r="B62" i="6" s="1"/>
  <c r="AO61" i="6"/>
  <c r="A61" i="6"/>
  <c r="B61" i="6" s="1"/>
  <c r="AO60" i="6"/>
  <c r="A60" i="6"/>
  <c r="B60" i="6" s="1"/>
  <c r="AO59" i="6"/>
  <c r="A59" i="6"/>
  <c r="B59" i="6" s="1"/>
  <c r="AO58" i="6"/>
  <c r="A58" i="6"/>
  <c r="B58" i="6" s="1"/>
  <c r="AO57" i="6"/>
  <c r="B57" i="6"/>
  <c r="H57" i="6" s="1"/>
  <c r="AG57" i="6" s="1"/>
  <c r="A57" i="6"/>
  <c r="AO56" i="6"/>
  <c r="H56" i="6"/>
  <c r="AG56" i="6" s="1"/>
  <c r="A56" i="6"/>
  <c r="B56" i="6" s="1"/>
  <c r="C56" i="6" s="1"/>
  <c r="AO55" i="6"/>
  <c r="J55" i="6"/>
  <c r="I55" i="6"/>
  <c r="H55" i="6"/>
  <c r="AG55" i="6" s="1"/>
  <c r="G55" i="6"/>
  <c r="P55" i="6" s="1"/>
  <c r="S55" i="6" s="1"/>
  <c r="F55" i="6"/>
  <c r="E55" i="6"/>
  <c r="T55" i="6" s="1"/>
  <c r="A55" i="6"/>
  <c r="B55" i="6" s="1"/>
  <c r="K55" i="6" s="1"/>
  <c r="AO54" i="6"/>
  <c r="B54" i="6"/>
  <c r="A54" i="6"/>
  <c r="AO53" i="6"/>
  <c r="A53" i="6"/>
  <c r="B53" i="6" s="1"/>
  <c r="E53" i="6" s="1"/>
  <c r="AO52" i="6"/>
  <c r="A52" i="6"/>
  <c r="B52" i="6" s="1"/>
  <c r="C52" i="6" s="1"/>
  <c r="AO51" i="6"/>
  <c r="A51" i="6"/>
  <c r="B51" i="6" s="1"/>
  <c r="AO50" i="6"/>
  <c r="A50" i="6"/>
  <c r="B50" i="6" s="1"/>
  <c r="AO49" i="6"/>
  <c r="A49" i="6"/>
  <c r="B49" i="6" s="1"/>
  <c r="AO48" i="6"/>
  <c r="K48" i="6"/>
  <c r="I48" i="6"/>
  <c r="G48" i="6"/>
  <c r="F48" i="6"/>
  <c r="A48" i="6"/>
  <c r="B48" i="6" s="1"/>
  <c r="AO47" i="6"/>
  <c r="K47" i="6"/>
  <c r="J47" i="6"/>
  <c r="I47" i="6"/>
  <c r="G47" i="6"/>
  <c r="F47" i="6"/>
  <c r="A47" i="6"/>
  <c r="B47" i="6" s="1"/>
  <c r="E47" i="6" s="1"/>
  <c r="AO46" i="6"/>
  <c r="A46" i="6"/>
  <c r="B46" i="6" s="1"/>
  <c r="AO45" i="6"/>
  <c r="A45" i="6"/>
  <c r="B45" i="6" s="1"/>
  <c r="AO44" i="6"/>
  <c r="B44" i="6"/>
  <c r="C44" i="6" s="1"/>
  <c r="A44" i="6"/>
  <c r="AO43" i="6"/>
  <c r="A43" i="6"/>
  <c r="B43" i="6" s="1"/>
  <c r="AO42" i="6"/>
  <c r="A42" i="6"/>
  <c r="B42" i="6" s="1"/>
  <c r="H42" i="6" s="1"/>
  <c r="AG42" i="6" s="1"/>
  <c r="AO41" i="6"/>
  <c r="A41" i="6"/>
  <c r="B41" i="6" s="1"/>
  <c r="AO40" i="6"/>
  <c r="A40" i="6"/>
  <c r="B40" i="6" s="1"/>
  <c r="F40" i="6" s="1"/>
  <c r="AO39" i="6"/>
  <c r="A39" i="6"/>
  <c r="B39" i="6" s="1"/>
  <c r="D39" i="6" s="1"/>
  <c r="AO38" i="6"/>
  <c r="B38" i="6"/>
  <c r="D38" i="6" s="1"/>
  <c r="A38" i="6"/>
  <c r="AO37" i="6"/>
  <c r="K37" i="6"/>
  <c r="I37" i="6"/>
  <c r="H37" i="6"/>
  <c r="AG37" i="6" s="1"/>
  <c r="G37" i="6"/>
  <c r="D37" i="6"/>
  <c r="A37" i="6"/>
  <c r="B37" i="6" s="1"/>
  <c r="C37" i="6" s="1"/>
  <c r="AO36" i="6"/>
  <c r="A36" i="6"/>
  <c r="B36" i="6" s="1"/>
  <c r="J36" i="6" s="1"/>
  <c r="AO35" i="6"/>
  <c r="A35" i="6"/>
  <c r="B35" i="6" s="1"/>
  <c r="AO34" i="6"/>
  <c r="A34" i="6"/>
  <c r="B34" i="6" s="1"/>
  <c r="C34" i="6" s="1"/>
  <c r="AO33" i="6"/>
  <c r="A33" i="6"/>
  <c r="B33" i="6" s="1"/>
  <c r="AO32" i="6"/>
  <c r="A32" i="6"/>
  <c r="B32" i="6" s="1"/>
  <c r="J32" i="6" s="1"/>
  <c r="AO31" i="6"/>
  <c r="A31" i="6"/>
  <c r="B31" i="6" s="1"/>
  <c r="F31" i="6" s="1"/>
  <c r="AO30" i="6"/>
  <c r="A30" i="6"/>
  <c r="B30" i="6" s="1"/>
  <c r="AO29" i="6"/>
  <c r="A29" i="6"/>
  <c r="B29" i="6" s="1"/>
  <c r="AO28" i="6"/>
  <c r="A28" i="6"/>
  <c r="B28" i="6" s="1"/>
  <c r="AO27" i="6"/>
  <c r="A27" i="6"/>
  <c r="B27" i="6" s="1"/>
  <c r="C27" i="6" s="1"/>
  <c r="AO26" i="6"/>
  <c r="H26" i="6"/>
  <c r="AG26" i="6" s="1"/>
  <c r="E26" i="6"/>
  <c r="D26" i="6"/>
  <c r="A26" i="6"/>
  <c r="B26" i="6" s="1"/>
  <c r="AO25" i="6"/>
  <c r="A25" i="6"/>
  <c r="B25" i="6" s="1"/>
  <c r="H25" i="6" s="1"/>
  <c r="AG25" i="6" s="1"/>
  <c r="AO24" i="6"/>
  <c r="A24" i="6"/>
  <c r="B24" i="6" s="1"/>
  <c r="AO23" i="6"/>
  <c r="A23" i="6"/>
  <c r="B23" i="6" s="1"/>
  <c r="AO22" i="6"/>
  <c r="A22" i="6"/>
  <c r="B22" i="6" s="1"/>
  <c r="AO21" i="6"/>
  <c r="A21" i="6"/>
  <c r="B21" i="6" s="1"/>
  <c r="AO20" i="6"/>
  <c r="A20" i="6"/>
  <c r="B20" i="6" s="1"/>
  <c r="K20" i="6" s="1"/>
  <c r="AO19" i="6"/>
  <c r="A19" i="6"/>
  <c r="B19" i="6" s="1"/>
  <c r="AO18" i="6"/>
  <c r="G18" i="6"/>
  <c r="P18" i="6" s="1"/>
  <c r="S18" i="6" s="1"/>
  <c r="E18" i="6"/>
  <c r="C18" i="6"/>
  <c r="A18" i="6"/>
  <c r="B18" i="6" s="1"/>
  <c r="AO17" i="6"/>
  <c r="J17" i="6"/>
  <c r="I17" i="6"/>
  <c r="G17" i="6"/>
  <c r="AF17" i="6" s="1"/>
  <c r="F17" i="6"/>
  <c r="E17" i="6"/>
  <c r="C17" i="6"/>
  <c r="O17" i="6" s="1"/>
  <c r="A17" i="6"/>
  <c r="B17" i="6" s="1"/>
  <c r="AO16" i="6"/>
  <c r="A16" i="6"/>
  <c r="B16" i="6" s="1"/>
  <c r="E16" i="6" s="1"/>
  <c r="AO15" i="6"/>
  <c r="A15" i="6"/>
  <c r="B15" i="6" s="1"/>
  <c r="H15" i="6" s="1"/>
  <c r="AG15" i="6" s="1"/>
  <c r="AO14" i="6"/>
  <c r="F14" i="6"/>
  <c r="C14" i="6"/>
  <c r="A14" i="6"/>
  <c r="B14" i="6" s="1"/>
  <c r="G14" i="6" s="1"/>
  <c r="AO13" i="6"/>
  <c r="A13" i="6"/>
  <c r="B13" i="6" s="1"/>
  <c r="F13" i="6" s="1"/>
  <c r="AO12" i="6"/>
  <c r="A12" i="6"/>
  <c r="B12" i="6" s="1"/>
  <c r="G12" i="6" s="1"/>
  <c r="AF12" i="6" s="1"/>
  <c r="AO11" i="6"/>
  <c r="A11" i="6"/>
  <c r="B11" i="6" s="1"/>
  <c r="J11" i="6" s="1"/>
  <c r="AO10" i="6"/>
  <c r="A10" i="6"/>
  <c r="B10" i="6" s="1"/>
  <c r="G10" i="6" s="1"/>
  <c r="AO9" i="6"/>
  <c r="K9" i="6"/>
  <c r="J9" i="6"/>
  <c r="G9" i="6"/>
  <c r="P9" i="6" s="1"/>
  <c r="F9" i="6"/>
  <c r="D9" i="6"/>
  <c r="C9" i="6"/>
  <c r="A9" i="6"/>
  <c r="B9" i="6" s="1"/>
  <c r="AO8" i="6"/>
  <c r="A8" i="6"/>
  <c r="B8" i="6" s="1"/>
  <c r="J8" i="6" s="1"/>
  <c r="AO7" i="6"/>
  <c r="A7" i="6"/>
  <c r="B7" i="6" s="1"/>
  <c r="AO6" i="6"/>
  <c r="A6" i="6"/>
  <c r="B6" i="6" s="1"/>
  <c r="AO5" i="6"/>
  <c r="A5" i="6"/>
  <c r="B5" i="6" s="1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5" i="2"/>
  <c r="B6" i="2" s="1"/>
  <c r="B40" i="1"/>
  <c r="I71" i="6" l="1"/>
  <c r="H71" i="6"/>
  <c r="AG71" i="6" s="1"/>
  <c r="K71" i="6"/>
  <c r="E71" i="6"/>
  <c r="R71" i="6" s="1"/>
  <c r="C71" i="6"/>
  <c r="J71" i="6"/>
  <c r="F71" i="6"/>
  <c r="J117" i="6"/>
  <c r="H117" i="6"/>
  <c r="AG117" i="6" s="1"/>
  <c r="G117" i="6"/>
  <c r="K117" i="6"/>
  <c r="E117" i="6"/>
  <c r="R117" i="6" s="1"/>
  <c r="D117" i="6"/>
  <c r="C117" i="6"/>
  <c r="N117" i="6" s="1"/>
  <c r="K64" i="6"/>
  <c r="J64" i="6"/>
  <c r="H64" i="6"/>
  <c r="AG64" i="6" s="1"/>
  <c r="G64" i="6"/>
  <c r="E64" i="6"/>
  <c r="C64" i="6"/>
  <c r="L64" i="6" s="1"/>
  <c r="F64" i="6"/>
  <c r="J100" i="6"/>
  <c r="Q100" i="6" s="1"/>
  <c r="G100" i="6"/>
  <c r="E100" i="6"/>
  <c r="C100" i="6"/>
  <c r="I100" i="6"/>
  <c r="F100" i="6"/>
  <c r="K23" i="6"/>
  <c r="G23" i="6"/>
  <c r="D23" i="6"/>
  <c r="P93" i="6"/>
  <c r="S93" i="6" s="1"/>
  <c r="AF93" i="6"/>
  <c r="C212" i="6"/>
  <c r="O212" i="6" s="1"/>
  <c r="K212" i="6"/>
  <c r="J212" i="6"/>
  <c r="I212" i="6"/>
  <c r="Q212" i="6" s="1"/>
  <c r="G212" i="6"/>
  <c r="F212" i="6"/>
  <c r="AK212" i="6" s="1"/>
  <c r="E212" i="6"/>
  <c r="J104" i="6"/>
  <c r="H104" i="6"/>
  <c r="AG104" i="6" s="1"/>
  <c r="I104" i="6"/>
  <c r="Q104" i="6" s="1"/>
  <c r="W104" i="6" s="1"/>
  <c r="F104" i="6"/>
  <c r="I138" i="6"/>
  <c r="H138" i="6"/>
  <c r="AG138" i="6" s="1"/>
  <c r="J138" i="6"/>
  <c r="J161" i="6"/>
  <c r="H161" i="6"/>
  <c r="AG161" i="6" s="1"/>
  <c r="I33" i="6"/>
  <c r="G33" i="6"/>
  <c r="P33" i="6" s="1"/>
  <c r="F33" i="6"/>
  <c r="I45" i="6"/>
  <c r="J45" i="6"/>
  <c r="F45" i="6"/>
  <c r="J202" i="6"/>
  <c r="I202" i="6"/>
  <c r="Q202" i="6" s="1"/>
  <c r="D202" i="6"/>
  <c r="F202" i="6"/>
  <c r="AK40" i="6"/>
  <c r="AL40" i="6"/>
  <c r="H87" i="6"/>
  <c r="AG87" i="6" s="1"/>
  <c r="I87" i="6"/>
  <c r="G87" i="6"/>
  <c r="AF87" i="6" s="1"/>
  <c r="AH87" i="6" s="1"/>
  <c r="J87" i="6"/>
  <c r="F87" i="6"/>
  <c r="C87" i="6"/>
  <c r="D87" i="6"/>
  <c r="K87" i="6"/>
  <c r="J125" i="6"/>
  <c r="C125" i="6"/>
  <c r="K125" i="6"/>
  <c r="F125" i="6"/>
  <c r="J198" i="6"/>
  <c r="E198" i="6"/>
  <c r="D198" i="6"/>
  <c r="H198" i="6"/>
  <c r="AG198" i="6" s="1"/>
  <c r="K120" i="6"/>
  <c r="D120" i="6"/>
  <c r="J206" i="6"/>
  <c r="H206" i="6"/>
  <c r="AG206" i="6" s="1"/>
  <c r="F206" i="6"/>
  <c r="D206" i="6"/>
  <c r="I50" i="6"/>
  <c r="Q50" i="6" s="1"/>
  <c r="G50" i="6"/>
  <c r="D50" i="6"/>
  <c r="H187" i="6"/>
  <c r="AG187" i="6" s="1"/>
  <c r="G187" i="6"/>
  <c r="F187" i="6"/>
  <c r="AK187" i="6" s="1"/>
  <c r="H60" i="6"/>
  <c r="AG60" i="6" s="1"/>
  <c r="J60" i="6"/>
  <c r="I60" i="6"/>
  <c r="K60" i="6"/>
  <c r="D60" i="6"/>
  <c r="C60" i="6"/>
  <c r="G60" i="6"/>
  <c r="F60" i="6"/>
  <c r="AK60" i="6" s="1"/>
  <c r="E60" i="6"/>
  <c r="N60" i="6" s="1"/>
  <c r="AM60" i="6" s="1"/>
  <c r="K29" i="6"/>
  <c r="I29" i="6"/>
  <c r="Q29" i="6" s="1"/>
  <c r="F29" i="6"/>
  <c r="AK29" i="6" s="1"/>
  <c r="G119" i="6"/>
  <c r="AF119" i="6" s="1"/>
  <c r="D119" i="6"/>
  <c r="I139" i="6"/>
  <c r="H139" i="6"/>
  <c r="AG139" i="6" s="1"/>
  <c r="D139" i="6"/>
  <c r="I146" i="6"/>
  <c r="Q146" i="6" s="1"/>
  <c r="U146" i="6" s="1"/>
  <c r="H146" i="6"/>
  <c r="AG146" i="6" s="1"/>
  <c r="G146" i="6"/>
  <c r="F146" i="6"/>
  <c r="H214" i="6"/>
  <c r="AG214" i="6" s="1"/>
  <c r="F214" i="6"/>
  <c r="E214" i="6"/>
  <c r="D214" i="6"/>
  <c r="C214" i="6"/>
  <c r="D74" i="6"/>
  <c r="C146" i="6"/>
  <c r="N146" i="6" s="1"/>
  <c r="AM146" i="6" s="1"/>
  <c r="I214" i="6"/>
  <c r="F74" i="6"/>
  <c r="AL74" i="6" s="1"/>
  <c r="K62" i="6"/>
  <c r="G62" i="6"/>
  <c r="G102" i="6"/>
  <c r="K102" i="6"/>
  <c r="C102" i="6"/>
  <c r="O102" i="6" s="1"/>
  <c r="C15" i="6"/>
  <c r="L15" i="6" s="1"/>
  <c r="K74" i="6"/>
  <c r="G84" i="6"/>
  <c r="D102" i="6"/>
  <c r="E106" i="6"/>
  <c r="L106" i="6" s="1"/>
  <c r="J167" i="6"/>
  <c r="E173" i="6"/>
  <c r="L173" i="6" s="1"/>
  <c r="E185" i="6"/>
  <c r="G123" i="6"/>
  <c r="E123" i="6"/>
  <c r="D123" i="6"/>
  <c r="E132" i="6"/>
  <c r="K167" i="6"/>
  <c r="H185" i="6"/>
  <c r="AG185" i="6" s="1"/>
  <c r="J197" i="6"/>
  <c r="I197" i="6"/>
  <c r="Q197" i="6" s="1"/>
  <c r="G197" i="6"/>
  <c r="D147" i="6"/>
  <c r="F179" i="6"/>
  <c r="AL200" i="6"/>
  <c r="J210" i="6"/>
  <c r="Q210" i="6" s="1"/>
  <c r="E94" i="6"/>
  <c r="R94" i="6" s="1"/>
  <c r="E107" i="6"/>
  <c r="R107" i="6" s="1"/>
  <c r="H123" i="6"/>
  <c r="AG123" i="6" s="1"/>
  <c r="G132" i="6"/>
  <c r="AF132" i="6" s="1"/>
  <c r="K85" i="6"/>
  <c r="G85" i="6"/>
  <c r="G94" i="6"/>
  <c r="I102" i="6"/>
  <c r="F107" i="6"/>
  <c r="AK107" i="6" s="1"/>
  <c r="AF113" i="6"/>
  <c r="J123" i="6"/>
  <c r="G147" i="6"/>
  <c r="D192" i="6"/>
  <c r="J201" i="6"/>
  <c r="I201" i="6"/>
  <c r="I211" i="6"/>
  <c r="H211" i="6"/>
  <c r="AG211" i="6" s="1"/>
  <c r="F211" i="6"/>
  <c r="E211" i="6"/>
  <c r="R211" i="6" s="1"/>
  <c r="C211" i="6"/>
  <c r="O211" i="6" s="1"/>
  <c r="H176" i="6"/>
  <c r="AG176" i="6" s="1"/>
  <c r="G176" i="6"/>
  <c r="AF176" i="6" s="1"/>
  <c r="AH176" i="6" s="1"/>
  <c r="F176" i="6"/>
  <c r="K49" i="6"/>
  <c r="J49" i="6"/>
  <c r="I49" i="6"/>
  <c r="Q49" i="6" s="1"/>
  <c r="H155" i="6"/>
  <c r="AG155" i="6" s="1"/>
  <c r="G155" i="6"/>
  <c r="AF155" i="6" s="1"/>
  <c r="AH155" i="6" s="1"/>
  <c r="C155" i="6"/>
  <c r="J190" i="6"/>
  <c r="G190" i="6"/>
  <c r="D25" i="6"/>
  <c r="I25" i="6"/>
  <c r="E57" i="6"/>
  <c r="C132" i="6"/>
  <c r="I155" i="6"/>
  <c r="G210" i="6"/>
  <c r="P210" i="6" s="1"/>
  <c r="G57" i="6"/>
  <c r="D132" i="6"/>
  <c r="K155" i="6"/>
  <c r="AK203" i="6"/>
  <c r="H210" i="6"/>
  <c r="AG210" i="6" s="1"/>
  <c r="D15" i="6"/>
  <c r="C94" i="6"/>
  <c r="M94" i="6" s="1"/>
  <c r="E102" i="6"/>
  <c r="K162" i="6"/>
  <c r="E162" i="6"/>
  <c r="R162" i="6" s="1"/>
  <c r="G15" i="6"/>
  <c r="AF18" i="6"/>
  <c r="AH18" i="6" s="1"/>
  <c r="H32" i="6"/>
  <c r="AG32" i="6" s="1"/>
  <c r="D94" i="6"/>
  <c r="F102" i="6"/>
  <c r="C123" i="6"/>
  <c r="F132" i="6"/>
  <c r="K174" i="6"/>
  <c r="H174" i="6"/>
  <c r="AG174" i="6" s="1"/>
  <c r="E174" i="6"/>
  <c r="D174" i="6"/>
  <c r="K99" i="6"/>
  <c r="I99" i="6"/>
  <c r="G99" i="6"/>
  <c r="P99" i="6" s="1"/>
  <c r="S99" i="6" s="1"/>
  <c r="H102" i="6"/>
  <c r="AG102" i="6" s="1"/>
  <c r="F85" i="6"/>
  <c r="I94" i="6"/>
  <c r="D99" i="6"/>
  <c r="J102" i="6"/>
  <c r="G118" i="6"/>
  <c r="AF118" i="6" s="1"/>
  <c r="AH118" i="6" s="1"/>
  <c r="K123" i="6"/>
  <c r="E76" i="6"/>
  <c r="R76" i="6" s="1"/>
  <c r="I85" i="6"/>
  <c r="Q85" i="6" s="1"/>
  <c r="H114" i="6"/>
  <c r="AG114" i="6" s="1"/>
  <c r="F114" i="6"/>
  <c r="D114" i="6"/>
  <c r="H148" i="6"/>
  <c r="AG148" i="6" s="1"/>
  <c r="G148" i="6"/>
  <c r="C148" i="6"/>
  <c r="K211" i="6"/>
  <c r="C176" i="6"/>
  <c r="K28" i="6"/>
  <c r="H28" i="6"/>
  <c r="AG28" i="6" s="1"/>
  <c r="C144" i="6"/>
  <c r="N144" i="6" s="1"/>
  <c r="E28" i="6"/>
  <c r="C39" i="6"/>
  <c r="N39" i="6" s="1"/>
  <c r="P67" i="6"/>
  <c r="E176" i="6"/>
  <c r="R176" i="6" s="1"/>
  <c r="D194" i="6"/>
  <c r="F144" i="6"/>
  <c r="AK144" i="6" s="1"/>
  <c r="K39" i="6"/>
  <c r="H95" i="6"/>
  <c r="AG95" i="6" s="1"/>
  <c r="J176" i="6"/>
  <c r="Q176" i="6" s="1"/>
  <c r="E82" i="6"/>
  <c r="T82" i="6" s="1"/>
  <c r="K95" i="6"/>
  <c r="G166" i="6"/>
  <c r="P166" i="6" s="1"/>
  <c r="T166" i="6" s="1"/>
  <c r="I166" i="6"/>
  <c r="H166" i="6"/>
  <c r="AG166" i="6" s="1"/>
  <c r="F166" i="6"/>
  <c r="E166" i="6"/>
  <c r="D166" i="6"/>
  <c r="L17" i="6"/>
  <c r="H78" i="6"/>
  <c r="AG78" i="6" s="1"/>
  <c r="G82" i="6"/>
  <c r="P82" i="6" s="1"/>
  <c r="D101" i="6"/>
  <c r="H131" i="6"/>
  <c r="AG131" i="6" s="1"/>
  <c r="G150" i="6"/>
  <c r="C166" i="6"/>
  <c r="O166" i="6" s="1"/>
  <c r="J194" i="6"/>
  <c r="D208" i="6"/>
  <c r="J164" i="6"/>
  <c r="H164" i="6"/>
  <c r="AG164" i="6" s="1"/>
  <c r="G164" i="6"/>
  <c r="P164" i="6" s="1"/>
  <c r="T164" i="6" s="1"/>
  <c r="G91" i="6"/>
  <c r="F95" i="6"/>
  <c r="AK95" i="6" s="1"/>
  <c r="D144" i="6"/>
  <c r="F28" i="6"/>
  <c r="AL28" i="6" s="1"/>
  <c r="G95" i="6"/>
  <c r="F131" i="6"/>
  <c r="F82" i="6"/>
  <c r="F145" i="6"/>
  <c r="D145" i="6"/>
  <c r="I194" i="6"/>
  <c r="D47" i="6"/>
  <c r="AK73" i="6"/>
  <c r="I82" i="6"/>
  <c r="F101" i="6"/>
  <c r="I131" i="6"/>
  <c r="I145" i="6"/>
  <c r="J166" i="6"/>
  <c r="Q166" i="6" s="1"/>
  <c r="U166" i="6" s="1"/>
  <c r="C49" i="6"/>
  <c r="L49" i="6" s="1"/>
  <c r="F91" i="6"/>
  <c r="AL91" i="6" s="1"/>
  <c r="E164" i="6"/>
  <c r="L164" i="6" s="1"/>
  <c r="H170" i="6"/>
  <c r="AG170" i="6" s="1"/>
  <c r="G170" i="6"/>
  <c r="E170" i="6"/>
  <c r="R170" i="6" s="1"/>
  <c r="C170" i="6"/>
  <c r="L170" i="6" s="1"/>
  <c r="D176" i="6"/>
  <c r="E134" i="6"/>
  <c r="R134" i="6" s="1"/>
  <c r="I176" i="6"/>
  <c r="E194" i="6"/>
  <c r="R194" i="6" s="1"/>
  <c r="P216" i="6"/>
  <c r="K134" i="6"/>
  <c r="G194" i="6"/>
  <c r="I95" i="6"/>
  <c r="K116" i="6"/>
  <c r="J116" i="6"/>
  <c r="G116" i="6"/>
  <c r="K176" i="6"/>
  <c r="K40" i="6"/>
  <c r="G40" i="6"/>
  <c r="AF40" i="6" s="1"/>
  <c r="AH40" i="6" s="1"/>
  <c r="C40" i="6"/>
  <c r="O40" i="6" s="1"/>
  <c r="G131" i="6"/>
  <c r="F150" i="6"/>
  <c r="E150" i="6"/>
  <c r="D150" i="6"/>
  <c r="C150" i="6"/>
  <c r="N150" i="6" s="1"/>
  <c r="P199" i="6"/>
  <c r="AF199" i="6"/>
  <c r="AH199" i="6" s="1"/>
  <c r="P17" i="6"/>
  <c r="T17" i="6" s="1"/>
  <c r="I150" i="6"/>
  <c r="Q150" i="6" s="1"/>
  <c r="K166" i="6"/>
  <c r="I172" i="6"/>
  <c r="H172" i="6"/>
  <c r="AG172" i="6" s="1"/>
  <c r="G195" i="6"/>
  <c r="J195" i="6"/>
  <c r="I195" i="6"/>
  <c r="F195" i="6"/>
  <c r="C136" i="6"/>
  <c r="C160" i="6"/>
  <c r="L160" i="6" s="1"/>
  <c r="C199" i="6"/>
  <c r="D199" i="6"/>
  <c r="E177" i="6"/>
  <c r="R177" i="6" s="1"/>
  <c r="F177" i="6"/>
  <c r="AK177" i="6" s="1"/>
  <c r="D55" i="6"/>
  <c r="Q45" i="6"/>
  <c r="R53" i="6"/>
  <c r="AH12" i="6"/>
  <c r="AH17" i="6"/>
  <c r="I7" i="6"/>
  <c r="H7" i="6"/>
  <c r="AG7" i="6" s="1"/>
  <c r="E7" i="6"/>
  <c r="D7" i="6"/>
  <c r="K7" i="6"/>
  <c r="J7" i="6"/>
  <c r="F7" i="6"/>
  <c r="G7" i="6"/>
  <c r="C7" i="6"/>
  <c r="R26" i="6"/>
  <c r="K58" i="6"/>
  <c r="H58" i="6"/>
  <c r="AG58" i="6" s="1"/>
  <c r="J58" i="6"/>
  <c r="G58" i="6"/>
  <c r="D58" i="6"/>
  <c r="I58" i="6"/>
  <c r="F58" i="6"/>
  <c r="E58" i="6"/>
  <c r="C58" i="6"/>
  <c r="AL9" i="6"/>
  <c r="AK9" i="6"/>
  <c r="P12" i="6"/>
  <c r="AF10" i="6"/>
  <c r="AH10" i="6" s="1"/>
  <c r="P10" i="6"/>
  <c r="AK13" i="6"/>
  <c r="AL13" i="6"/>
  <c r="K22" i="6"/>
  <c r="J22" i="6"/>
  <c r="G22" i="6"/>
  <c r="H22" i="6"/>
  <c r="AG22" i="6" s="1"/>
  <c r="I22" i="6"/>
  <c r="E22" i="6"/>
  <c r="F22" i="6"/>
  <c r="G6" i="6"/>
  <c r="F6" i="6"/>
  <c r="E6" i="6"/>
  <c r="H6" i="6"/>
  <c r="AG6" i="6" s="1"/>
  <c r="J6" i="6"/>
  <c r="I6" i="6"/>
  <c r="K6" i="6"/>
  <c r="P62" i="6"/>
  <c r="AF62" i="6"/>
  <c r="C6" i="6"/>
  <c r="E141" i="6"/>
  <c r="F141" i="6"/>
  <c r="C141" i="6"/>
  <c r="H141" i="6"/>
  <c r="AG141" i="6" s="1"/>
  <c r="G141" i="6"/>
  <c r="D141" i="6"/>
  <c r="J141" i="6"/>
  <c r="K141" i="6"/>
  <c r="I141" i="6"/>
  <c r="O27" i="6"/>
  <c r="L27" i="6"/>
  <c r="BA66" i="6"/>
  <c r="BB66" i="6" s="1"/>
  <c r="W66" i="6"/>
  <c r="C30" i="6"/>
  <c r="J30" i="6"/>
  <c r="F30" i="6"/>
  <c r="K30" i="6"/>
  <c r="D30" i="6"/>
  <c r="H30" i="6"/>
  <c r="AG30" i="6" s="1"/>
  <c r="E30" i="6"/>
  <c r="G30" i="6"/>
  <c r="I30" i="6"/>
  <c r="C22" i="6"/>
  <c r="AL31" i="6"/>
  <c r="AK31" i="6"/>
  <c r="D6" i="6"/>
  <c r="P76" i="6"/>
  <c r="AF76" i="6"/>
  <c r="AH76" i="6" s="1"/>
  <c r="D22" i="6"/>
  <c r="G34" i="6"/>
  <c r="J34" i="6"/>
  <c r="H34" i="6"/>
  <c r="AG34" i="6" s="1"/>
  <c r="K34" i="6"/>
  <c r="D34" i="6"/>
  <c r="I34" i="6"/>
  <c r="F34" i="6"/>
  <c r="E34" i="6"/>
  <c r="O34" i="6" s="1"/>
  <c r="M34" i="6"/>
  <c r="L34" i="6"/>
  <c r="N34" i="6"/>
  <c r="P48" i="6"/>
  <c r="AF48" i="6"/>
  <c r="H27" i="6"/>
  <c r="AG27" i="6" s="1"/>
  <c r="G36" i="6"/>
  <c r="K81" i="6"/>
  <c r="D81" i="6"/>
  <c r="E81" i="6"/>
  <c r="C81" i="6"/>
  <c r="G81" i="6"/>
  <c r="F81" i="6"/>
  <c r="J81" i="6"/>
  <c r="I81" i="6"/>
  <c r="H81" i="6"/>
  <c r="AG81" i="6" s="1"/>
  <c r="J96" i="6"/>
  <c r="E96" i="6"/>
  <c r="I96" i="6"/>
  <c r="H96" i="6"/>
  <c r="AG96" i="6" s="1"/>
  <c r="K96" i="6"/>
  <c r="C96" i="6"/>
  <c r="G96" i="6"/>
  <c r="F96" i="6"/>
  <c r="D96" i="6"/>
  <c r="AF195" i="6"/>
  <c r="P195" i="6"/>
  <c r="H13" i="6"/>
  <c r="AG13" i="6" s="1"/>
  <c r="H31" i="6"/>
  <c r="AG31" i="6" s="1"/>
  <c r="G31" i="6"/>
  <c r="D31" i="6"/>
  <c r="J31" i="6"/>
  <c r="C31" i="6"/>
  <c r="F36" i="6"/>
  <c r="E11" i="6"/>
  <c r="I13" i="6"/>
  <c r="C16" i="6"/>
  <c r="L18" i="6"/>
  <c r="M18" i="6"/>
  <c r="O18" i="6"/>
  <c r="J27" i="6"/>
  <c r="AL102" i="6"/>
  <c r="AK102" i="6"/>
  <c r="D8" i="6"/>
  <c r="I68" i="6"/>
  <c r="F68" i="6"/>
  <c r="H68" i="6"/>
  <c r="AG68" i="6" s="1"/>
  <c r="G68" i="6"/>
  <c r="D68" i="6"/>
  <c r="K68" i="6"/>
  <c r="I75" i="6"/>
  <c r="G75" i="6"/>
  <c r="C75" i="6"/>
  <c r="F75" i="6"/>
  <c r="E75" i="6"/>
  <c r="H75" i="6"/>
  <c r="AG75" i="6" s="1"/>
  <c r="K75" i="6"/>
  <c r="D75" i="6"/>
  <c r="J83" i="6"/>
  <c r="G83" i="6"/>
  <c r="D83" i="6"/>
  <c r="K83" i="6"/>
  <c r="C83" i="6"/>
  <c r="H83" i="6"/>
  <c r="AG83" i="6" s="1"/>
  <c r="I83" i="6"/>
  <c r="E83" i="6"/>
  <c r="F83" i="6"/>
  <c r="G8" i="6"/>
  <c r="G16" i="6"/>
  <c r="C25" i="6"/>
  <c r="K31" i="6"/>
  <c r="C32" i="6"/>
  <c r="G32" i="6"/>
  <c r="K32" i="6"/>
  <c r="I32" i="6"/>
  <c r="D32" i="6"/>
  <c r="R57" i="6"/>
  <c r="C68" i="6"/>
  <c r="J75" i="6"/>
  <c r="K14" i="6"/>
  <c r="H14" i="6"/>
  <c r="AG14" i="6" s="1"/>
  <c r="I14" i="6"/>
  <c r="D14" i="6"/>
  <c r="J14" i="6"/>
  <c r="E14" i="6"/>
  <c r="N14" i="6" s="1"/>
  <c r="H16" i="6"/>
  <c r="AG16" i="6" s="1"/>
  <c r="N18" i="6"/>
  <c r="G28" i="6"/>
  <c r="I28" i="6"/>
  <c r="D28" i="6"/>
  <c r="C28" i="6"/>
  <c r="J28" i="6"/>
  <c r="E32" i="6"/>
  <c r="R55" i="6"/>
  <c r="J56" i="6"/>
  <c r="G56" i="6"/>
  <c r="D56" i="6"/>
  <c r="F56" i="6"/>
  <c r="E56" i="6"/>
  <c r="I56" i="6"/>
  <c r="K56" i="6"/>
  <c r="E68" i="6"/>
  <c r="C72" i="6"/>
  <c r="H72" i="6"/>
  <c r="AG72" i="6" s="1"/>
  <c r="G72" i="6"/>
  <c r="I72" i="6"/>
  <c r="J72" i="6"/>
  <c r="E72" i="6"/>
  <c r="F72" i="6"/>
  <c r="D72" i="6"/>
  <c r="Q94" i="6"/>
  <c r="R122" i="6"/>
  <c r="C13" i="6"/>
  <c r="D24" i="6"/>
  <c r="K24" i="6"/>
  <c r="I24" i="6"/>
  <c r="G24" i="6"/>
  <c r="E24" i="6"/>
  <c r="C24" i="6"/>
  <c r="K36" i="6"/>
  <c r="E36" i="6"/>
  <c r="H36" i="6"/>
  <c r="AG36" i="6" s="1"/>
  <c r="I36" i="6"/>
  <c r="G110" i="6"/>
  <c r="D13" i="6"/>
  <c r="D36" i="6"/>
  <c r="I61" i="6"/>
  <c r="F61" i="6"/>
  <c r="C61" i="6"/>
  <c r="D61" i="6"/>
  <c r="H61" i="6"/>
  <c r="AG61" i="6" s="1"/>
  <c r="K61" i="6"/>
  <c r="G61" i="6"/>
  <c r="J61" i="6"/>
  <c r="E61" i="6"/>
  <c r="E31" i="6"/>
  <c r="G5" i="6"/>
  <c r="C5" i="6"/>
  <c r="J5" i="6"/>
  <c r="I5" i="6"/>
  <c r="E5" i="6"/>
  <c r="F5" i="6"/>
  <c r="D5" i="6"/>
  <c r="K5" i="6"/>
  <c r="F8" i="6"/>
  <c r="H8" i="6"/>
  <c r="AG8" i="6" s="1"/>
  <c r="C8" i="6"/>
  <c r="K8" i="6"/>
  <c r="I8" i="6"/>
  <c r="E8" i="6"/>
  <c r="D16" i="6"/>
  <c r="AF37" i="6"/>
  <c r="AH37" i="6" s="1"/>
  <c r="P37" i="6"/>
  <c r="H5" i="6"/>
  <c r="AG5" i="6" s="1"/>
  <c r="F16" i="6"/>
  <c r="R18" i="6"/>
  <c r="T18" i="6"/>
  <c r="G25" i="6"/>
  <c r="F25" i="6"/>
  <c r="I31" i="6"/>
  <c r="I205" i="6"/>
  <c r="K205" i="6"/>
  <c r="J205" i="6"/>
  <c r="H205" i="6"/>
  <c r="AG205" i="6" s="1"/>
  <c r="E205" i="6"/>
  <c r="C205" i="6"/>
  <c r="G205" i="6"/>
  <c r="F205" i="6"/>
  <c r="D205" i="6"/>
  <c r="L14" i="6"/>
  <c r="I16" i="6"/>
  <c r="E25" i="6"/>
  <c r="R28" i="6"/>
  <c r="F32" i="6"/>
  <c r="F38" i="6"/>
  <c r="J38" i="6"/>
  <c r="I38" i="6"/>
  <c r="E38" i="6"/>
  <c r="K38" i="6"/>
  <c r="G38" i="6"/>
  <c r="C38" i="6"/>
  <c r="H38" i="6"/>
  <c r="AG38" i="6" s="1"/>
  <c r="I39" i="6"/>
  <c r="F39" i="6"/>
  <c r="G39" i="6"/>
  <c r="H39" i="6"/>
  <c r="AG39" i="6" s="1"/>
  <c r="E39" i="6"/>
  <c r="J39" i="6"/>
  <c r="E40" i="6"/>
  <c r="I40" i="6"/>
  <c r="D40" i="6"/>
  <c r="H40" i="6"/>
  <c r="AG40" i="6" s="1"/>
  <c r="AL55" i="6"/>
  <c r="AK55" i="6"/>
  <c r="M56" i="6"/>
  <c r="L56" i="6"/>
  <c r="AL60" i="6"/>
  <c r="J68" i="6"/>
  <c r="J59" i="6"/>
  <c r="E59" i="6"/>
  <c r="D59" i="6"/>
  <c r="I59" i="6"/>
  <c r="H59" i="6"/>
  <c r="AG59" i="6" s="1"/>
  <c r="C59" i="6"/>
  <c r="K59" i="6"/>
  <c r="F59" i="6"/>
  <c r="H69" i="6"/>
  <c r="AG69" i="6" s="1"/>
  <c r="C69" i="6"/>
  <c r="D69" i="6"/>
  <c r="K69" i="6"/>
  <c r="F69" i="6"/>
  <c r="E69" i="6"/>
  <c r="J69" i="6"/>
  <c r="G69" i="6"/>
  <c r="I69" i="6"/>
  <c r="AH93" i="6"/>
  <c r="S17" i="6"/>
  <c r="G59" i="6"/>
  <c r="M73" i="6"/>
  <c r="F24" i="6"/>
  <c r="D27" i="6"/>
  <c r="K27" i="6"/>
  <c r="G27" i="6"/>
  <c r="F27" i="6"/>
  <c r="I27" i="6"/>
  <c r="C36" i="6"/>
  <c r="H24" i="6"/>
  <c r="AG24" i="6" s="1"/>
  <c r="K11" i="6"/>
  <c r="G11" i="6"/>
  <c r="F11" i="6"/>
  <c r="C11" i="6"/>
  <c r="H11" i="6"/>
  <c r="AG11" i="6" s="1"/>
  <c r="D11" i="6"/>
  <c r="I11" i="6"/>
  <c r="J24" i="6"/>
  <c r="AF9" i="6"/>
  <c r="AL14" i="6"/>
  <c r="AK14" i="6"/>
  <c r="J16" i="6"/>
  <c r="J63" i="6"/>
  <c r="G63" i="6"/>
  <c r="I63" i="6"/>
  <c r="H63" i="6"/>
  <c r="AG63" i="6" s="1"/>
  <c r="E63" i="6"/>
  <c r="C77" i="6"/>
  <c r="E77" i="6"/>
  <c r="K77" i="6"/>
  <c r="F77" i="6"/>
  <c r="J77" i="6"/>
  <c r="K21" i="6"/>
  <c r="I21" i="6"/>
  <c r="G21" i="6"/>
  <c r="J21" i="6"/>
  <c r="H21" i="6"/>
  <c r="AG21" i="6" s="1"/>
  <c r="F21" i="6"/>
  <c r="C63" i="6"/>
  <c r="J25" i="6"/>
  <c r="J41" i="6"/>
  <c r="H41" i="6"/>
  <c r="AG41" i="6" s="1"/>
  <c r="F41" i="6"/>
  <c r="E41" i="6"/>
  <c r="C41" i="6"/>
  <c r="I41" i="6"/>
  <c r="D41" i="6"/>
  <c r="K51" i="6"/>
  <c r="H51" i="6"/>
  <c r="AG51" i="6" s="1"/>
  <c r="E51" i="6"/>
  <c r="F51" i="6"/>
  <c r="D51" i="6"/>
  <c r="D53" i="6"/>
  <c r="K54" i="6"/>
  <c r="F54" i="6"/>
  <c r="C54" i="6"/>
  <c r="G54" i="6"/>
  <c r="J54" i="6"/>
  <c r="E54" i="6"/>
  <c r="I54" i="6"/>
  <c r="H54" i="6"/>
  <c r="AG54" i="6" s="1"/>
  <c r="D54" i="6"/>
  <c r="Q55" i="6"/>
  <c r="U55" i="6" s="1"/>
  <c r="D63" i="6"/>
  <c r="R67" i="6"/>
  <c r="G77" i="6"/>
  <c r="P112" i="6"/>
  <c r="AF112" i="6"/>
  <c r="D12" i="6"/>
  <c r="D21" i="6"/>
  <c r="K25" i="6"/>
  <c r="J40" i="6"/>
  <c r="G41" i="6"/>
  <c r="C42" i="6"/>
  <c r="C51" i="6"/>
  <c r="G52" i="6"/>
  <c r="K52" i="6"/>
  <c r="J52" i="6"/>
  <c r="I52" i="6"/>
  <c r="E52" i="6"/>
  <c r="D52" i="6"/>
  <c r="F52" i="6"/>
  <c r="F63" i="6"/>
  <c r="H77" i="6"/>
  <c r="AG77" i="6" s="1"/>
  <c r="N79" i="6"/>
  <c r="AM79" i="6" s="1"/>
  <c r="O79" i="6"/>
  <c r="M79" i="6"/>
  <c r="L79" i="6"/>
  <c r="O37" i="6"/>
  <c r="I53" i="6"/>
  <c r="C53" i="6"/>
  <c r="K53" i="6"/>
  <c r="G53" i="6"/>
  <c r="R17" i="6"/>
  <c r="K41" i="6"/>
  <c r="G51" i="6"/>
  <c r="L52" i="6"/>
  <c r="O52" i="6"/>
  <c r="F53" i="6"/>
  <c r="K63" i="6"/>
  <c r="I77" i="6"/>
  <c r="C21" i="6"/>
  <c r="I42" i="6"/>
  <c r="D42" i="6"/>
  <c r="J42" i="6"/>
  <c r="K42" i="6"/>
  <c r="G42" i="6"/>
  <c r="E42" i="6"/>
  <c r="F42" i="6"/>
  <c r="F12" i="6"/>
  <c r="J19" i="6"/>
  <c r="F19" i="6"/>
  <c r="E19" i="6"/>
  <c r="H19" i="6"/>
  <c r="AG19" i="6" s="1"/>
  <c r="C19" i="6"/>
  <c r="I19" i="6"/>
  <c r="G19" i="6"/>
  <c r="D19" i="6"/>
  <c r="E21" i="6"/>
  <c r="AK17" i="6"/>
  <c r="AL17" i="6"/>
  <c r="K19" i="6"/>
  <c r="H44" i="6"/>
  <c r="AG44" i="6" s="1"/>
  <c r="E44" i="6"/>
  <c r="K44" i="6"/>
  <c r="J44" i="6"/>
  <c r="I44" i="6"/>
  <c r="D44" i="6"/>
  <c r="G44" i="6"/>
  <c r="F44" i="6"/>
  <c r="D45" i="6"/>
  <c r="E45" i="6"/>
  <c r="C45" i="6"/>
  <c r="G45" i="6"/>
  <c r="K45" i="6"/>
  <c r="T47" i="6"/>
  <c r="R47" i="6"/>
  <c r="G49" i="6"/>
  <c r="D49" i="6"/>
  <c r="E49" i="6"/>
  <c r="H49" i="6"/>
  <c r="AG49" i="6" s="1"/>
  <c r="I51" i="6"/>
  <c r="H52" i="6"/>
  <c r="AG52" i="6" s="1"/>
  <c r="H53" i="6"/>
  <c r="AG53" i="6" s="1"/>
  <c r="F110" i="6"/>
  <c r="E110" i="6"/>
  <c r="O110" i="6" s="1"/>
  <c r="J110" i="6"/>
  <c r="D110" i="6"/>
  <c r="I110" i="6"/>
  <c r="K110" i="6"/>
  <c r="H110" i="6"/>
  <c r="AG110" i="6" s="1"/>
  <c r="S9" i="6"/>
  <c r="E13" i="6"/>
  <c r="K13" i="6"/>
  <c r="G13" i="6"/>
  <c r="J13" i="6"/>
  <c r="O78" i="6"/>
  <c r="Q60" i="6"/>
  <c r="H20" i="6"/>
  <c r="AG20" i="6" s="1"/>
  <c r="D20" i="6"/>
  <c r="I20" i="6"/>
  <c r="C20" i="6"/>
  <c r="J20" i="6"/>
  <c r="G20" i="6"/>
  <c r="F20" i="6"/>
  <c r="E20" i="6"/>
  <c r="E35" i="6"/>
  <c r="I35" i="6"/>
  <c r="H35" i="6"/>
  <c r="AG35" i="6" s="1"/>
  <c r="G35" i="6"/>
  <c r="C35" i="6"/>
  <c r="K35" i="6"/>
  <c r="J35" i="6"/>
  <c r="F35" i="6"/>
  <c r="D35" i="6"/>
  <c r="R16" i="6"/>
  <c r="E27" i="6"/>
  <c r="M27" i="6" s="1"/>
  <c r="J10" i="6"/>
  <c r="I10" i="6"/>
  <c r="D10" i="6"/>
  <c r="F10" i="6"/>
  <c r="H10" i="6"/>
  <c r="AG10" i="6" s="1"/>
  <c r="C10" i="6"/>
  <c r="P14" i="6"/>
  <c r="AF14" i="6"/>
  <c r="K16" i="6"/>
  <c r="Q25" i="6"/>
  <c r="D77" i="6"/>
  <c r="S80" i="6"/>
  <c r="C108" i="6"/>
  <c r="D108" i="6"/>
  <c r="G108" i="6"/>
  <c r="K108" i="6"/>
  <c r="H108" i="6"/>
  <c r="AG108" i="6" s="1"/>
  <c r="J108" i="6"/>
  <c r="I108" i="6"/>
  <c r="F108" i="6"/>
  <c r="E108" i="6"/>
  <c r="E10" i="6"/>
  <c r="E12" i="6"/>
  <c r="J12" i="6"/>
  <c r="K12" i="6"/>
  <c r="H12" i="6"/>
  <c r="AG12" i="6" s="1"/>
  <c r="C12" i="6"/>
  <c r="O132" i="6"/>
  <c r="M100" i="6"/>
  <c r="M123" i="6"/>
  <c r="O71" i="6"/>
  <c r="O150" i="6"/>
  <c r="L94" i="6"/>
  <c r="N64" i="6"/>
  <c r="K10" i="6"/>
  <c r="I12" i="6"/>
  <c r="K26" i="6"/>
  <c r="J26" i="6"/>
  <c r="G26" i="6"/>
  <c r="F26" i="6"/>
  <c r="I26" i="6"/>
  <c r="J43" i="6"/>
  <c r="I43" i="6"/>
  <c r="C43" i="6"/>
  <c r="K43" i="6"/>
  <c r="F43" i="6"/>
  <c r="D43" i="6"/>
  <c r="E43" i="6"/>
  <c r="G43" i="6"/>
  <c r="M44" i="6"/>
  <c r="L44" i="6"/>
  <c r="AL45" i="6"/>
  <c r="AK45" i="6"/>
  <c r="I46" i="6"/>
  <c r="G46" i="6"/>
  <c r="F46" i="6"/>
  <c r="C46" i="6"/>
  <c r="J46" i="6"/>
  <c r="K46" i="6"/>
  <c r="H46" i="6"/>
  <c r="AG46" i="6" s="1"/>
  <c r="D46" i="6"/>
  <c r="J51" i="6"/>
  <c r="J53" i="6"/>
  <c r="T67" i="6"/>
  <c r="AK82" i="6"/>
  <c r="AL82" i="6"/>
  <c r="I9" i="6"/>
  <c r="E9" i="6"/>
  <c r="N9" i="6" s="1"/>
  <c r="AM9" i="6" s="1"/>
  <c r="H9" i="6"/>
  <c r="AG9" i="6" s="1"/>
  <c r="Q17" i="6"/>
  <c r="C26" i="6"/>
  <c r="H43" i="6"/>
  <c r="AG43" i="6" s="1"/>
  <c r="H45" i="6"/>
  <c r="AG45" i="6" s="1"/>
  <c r="E46" i="6"/>
  <c r="P47" i="6"/>
  <c r="AF47" i="6"/>
  <c r="AL48" i="6"/>
  <c r="AK48" i="6"/>
  <c r="F49" i="6"/>
  <c r="N52" i="6"/>
  <c r="O60" i="6"/>
  <c r="L60" i="6"/>
  <c r="M60" i="6"/>
  <c r="E62" i="6"/>
  <c r="J62" i="6"/>
  <c r="I62" i="6"/>
  <c r="D62" i="6"/>
  <c r="H62" i="6"/>
  <c r="AG62" i="6" s="1"/>
  <c r="F62" i="6"/>
  <c r="C62" i="6"/>
  <c r="V66" i="6"/>
  <c r="S66" i="6"/>
  <c r="D93" i="6"/>
  <c r="I93" i="6"/>
  <c r="F93" i="6"/>
  <c r="J93" i="6"/>
  <c r="C93" i="6"/>
  <c r="K93" i="6"/>
  <c r="H93" i="6"/>
  <c r="AG93" i="6" s="1"/>
  <c r="E93" i="6"/>
  <c r="AL113" i="6"/>
  <c r="AK113" i="6"/>
  <c r="C112" i="6"/>
  <c r="I112" i="6"/>
  <c r="H112" i="6"/>
  <c r="AG112" i="6" s="1"/>
  <c r="K112" i="6"/>
  <c r="J112" i="6"/>
  <c r="F112" i="6"/>
  <c r="D112" i="6"/>
  <c r="E112" i="6"/>
  <c r="I129" i="6"/>
  <c r="G129" i="6"/>
  <c r="J129" i="6"/>
  <c r="K129" i="6"/>
  <c r="E129" i="6"/>
  <c r="H129" i="6"/>
  <c r="AG129" i="6" s="1"/>
  <c r="C129" i="6"/>
  <c r="F129" i="6"/>
  <c r="D129" i="6"/>
  <c r="AL47" i="6"/>
  <c r="AK47" i="6"/>
  <c r="AH67" i="6"/>
  <c r="C98" i="6"/>
  <c r="I98" i="6"/>
  <c r="E98" i="6"/>
  <c r="H98" i="6"/>
  <c r="AG98" i="6" s="1"/>
  <c r="D98" i="6"/>
  <c r="J98" i="6"/>
  <c r="G98" i="6"/>
  <c r="F98" i="6"/>
  <c r="M17" i="6"/>
  <c r="N17" i="6"/>
  <c r="AM17" i="6" s="1"/>
  <c r="Q47" i="6"/>
  <c r="H48" i="6"/>
  <c r="AG48" i="6" s="1"/>
  <c r="D48" i="6"/>
  <c r="C48" i="6"/>
  <c r="J48" i="6"/>
  <c r="Q48" i="6" s="1"/>
  <c r="E48" i="6"/>
  <c r="S67" i="6"/>
  <c r="J70" i="6"/>
  <c r="G70" i="6"/>
  <c r="C70" i="6"/>
  <c r="I70" i="6"/>
  <c r="F70" i="6"/>
  <c r="E70" i="6"/>
  <c r="Q71" i="6"/>
  <c r="Q87" i="6"/>
  <c r="E121" i="6"/>
  <c r="G121" i="6"/>
  <c r="D121" i="6"/>
  <c r="C121" i="6"/>
  <c r="H121" i="6"/>
  <c r="AG121" i="6" s="1"/>
  <c r="F121" i="6"/>
  <c r="I121" i="6"/>
  <c r="K121" i="6"/>
  <c r="J121" i="6"/>
  <c r="C23" i="6"/>
  <c r="J23" i="6"/>
  <c r="F23" i="6"/>
  <c r="E23" i="6"/>
  <c r="H23" i="6"/>
  <c r="AG23" i="6" s="1"/>
  <c r="I23" i="6"/>
  <c r="K33" i="6"/>
  <c r="H33" i="6"/>
  <c r="AG33" i="6" s="1"/>
  <c r="E33" i="6"/>
  <c r="D33" i="6"/>
  <c r="J33" i="6"/>
  <c r="Q33" i="6" s="1"/>
  <c r="C33" i="6"/>
  <c r="F57" i="6"/>
  <c r="K57" i="6"/>
  <c r="J57" i="6"/>
  <c r="I57" i="6"/>
  <c r="D57" i="6"/>
  <c r="C57" i="6"/>
  <c r="J82" i="6"/>
  <c r="H82" i="6"/>
  <c r="AG82" i="6" s="1"/>
  <c r="D82" i="6"/>
  <c r="C82" i="6"/>
  <c r="J90" i="6"/>
  <c r="C90" i="6"/>
  <c r="G90" i="6"/>
  <c r="K90" i="6"/>
  <c r="I90" i="6"/>
  <c r="E90" i="6"/>
  <c r="D90" i="6"/>
  <c r="H90" i="6"/>
  <c r="AG90" i="6" s="1"/>
  <c r="F90" i="6"/>
  <c r="K65" i="6"/>
  <c r="G65" i="6"/>
  <c r="J65" i="6"/>
  <c r="F65" i="6"/>
  <c r="D65" i="6"/>
  <c r="I65" i="6"/>
  <c r="C65" i="6"/>
  <c r="H17" i="6"/>
  <c r="AG17" i="6" s="1"/>
  <c r="D17" i="6"/>
  <c r="K17" i="6"/>
  <c r="D18" i="6"/>
  <c r="K18" i="6"/>
  <c r="H18" i="6"/>
  <c r="AG18" i="6" s="1"/>
  <c r="I18" i="6"/>
  <c r="F18" i="6"/>
  <c r="J18" i="6"/>
  <c r="H29" i="6"/>
  <c r="AG29" i="6" s="1"/>
  <c r="E29" i="6"/>
  <c r="J29" i="6"/>
  <c r="G29" i="6"/>
  <c r="D29" i="6"/>
  <c r="C29" i="6"/>
  <c r="E65" i="6"/>
  <c r="N99" i="6"/>
  <c r="Q133" i="6"/>
  <c r="C109" i="6"/>
  <c r="K109" i="6"/>
  <c r="G109" i="6"/>
  <c r="H109" i="6"/>
  <c r="AG109" i="6" s="1"/>
  <c r="D109" i="6"/>
  <c r="I109" i="6"/>
  <c r="F109" i="6"/>
  <c r="E109" i="6"/>
  <c r="AK74" i="6"/>
  <c r="AF99" i="6"/>
  <c r="AL107" i="6"/>
  <c r="G115" i="6"/>
  <c r="F115" i="6"/>
  <c r="I115" i="6"/>
  <c r="D115" i="6"/>
  <c r="H115" i="6"/>
  <c r="AG115" i="6" s="1"/>
  <c r="C115" i="6"/>
  <c r="K115" i="6"/>
  <c r="E115" i="6"/>
  <c r="AK145" i="6"/>
  <c r="AL145" i="6"/>
  <c r="P196" i="6"/>
  <c r="AF196" i="6"/>
  <c r="C50" i="6"/>
  <c r="J50" i="6"/>
  <c r="K50" i="6"/>
  <c r="F50" i="6"/>
  <c r="E50" i="6"/>
  <c r="H50" i="6"/>
  <c r="AG50" i="6" s="1"/>
  <c r="R60" i="6"/>
  <c r="AL85" i="6"/>
  <c r="AK85" i="6"/>
  <c r="F97" i="6"/>
  <c r="D97" i="6"/>
  <c r="G97" i="6"/>
  <c r="H97" i="6"/>
  <c r="AG97" i="6" s="1"/>
  <c r="E97" i="6"/>
  <c r="I97" i="6"/>
  <c r="K97" i="6"/>
  <c r="J97" i="6"/>
  <c r="C97" i="6"/>
  <c r="J88" i="6"/>
  <c r="G88" i="6"/>
  <c r="I88" i="6"/>
  <c r="D88" i="6"/>
  <c r="K88" i="6"/>
  <c r="P117" i="6"/>
  <c r="AF117" i="6"/>
  <c r="AH117" i="6" s="1"/>
  <c r="D130" i="6"/>
  <c r="G130" i="6"/>
  <c r="E130" i="6"/>
  <c r="C130" i="6"/>
  <c r="K130" i="6"/>
  <c r="J130" i="6"/>
  <c r="I130" i="6"/>
  <c r="F130" i="6"/>
  <c r="G74" i="6"/>
  <c r="C74" i="6"/>
  <c r="J74" i="6"/>
  <c r="Q74" i="6" s="1"/>
  <c r="E74" i="6"/>
  <c r="J86" i="6"/>
  <c r="H86" i="6"/>
  <c r="AG86" i="6" s="1"/>
  <c r="I86" i="6"/>
  <c r="G86" i="6"/>
  <c r="K86" i="6"/>
  <c r="F86" i="6"/>
  <c r="E86" i="6"/>
  <c r="C86" i="6"/>
  <c r="N87" i="6"/>
  <c r="O87" i="6"/>
  <c r="L87" i="6"/>
  <c r="C88" i="6"/>
  <c r="E89" i="6"/>
  <c r="D89" i="6"/>
  <c r="K89" i="6"/>
  <c r="J89" i="6"/>
  <c r="I89" i="6"/>
  <c r="F89" i="6"/>
  <c r="G89" i="6"/>
  <c r="C89" i="6"/>
  <c r="AK114" i="6"/>
  <c r="AL114" i="6"/>
  <c r="H130" i="6"/>
  <c r="AG130" i="6" s="1"/>
  <c r="AL101" i="6"/>
  <c r="AK101" i="6"/>
  <c r="C119" i="6"/>
  <c r="K119" i="6"/>
  <c r="H119" i="6"/>
  <c r="AG119" i="6" s="1"/>
  <c r="J119" i="6"/>
  <c r="F119" i="6"/>
  <c r="I119" i="6"/>
  <c r="AF148" i="6"/>
  <c r="AH148" i="6" s="1"/>
  <c r="P148" i="6"/>
  <c r="P136" i="6"/>
  <c r="AF136" i="6"/>
  <c r="AH136" i="6" s="1"/>
  <c r="F88" i="6"/>
  <c r="I15" i="6"/>
  <c r="K15" i="6"/>
  <c r="F15" i="6"/>
  <c r="E15" i="6"/>
  <c r="J15" i="6"/>
  <c r="H47" i="6"/>
  <c r="AG47" i="6" s="1"/>
  <c r="C47" i="6"/>
  <c r="H74" i="6"/>
  <c r="AG74" i="6" s="1"/>
  <c r="H88" i="6"/>
  <c r="AG88" i="6" s="1"/>
  <c r="L105" i="6"/>
  <c r="E119" i="6"/>
  <c r="K143" i="6"/>
  <c r="H143" i="6"/>
  <c r="AG143" i="6" s="1"/>
  <c r="J143" i="6"/>
  <c r="I143" i="6"/>
  <c r="F143" i="6"/>
  <c r="G143" i="6"/>
  <c r="E143" i="6"/>
  <c r="D143" i="6"/>
  <c r="C143" i="6"/>
  <c r="I127" i="6"/>
  <c r="E127" i="6"/>
  <c r="D127" i="6"/>
  <c r="K127" i="6"/>
  <c r="H127" i="6"/>
  <c r="AG127" i="6" s="1"/>
  <c r="G127" i="6"/>
  <c r="F127" i="6"/>
  <c r="C127" i="6"/>
  <c r="J127" i="6"/>
  <c r="D126" i="6"/>
  <c r="K126" i="6"/>
  <c r="J126" i="6"/>
  <c r="H126" i="6"/>
  <c r="AG126" i="6" s="1"/>
  <c r="F126" i="6"/>
  <c r="I126" i="6"/>
  <c r="C126" i="6"/>
  <c r="G126" i="6"/>
  <c r="E126" i="6"/>
  <c r="K73" i="6"/>
  <c r="H73" i="6"/>
  <c r="AG73" i="6" s="1"/>
  <c r="E73" i="6"/>
  <c r="L73" i="6" s="1"/>
  <c r="I73" i="6"/>
  <c r="J78" i="6"/>
  <c r="D78" i="6"/>
  <c r="I78" i="6"/>
  <c r="G78" i="6"/>
  <c r="F78" i="6"/>
  <c r="G111" i="6"/>
  <c r="I111" i="6"/>
  <c r="H111" i="6"/>
  <c r="AG111" i="6" s="1"/>
  <c r="D111" i="6"/>
  <c r="E111" i="6"/>
  <c r="L111" i="6" s="1"/>
  <c r="K111" i="6"/>
  <c r="J111" i="6"/>
  <c r="F111" i="6"/>
  <c r="I120" i="6"/>
  <c r="G120" i="6"/>
  <c r="E120" i="6"/>
  <c r="J120" i="6"/>
  <c r="F120" i="6"/>
  <c r="C120" i="6"/>
  <c r="H120" i="6"/>
  <c r="AG120" i="6" s="1"/>
  <c r="L71" i="6"/>
  <c r="M71" i="6"/>
  <c r="N71" i="6"/>
  <c r="D73" i="6"/>
  <c r="E78" i="6"/>
  <c r="L78" i="6" s="1"/>
  <c r="D156" i="6"/>
  <c r="I156" i="6"/>
  <c r="C156" i="6"/>
  <c r="K156" i="6"/>
  <c r="J156" i="6"/>
  <c r="H156" i="6"/>
  <c r="AG156" i="6" s="1"/>
  <c r="F156" i="6"/>
  <c r="E156" i="6"/>
  <c r="G156" i="6"/>
  <c r="G73" i="6"/>
  <c r="K78" i="6"/>
  <c r="J105" i="6"/>
  <c r="K105" i="6"/>
  <c r="F105" i="6"/>
  <c r="E105" i="6"/>
  <c r="I105" i="6"/>
  <c r="H105" i="6"/>
  <c r="AG105" i="6" s="1"/>
  <c r="G105" i="6"/>
  <c r="D67" i="6"/>
  <c r="I67" i="6"/>
  <c r="H67" i="6"/>
  <c r="AG67" i="6" s="1"/>
  <c r="K67" i="6"/>
  <c r="F67" i="6"/>
  <c r="C67" i="6"/>
  <c r="Q138" i="6"/>
  <c r="D92" i="6"/>
  <c r="K92" i="6"/>
  <c r="F92" i="6"/>
  <c r="G92" i="6"/>
  <c r="E92" i="6"/>
  <c r="N92" i="6" s="1"/>
  <c r="J92" i="6"/>
  <c r="Q92" i="6" s="1"/>
  <c r="P94" i="6"/>
  <c r="AF94" i="6"/>
  <c r="AL136" i="6"/>
  <c r="AK136" i="6"/>
  <c r="T135" i="6"/>
  <c r="G149" i="6"/>
  <c r="E149" i="6"/>
  <c r="C149" i="6"/>
  <c r="K149" i="6"/>
  <c r="I149" i="6"/>
  <c r="D149" i="6"/>
  <c r="F149" i="6"/>
  <c r="H149" i="6"/>
  <c r="AG149" i="6" s="1"/>
  <c r="J149" i="6"/>
  <c r="N125" i="6"/>
  <c r="S135" i="6"/>
  <c r="R146" i="6"/>
  <c r="F84" i="6"/>
  <c r="J84" i="6"/>
  <c r="D84" i="6"/>
  <c r="C84" i="6"/>
  <c r="K84" i="6"/>
  <c r="I84" i="6"/>
  <c r="E84" i="6"/>
  <c r="AL100" i="6"/>
  <c r="AK100" i="6"/>
  <c r="R135" i="6"/>
  <c r="J137" i="6"/>
  <c r="G137" i="6"/>
  <c r="D137" i="6"/>
  <c r="K137" i="6"/>
  <c r="I137" i="6"/>
  <c r="F137" i="6"/>
  <c r="H137" i="6"/>
  <c r="AG137" i="6" s="1"/>
  <c r="C137" i="6"/>
  <c r="E153" i="6"/>
  <c r="J153" i="6"/>
  <c r="G153" i="6"/>
  <c r="H153" i="6"/>
  <c r="AG153" i="6" s="1"/>
  <c r="K153" i="6"/>
  <c r="F153" i="6"/>
  <c r="I153" i="6"/>
  <c r="D153" i="6"/>
  <c r="C153" i="6"/>
  <c r="G163" i="6"/>
  <c r="C163" i="6"/>
  <c r="H163" i="6"/>
  <c r="AG163" i="6" s="1"/>
  <c r="K163" i="6"/>
  <c r="J163" i="6"/>
  <c r="I163" i="6"/>
  <c r="F163" i="6"/>
  <c r="E163" i="6"/>
  <c r="D163" i="6"/>
  <c r="R166" i="6"/>
  <c r="N166" i="6"/>
  <c r="K182" i="6"/>
  <c r="G182" i="6"/>
  <c r="F182" i="6"/>
  <c r="D182" i="6"/>
  <c r="J182" i="6"/>
  <c r="C182" i="6"/>
  <c r="H182" i="6"/>
  <c r="AG182" i="6" s="1"/>
  <c r="I182" i="6"/>
  <c r="I103" i="6"/>
  <c r="E103" i="6"/>
  <c r="K103" i="6"/>
  <c r="G103" i="6"/>
  <c r="C103" i="6"/>
  <c r="H103" i="6"/>
  <c r="AG103" i="6" s="1"/>
  <c r="D103" i="6"/>
  <c r="D124" i="6"/>
  <c r="J124" i="6"/>
  <c r="K124" i="6"/>
  <c r="H124" i="6"/>
  <c r="AG124" i="6" s="1"/>
  <c r="F124" i="6"/>
  <c r="E124" i="6"/>
  <c r="I124" i="6"/>
  <c r="K140" i="6"/>
  <c r="F140" i="6"/>
  <c r="C140" i="6"/>
  <c r="H140" i="6"/>
  <c r="AG140" i="6" s="1"/>
  <c r="I140" i="6"/>
  <c r="E140" i="6"/>
  <c r="D140" i="6"/>
  <c r="O160" i="6"/>
  <c r="E182" i="6"/>
  <c r="P160" i="6"/>
  <c r="AF160" i="6"/>
  <c r="K91" i="6"/>
  <c r="E91" i="6"/>
  <c r="I91" i="6"/>
  <c r="H91" i="6"/>
  <c r="AG91" i="6" s="1"/>
  <c r="D91" i="6"/>
  <c r="F103" i="6"/>
  <c r="C124" i="6"/>
  <c r="G140" i="6"/>
  <c r="D151" i="6"/>
  <c r="H151" i="6"/>
  <c r="AG151" i="6" s="1"/>
  <c r="F151" i="6"/>
  <c r="I151" i="6"/>
  <c r="K151" i="6"/>
  <c r="G151" i="6"/>
  <c r="J151" i="6"/>
  <c r="E151" i="6"/>
  <c r="C91" i="6"/>
  <c r="J103" i="6"/>
  <c r="G124" i="6"/>
  <c r="H128" i="6"/>
  <c r="AG128" i="6" s="1"/>
  <c r="J128" i="6"/>
  <c r="D128" i="6"/>
  <c r="C128" i="6"/>
  <c r="K128" i="6"/>
  <c r="I128" i="6"/>
  <c r="G128" i="6"/>
  <c r="E128" i="6"/>
  <c r="F128" i="6"/>
  <c r="J140" i="6"/>
  <c r="C151" i="6"/>
  <c r="R123" i="6"/>
  <c r="AK146" i="6"/>
  <c r="AL146" i="6"/>
  <c r="G79" i="6"/>
  <c r="K79" i="6"/>
  <c r="H79" i="6"/>
  <c r="AG79" i="6" s="1"/>
  <c r="D79" i="6"/>
  <c r="I79" i="6"/>
  <c r="AL79" i="6"/>
  <c r="I107" i="6"/>
  <c r="C107" i="6"/>
  <c r="D107" i="6"/>
  <c r="H107" i="6"/>
  <c r="AG107" i="6" s="1"/>
  <c r="G107" i="6"/>
  <c r="AL132" i="6"/>
  <c r="AK132" i="6"/>
  <c r="J80" i="6"/>
  <c r="Q80" i="6" s="1"/>
  <c r="V80" i="6" s="1"/>
  <c r="E80" i="6"/>
  <c r="D85" i="6"/>
  <c r="H85" i="6"/>
  <c r="AG85" i="6" s="1"/>
  <c r="C85" i="6"/>
  <c r="N100" i="6"/>
  <c r="AM100" i="6" s="1"/>
  <c r="L100" i="6"/>
  <c r="O100" i="6"/>
  <c r="AF122" i="6"/>
  <c r="AH122" i="6" s="1"/>
  <c r="P122" i="6"/>
  <c r="T122" i="6" s="1"/>
  <c r="J37" i="6"/>
  <c r="Q37" i="6" s="1"/>
  <c r="E37" i="6"/>
  <c r="M37" i="6" s="1"/>
  <c r="F37" i="6"/>
  <c r="AF55" i="6"/>
  <c r="AH55" i="6" s="1"/>
  <c r="J79" i="6"/>
  <c r="C80" i="6"/>
  <c r="E85" i="6"/>
  <c r="K107" i="6"/>
  <c r="W113" i="6"/>
  <c r="BA113" i="6"/>
  <c r="BB113" i="6" s="1"/>
  <c r="F116" i="6"/>
  <c r="D116" i="6"/>
  <c r="C116" i="6"/>
  <c r="I116" i="6"/>
  <c r="E116" i="6"/>
  <c r="J152" i="6"/>
  <c r="I152" i="6"/>
  <c r="G152" i="6"/>
  <c r="K152" i="6"/>
  <c r="F152" i="6"/>
  <c r="E152" i="6"/>
  <c r="C152" i="6"/>
  <c r="H152" i="6"/>
  <c r="AG152" i="6" s="1"/>
  <c r="C161" i="6"/>
  <c r="I161" i="6"/>
  <c r="F161" i="6"/>
  <c r="D161" i="6"/>
  <c r="G161" i="6"/>
  <c r="K161" i="6"/>
  <c r="E161" i="6"/>
  <c r="AK179" i="6"/>
  <c r="AL179" i="6"/>
  <c r="J118" i="6"/>
  <c r="E118" i="6"/>
  <c r="F118" i="6"/>
  <c r="C118" i="6"/>
  <c r="K118" i="6"/>
  <c r="D118" i="6"/>
  <c r="V113" i="6"/>
  <c r="I157" i="6"/>
  <c r="J157" i="6"/>
  <c r="K157" i="6"/>
  <c r="D157" i="6"/>
  <c r="H157" i="6"/>
  <c r="AG157" i="6" s="1"/>
  <c r="G157" i="6"/>
  <c r="F157" i="6"/>
  <c r="E157" i="6"/>
  <c r="O157" i="6" s="1"/>
  <c r="P190" i="6"/>
  <c r="AF190" i="6"/>
  <c r="K180" i="6"/>
  <c r="J180" i="6"/>
  <c r="H180" i="6"/>
  <c r="AG180" i="6" s="1"/>
  <c r="I180" i="6"/>
  <c r="G180" i="6"/>
  <c r="E180" i="6"/>
  <c r="F180" i="6"/>
  <c r="D180" i="6"/>
  <c r="C180" i="6"/>
  <c r="K76" i="6"/>
  <c r="F76" i="6"/>
  <c r="C76" i="6"/>
  <c r="I76" i="6"/>
  <c r="D76" i="6"/>
  <c r="H80" i="6"/>
  <c r="AG80" i="6" s="1"/>
  <c r="AH80" i="6" s="1"/>
  <c r="J85" i="6"/>
  <c r="D95" i="6"/>
  <c r="J95" i="6"/>
  <c r="Q95" i="6" s="1"/>
  <c r="E95" i="6"/>
  <c r="L95" i="6" s="1"/>
  <c r="E99" i="6"/>
  <c r="M99" i="6" s="1"/>
  <c r="J99" i="6"/>
  <c r="Q99" i="6" s="1"/>
  <c r="F99" i="6"/>
  <c r="H99" i="6"/>
  <c r="AG99" i="6" s="1"/>
  <c r="H106" i="6"/>
  <c r="AG106" i="6" s="1"/>
  <c r="F106" i="6"/>
  <c r="G106" i="6"/>
  <c r="J106" i="6"/>
  <c r="D106" i="6"/>
  <c r="K106" i="6"/>
  <c r="I106" i="6"/>
  <c r="I118" i="6"/>
  <c r="O123" i="6"/>
  <c r="L123" i="6"/>
  <c r="N123" i="6"/>
  <c r="R147" i="6"/>
  <c r="G133" i="6"/>
  <c r="F133" i="6"/>
  <c r="D133" i="6"/>
  <c r="K133" i="6"/>
  <c r="E133" i="6"/>
  <c r="C133" i="6"/>
  <c r="H66" i="6"/>
  <c r="AG66" i="6" s="1"/>
  <c r="AH66" i="6" s="1"/>
  <c r="E66" i="6"/>
  <c r="I101" i="6"/>
  <c r="G101" i="6"/>
  <c r="E101" i="6"/>
  <c r="D104" i="6"/>
  <c r="C104" i="6"/>
  <c r="K104" i="6"/>
  <c r="G104" i="6"/>
  <c r="K113" i="6"/>
  <c r="C113" i="6"/>
  <c r="H113" i="6"/>
  <c r="AG113" i="6" s="1"/>
  <c r="AH113" i="6" s="1"/>
  <c r="E113" i="6"/>
  <c r="C55" i="6"/>
  <c r="C66" i="6"/>
  <c r="G71" i="6"/>
  <c r="D71" i="6"/>
  <c r="D100" i="6"/>
  <c r="K100" i="6"/>
  <c r="H100" i="6"/>
  <c r="AG100" i="6" s="1"/>
  <c r="C101" i="6"/>
  <c r="E104" i="6"/>
  <c r="D113" i="6"/>
  <c r="C142" i="6"/>
  <c r="J142" i="6"/>
  <c r="H142" i="6"/>
  <c r="AG142" i="6" s="1"/>
  <c r="E142" i="6"/>
  <c r="K142" i="6"/>
  <c r="I142" i="6"/>
  <c r="D142" i="6"/>
  <c r="G142" i="6"/>
  <c r="F142" i="6"/>
  <c r="AF191" i="6"/>
  <c r="AH191" i="6" s="1"/>
  <c r="P191" i="6"/>
  <c r="Q102" i="6"/>
  <c r="L117" i="6"/>
  <c r="O117" i="6"/>
  <c r="J175" i="6"/>
  <c r="H175" i="6"/>
  <c r="AG175" i="6" s="1"/>
  <c r="G175" i="6"/>
  <c r="E175" i="6"/>
  <c r="D175" i="6"/>
  <c r="K175" i="6"/>
  <c r="I175" i="6"/>
  <c r="F175" i="6"/>
  <c r="C175" i="6"/>
  <c r="AL195" i="6"/>
  <c r="AK195" i="6"/>
  <c r="M132" i="6"/>
  <c r="L132" i="6"/>
  <c r="N132" i="6"/>
  <c r="E159" i="6"/>
  <c r="G159" i="6"/>
  <c r="C159" i="6"/>
  <c r="H159" i="6"/>
  <c r="AG159" i="6" s="1"/>
  <c r="J159" i="6"/>
  <c r="I159" i="6"/>
  <c r="D159" i="6"/>
  <c r="F159" i="6"/>
  <c r="K159" i="6"/>
  <c r="I64" i="6"/>
  <c r="D64" i="6"/>
  <c r="F94" i="6"/>
  <c r="H94" i="6"/>
  <c r="AG94" i="6" s="1"/>
  <c r="R132" i="6"/>
  <c r="AK154" i="6"/>
  <c r="AL154" i="6"/>
  <c r="E145" i="6"/>
  <c r="G145" i="6"/>
  <c r="K145" i="6"/>
  <c r="J145" i="6"/>
  <c r="Q145" i="6" s="1"/>
  <c r="C145" i="6"/>
  <c r="G114" i="6"/>
  <c r="K114" i="6"/>
  <c r="J114" i="6"/>
  <c r="E87" i="6"/>
  <c r="M87" i="6" s="1"/>
  <c r="E114" i="6"/>
  <c r="N114" i="6" s="1"/>
  <c r="AM114" i="6" s="1"/>
  <c r="I114" i="6"/>
  <c r="K139" i="6"/>
  <c r="F139" i="6"/>
  <c r="G139" i="6"/>
  <c r="E139" i="6"/>
  <c r="C139" i="6"/>
  <c r="J139" i="6"/>
  <c r="R173" i="6"/>
  <c r="C197" i="6"/>
  <c r="D197" i="6"/>
  <c r="H197" i="6"/>
  <c r="AG197" i="6" s="1"/>
  <c r="F197" i="6"/>
  <c r="K197" i="6"/>
  <c r="E197" i="6"/>
  <c r="AF197" i="6"/>
  <c r="AH197" i="6" s="1"/>
  <c r="P197" i="6"/>
  <c r="P147" i="6"/>
  <c r="AF147" i="6"/>
  <c r="H181" i="6"/>
  <c r="AG181" i="6" s="1"/>
  <c r="E181" i="6"/>
  <c r="J181" i="6"/>
  <c r="Q181" i="6" s="1"/>
  <c r="C181" i="6"/>
  <c r="K181" i="6"/>
  <c r="G181" i="6"/>
  <c r="D181" i="6"/>
  <c r="F181" i="6"/>
  <c r="I117" i="6"/>
  <c r="F117" i="6"/>
  <c r="N184" i="6"/>
  <c r="M184" i="6"/>
  <c r="L184" i="6"/>
  <c r="O184" i="6"/>
  <c r="F168" i="6"/>
  <c r="J168" i="6"/>
  <c r="Q168" i="6" s="1"/>
  <c r="D168" i="6"/>
  <c r="G168" i="6"/>
  <c r="E168" i="6"/>
  <c r="C168" i="6"/>
  <c r="H168" i="6"/>
  <c r="AG168" i="6" s="1"/>
  <c r="K169" i="6"/>
  <c r="J169" i="6"/>
  <c r="I169" i="6"/>
  <c r="D169" i="6"/>
  <c r="E169" i="6"/>
  <c r="C169" i="6"/>
  <c r="H169" i="6"/>
  <c r="AG169" i="6" s="1"/>
  <c r="F169" i="6"/>
  <c r="G169" i="6"/>
  <c r="P187" i="6"/>
  <c r="AF187" i="6"/>
  <c r="AH187" i="6" s="1"/>
  <c r="D134" i="6"/>
  <c r="C134" i="6"/>
  <c r="I134" i="6"/>
  <c r="H134" i="6"/>
  <c r="AG134" i="6" s="1"/>
  <c r="F134" i="6"/>
  <c r="N158" i="6"/>
  <c r="E178" i="6"/>
  <c r="I178" i="6"/>
  <c r="K178" i="6"/>
  <c r="H178" i="6"/>
  <c r="AG178" i="6" s="1"/>
  <c r="G178" i="6"/>
  <c r="F178" i="6"/>
  <c r="C178" i="6"/>
  <c r="F138" i="6"/>
  <c r="E138" i="6"/>
  <c r="D138" i="6"/>
  <c r="G138" i="6"/>
  <c r="K147" i="6"/>
  <c r="H147" i="6"/>
  <c r="AG147" i="6" s="1"/>
  <c r="I147" i="6"/>
  <c r="F147" i="6"/>
  <c r="Q211" i="6"/>
  <c r="G134" i="6"/>
  <c r="C138" i="6"/>
  <c r="G144" i="6"/>
  <c r="K144" i="6"/>
  <c r="E144" i="6"/>
  <c r="I144" i="6"/>
  <c r="C147" i="6"/>
  <c r="AK158" i="6"/>
  <c r="AL158" i="6"/>
  <c r="K164" i="6"/>
  <c r="D164" i="6"/>
  <c r="F164" i="6"/>
  <c r="I164" i="6"/>
  <c r="J178" i="6"/>
  <c r="F173" i="6"/>
  <c r="G173" i="6"/>
  <c r="I173" i="6"/>
  <c r="D173" i="6"/>
  <c r="H173" i="6"/>
  <c r="AG173" i="6" s="1"/>
  <c r="K173" i="6"/>
  <c r="R164" i="6"/>
  <c r="N173" i="6"/>
  <c r="M173" i="6"/>
  <c r="F191" i="6"/>
  <c r="H191" i="6"/>
  <c r="AG191" i="6" s="1"/>
  <c r="D191" i="6"/>
  <c r="K191" i="6"/>
  <c r="C191" i="6"/>
  <c r="J191" i="6"/>
  <c r="E191" i="6"/>
  <c r="I191" i="6"/>
  <c r="R198" i="6"/>
  <c r="K138" i="6"/>
  <c r="H144" i="6"/>
  <c r="AG144" i="6" s="1"/>
  <c r="J147" i="6"/>
  <c r="K165" i="6"/>
  <c r="C165" i="6"/>
  <c r="F165" i="6"/>
  <c r="I165" i="6"/>
  <c r="E165" i="6"/>
  <c r="G165" i="6"/>
  <c r="D165" i="6"/>
  <c r="H165" i="6"/>
  <c r="AG165" i="6" s="1"/>
  <c r="J173" i="6"/>
  <c r="AL184" i="6"/>
  <c r="AK184" i="6"/>
  <c r="AR184" i="6" s="1"/>
  <c r="J122" i="6"/>
  <c r="I122" i="6"/>
  <c r="C122" i="6"/>
  <c r="K122" i="6"/>
  <c r="E125" i="6"/>
  <c r="M125" i="6" s="1"/>
  <c r="H125" i="6"/>
  <c r="AG125" i="6" s="1"/>
  <c r="G125" i="6"/>
  <c r="D125" i="6"/>
  <c r="I179" i="6"/>
  <c r="G179" i="6"/>
  <c r="D179" i="6"/>
  <c r="C179" i="6"/>
  <c r="E179" i="6"/>
  <c r="H179" i="6"/>
  <c r="AG179" i="6" s="1"/>
  <c r="C196" i="6"/>
  <c r="H196" i="6"/>
  <c r="AG196" i="6" s="1"/>
  <c r="E196" i="6"/>
  <c r="D196" i="6"/>
  <c r="J196" i="6"/>
  <c r="I196" i="6"/>
  <c r="F196" i="6"/>
  <c r="K196" i="6"/>
  <c r="K135" i="6"/>
  <c r="F135" i="6"/>
  <c r="C135" i="6"/>
  <c r="J135" i="6"/>
  <c r="Q135" i="6" s="1"/>
  <c r="Q194" i="6"/>
  <c r="F122" i="6"/>
  <c r="I125" i="6"/>
  <c r="D135" i="6"/>
  <c r="E136" i="6"/>
  <c r="L136" i="6" s="1"/>
  <c r="I136" i="6"/>
  <c r="H158" i="6"/>
  <c r="AG158" i="6" s="1"/>
  <c r="G158" i="6"/>
  <c r="E158" i="6"/>
  <c r="L158" i="6" s="1"/>
  <c r="J158" i="6"/>
  <c r="Q158" i="6" s="1"/>
  <c r="D160" i="6"/>
  <c r="H160" i="6"/>
  <c r="AG160" i="6" s="1"/>
  <c r="E160" i="6"/>
  <c r="J160" i="6"/>
  <c r="I160" i="6"/>
  <c r="F160" i="6"/>
  <c r="L166" i="6"/>
  <c r="K179" i="6"/>
  <c r="Q183" i="6"/>
  <c r="Q131" i="6"/>
  <c r="H132" i="6"/>
  <c r="AG132" i="6" s="1"/>
  <c r="I132" i="6"/>
  <c r="J132" i="6"/>
  <c r="G154" i="6"/>
  <c r="D154" i="6"/>
  <c r="J154" i="6"/>
  <c r="Q154" i="6" s="1"/>
  <c r="U154" i="6" s="1"/>
  <c r="C154" i="6"/>
  <c r="Q195" i="6"/>
  <c r="AF201" i="6"/>
  <c r="P201" i="6"/>
  <c r="R174" i="6"/>
  <c r="J148" i="6"/>
  <c r="Q148" i="6" s="1"/>
  <c r="E148" i="6"/>
  <c r="G167" i="6"/>
  <c r="F167" i="6"/>
  <c r="I167" i="6"/>
  <c r="C167" i="6"/>
  <c r="I171" i="6"/>
  <c r="D171" i="6"/>
  <c r="G171" i="6"/>
  <c r="F171" i="6"/>
  <c r="E171" i="6"/>
  <c r="C171" i="6"/>
  <c r="H171" i="6"/>
  <c r="AG171" i="6" s="1"/>
  <c r="C131" i="6"/>
  <c r="K131" i="6"/>
  <c r="E131" i="6"/>
  <c r="D148" i="6"/>
  <c r="H162" i="6"/>
  <c r="AG162" i="6" s="1"/>
  <c r="G162" i="6"/>
  <c r="J162" i="6"/>
  <c r="I162" i="6"/>
  <c r="F162" i="6"/>
  <c r="D162" i="6"/>
  <c r="E167" i="6"/>
  <c r="K171" i="6"/>
  <c r="F190" i="6"/>
  <c r="I190" i="6"/>
  <c r="K190" i="6"/>
  <c r="H190" i="6"/>
  <c r="AG190" i="6" s="1"/>
  <c r="D190" i="6"/>
  <c r="C190" i="6"/>
  <c r="D131" i="6"/>
  <c r="K146" i="6"/>
  <c r="J146" i="6"/>
  <c r="D146" i="6"/>
  <c r="F148" i="6"/>
  <c r="C162" i="6"/>
  <c r="H167" i="6"/>
  <c r="AG167" i="6" s="1"/>
  <c r="E190" i="6"/>
  <c r="H209" i="6"/>
  <c r="AG209" i="6" s="1"/>
  <c r="C209" i="6"/>
  <c r="K209" i="6"/>
  <c r="J209" i="6"/>
  <c r="I209" i="6"/>
  <c r="G209" i="6"/>
  <c r="D209" i="6"/>
  <c r="F209" i="6"/>
  <c r="I123" i="6"/>
  <c r="F123" i="6"/>
  <c r="R150" i="6"/>
  <c r="L176" i="6"/>
  <c r="E209" i="6"/>
  <c r="L211" i="6"/>
  <c r="N211" i="6"/>
  <c r="AM211" i="6" s="1"/>
  <c r="R185" i="6"/>
  <c r="F172" i="6"/>
  <c r="E172" i="6"/>
  <c r="K172" i="6"/>
  <c r="D172" i="6"/>
  <c r="J172" i="6"/>
  <c r="G172" i="6"/>
  <c r="AF194" i="6"/>
  <c r="AH194" i="6" s="1"/>
  <c r="P194" i="6"/>
  <c r="C172" i="6"/>
  <c r="M199" i="6"/>
  <c r="O199" i="6"/>
  <c r="N199" i="6"/>
  <c r="L199" i="6"/>
  <c r="Q172" i="6"/>
  <c r="T199" i="6"/>
  <c r="R199" i="6"/>
  <c r="J170" i="6"/>
  <c r="I170" i="6"/>
  <c r="D170" i="6"/>
  <c r="K170" i="6"/>
  <c r="H183" i="6"/>
  <c r="AG183" i="6" s="1"/>
  <c r="K183" i="6"/>
  <c r="C183" i="6"/>
  <c r="J183" i="6"/>
  <c r="F183" i="6"/>
  <c r="E183" i="6"/>
  <c r="D183" i="6"/>
  <c r="G183" i="6"/>
  <c r="D193" i="6"/>
  <c r="C193" i="6"/>
  <c r="K193" i="6"/>
  <c r="F193" i="6"/>
  <c r="I193" i="6"/>
  <c r="G193" i="6"/>
  <c r="E193" i="6"/>
  <c r="J193" i="6"/>
  <c r="H193" i="6"/>
  <c r="AG193" i="6" s="1"/>
  <c r="AK199" i="6"/>
  <c r="AL199" i="6"/>
  <c r="J189" i="6"/>
  <c r="G189" i="6"/>
  <c r="I189" i="6"/>
  <c r="E189" i="6"/>
  <c r="D189" i="6"/>
  <c r="K189" i="6"/>
  <c r="F189" i="6"/>
  <c r="J174" i="6"/>
  <c r="I174" i="6"/>
  <c r="F174" i="6"/>
  <c r="G174" i="6"/>
  <c r="C189" i="6"/>
  <c r="E155" i="6"/>
  <c r="M155" i="6" s="1"/>
  <c r="J155" i="6"/>
  <c r="Q155" i="6" s="1"/>
  <c r="D155" i="6"/>
  <c r="F155" i="6"/>
  <c r="F170" i="6"/>
  <c r="C174" i="6"/>
  <c r="D177" i="6"/>
  <c r="G177" i="6"/>
  <c r="C177" i="6"/>
  <c r="J177" i="6"/>
  <c r="I177" i="6"/>
  <c r="H177" i="6"/>
  <c r="AG177" i="6" s="1"/>
  <c r="AL187" i="6"/>
  <c r="H189" i="6"/>
  <c r="AG189" i="6" s="1"/>
  <c r="C186" i="6"/>
  <c r="D186" i="6"/>
  <c r="K186" i="6"/>
  <c r="H186" i="6"/>
  <c r="AG186" i="6" s="1"/>
  <c r="G186" i="6"/>
  <c r="F186" i="6"/>
  <c r="J186" i="6"/>
  <c r="Q199" i="6"/>
  <c r="I186" i="6"/>
  <c r="R214" i="6"/>
  <c r="N214" i="6"/>
  <c r="M214" i="6"/>
  <c r="L214" i="6"/>
  <c r="O214" i="6"/>
  <c r="C188" i="6"/>
  <c r="E188" i="6"/>
  <c r="G188" i="6"/>
  <c r="F188" i="6"/>
  <c r="I188" i="6"/>
  <c r="H188" i="6"/>
  <c r="AG188" i="6" s="1"/>
  <c r="F192" i="6"/>
  <c r="E192" i="6"/>
  <c r="G192" i="6"/>
  <c r="I192" i="6"/>
  <c r="C192" i="6"/>
  <c r="H192" i="6"/>
  <c r="AG192" i="6" s="1"/>
  <c r="AL166" i="6"/>
  <c r="AK166" i="6"/>
  <c r="J192" i="6"/>
  <c r="K194" i="6"/>
  <c r="C194" i="6"/>
  <c r="F194" i="6"/>
  <c r="N203" i="6"/>
  <c r="AM203" i="6" s="1"/>
  <c r="M203" i="6"/>
  <c r="O203" i="6"/>
  <c r="R203" i="6"/>
  <c r="L203" i="6"/>
  <c r="Q201" i="6"/>
  <c r="J207" i="6"/>
  <c r="H207" i="6"/>
  <c r="AG207" i="6" s="1"/>
  <c r="G207" i="6"/>
  <c r="F207" i="6"/>
  <c r="E207" i="6"/>
  <c r="D207" i="6"/>
  <c r="K207" i="6"/>
  <c r="I207" i="6"/>
  <c r="C207" i="6"/>
  <c r="D185" i="6"/>
  <c r="F185" i="6"/>
  <c r="G185" i="6"/>
  <c r="D187" i="6"/>
  <c r="J187" i="6"/>
  <c r="E187" i="6"/>
  <c r="R184" i="6"/>
  <c r="C185" i="6"/>
  <c r="C187" i="6"/>
  <c r="H195" i="6"/>
  <c r="AG195" i="6" s="1"/>
  <c r="E195" i="6"/>
  <c r="K213" i="6"/>
  <c r="H213" i="6"/>
  <c r="AG213" i="6" s="1"/>
  <c r="F213" i="6"/>
  <c r="I213" i="6"/>
  <c r="G213" i="6"/>
  <c r="E213" i="6"/>
  <c r="J213" i="6"/>
  <c r="D213" i="6"/>
  <c r="C213" i="6"/>
  <c r="J185" i="6"/>
  <c r="Q185" i="6" s="1"/>
  <c r="U185" i="6" s="1"/>
  <c r="I187" i="6"/>
  <c r="C195" i="6"/>
  <c r="P200" i="6"/>
  <c r="K185" i="6"/>
  <c r="K187" i="6"/>
  <c r="D195" i="6"/>
  <c r="D201" i="6"/>
  <c r="H201" i="6"/>
  <c r="AG201" i="6" s="1"/>
  <c r="C201" i="6"/>
  <c r="F201" i="6"/>
  <c r="K201" i="6"/>
  <c r="E201" i="6"/>
  <c r="S199" i="6"/>
  <c r="I208" i="6"/>
  <c r="G208" i="6"/>
  <c r="K208" i="6"/>
  <c r="H208" i="6"/>
  <c r="AG208" i="6" s="1"/>
  <c r="J208" i="6"/>
  <c r="F208" i="6"/>
  <c r="J184" i="6"/>
  <c r="H184" i="6"/>
  <c r="AG184" i="6" s="1"/>
  <c r="G184" i="6"/>
  <c r="E208" i="6"/>
  <c r="N208" i="6" s="1"/>
  <c r="I184" i="6"/>
  <c r="AL211" i="6"/>
  <c r="AK211" i="6"/>
  <c r="Q216" i="6"/>
  <c r="S216" i="6"/>
  <c r="Q203" i="6"/>
  <c r="J215" i="6"/>
  <c r="Q215" i="6" s="1"/>
  <c r="H215" i="6"/>
  <c r="AG215" i="6" s="1"/>
  <c r="K215" i="6"/>
  <c r="E215" i="6"/>
  <c r="D215" i="6"/>
  <c r="C215" i="6"/>
  <c r="G215" i="6"/>
  <c r="I198" i="6"/>
  <c r="G198" i="6"/>
  <c r="K198" i="6"/>
  <c r="F198" i="6"/>
  <c r="C198" i="6"/>
  <c r="J200" i="6"/>
  <c r="E200" i="6"/>
  <c r="M200" i="6" s="1"/>
  <c r="I200" i="6"/>
  <c r="H200" i="6"/>
  <c r="AG200" i="6" s="1"/>
  <c r="AH200" i="6" s="1"/>
  <c r="F215" i="6"/>
  <c r="G202" i="6"/>
  <c r="E202" i="6"/>
  <c r="H202" i="6"/>
  <c r="AG202" i="6" s="1"/>
  <c r="C202" i="6"/>
  <c r="K202" i="6"/>
  <c r="E206" i="6"/>
  <c r="C206" i="6"/>
  <c r="K206" i="6"/>
  <c r="I206" i="6"/>
  <c r="G206" i="6"/>
  <c r="H204" i="6"/>
  <c r="AG204" i="6" s="1"/>
  <c r="G204" i="6"/>
  <c r="F204" i="6"/>
  <c r="E204" i="6"/>
  <c r="D204" i="6"/>
  <c r="J204" i="6"/>
  <c r="I204" i="6"/>
  <c r="K204" i="6"/>
  <c r="K210" i="6"/>
  <c r="C210" i="6"/>
  <c r="D210" i="6"/>
  <c r="H203" i="6"/>
  <c r="AG203" i="6" s="1"/>
  <c r="G203" i="6"/>
  <c r="E210" i="6"/>
  <c r="F210" i="6"/>
  <c r="J214" i="6"/>
  <c r="G214" i="6"/>
  <c r="K216" i="6"/>
  <c r="H216" i="6"/>
  <c r="AG216" i="6" s="1"/>
  <c r="AH216" i="6" s="1"/>
  <c r="F216" i="6"/>
  <c r="C216" i="6"/>
  <c r="E216" i="6"/>
  <c r="D212" i="6"/>
  <c r="G211" i="6"/>
  <c r="D211" i="6"/>
  <c r="H212" i="6"/>
  <c r="AG212" i="6" s="1"/>
  <c r="AF84" i="6" l="1"/>
  <c r="AH84" i="6" s="1"/>
  <c r="P84" i="6"/>
  <c r="S84" i="6" s="1"/>
  <c r="AH64" i="6"/>
  <c r="AF170" i="6"/>
  <c r="AH170" i="6" s="1"/>
  <c r="P170" i="6"/>
  <c r="O15" i="6"/>
  <c r="AL150" i="6"/>
  <c r="AK150" i="6"/>
  <c r="AM150" i="6" s="1"/>
  <c r="M211" i="6"/>
  <c r="R106" i="6"/>
  <c r="AK91" i="6"/>
  <c r="V99" i="6"/>
  <c r="AK131" i="6"/>
  <c r="AL131" i="6"/>
  <c r="AF146" i="6"/>
  <c r="AH146" i="6" s="1"/>
  <c r="P146" i="6"/>
  <c r="AL87" i="6"/>
  <c r="AK87" i="6"/>
  <c r="Q214" i="6"/>
  <c r="M166" i="6"/>
  <c r="O173" i="6"/>
  <c r="AH94" i="6"/>
  <c r="M78" i="6"/>
  <c r="O170" i="6"/>
  <c r="P95" i="6"/>
  <c r="AF95" i="6"/>
  <c r="AH95" i="6" s="1"/>
  <c r="AK104" i="6"/>
  <c r="AL104" i="6"/>
  <c r="AK64" i="6"/>
  <c r="AM64" i="6" s="1"/>
  <c r="AL64" i="6"/>
  <c r="AF15" i="6"/>
  <c r="AH15" i="6" s="1"/>
  <c r="P15" i="6"/>
  <c r="S15" i="6" s="1"/>
  <c r="AF91" i="6"/>
  <c r="AH91" i="6" s="1"/>
  <c r="P91" i="6"/>
  <c r="S91" i="6" s="1"/>
  <c r="BA104" i="6"/>
  <c r="BB104" i="6" s="1"/>
  <c r="AM125" i="6"/>
  <c r="O64" i="6"/>
  <c r="N170" i="6"/>
  <c r="AF164" i="6"/>
  <c r="AH164" i="6" s="1"/>
  <c r="AL202" i="6"/>
  <c r="AK202" i="6"/>
  <c r="AF166" i="6"/>
  <c r="AH166" i="6" s="1"/>
  <c r="P155" i="6"/>
  <c r="AM132" i="6"/>
  <c r="AH190" i="6"/>
  <c r="M117" i="6"/>
  <c r="R212" i="6"/>
  <c r="AM87" i="6"/>
  <c r="AH212" i="6"/>
  <c r="N164" i="6"/>
  <c r="AH99" i="6"/>
  <c r="N176" i="6"/>
  <c r="P132" i="6"/>
  <c r="V132" i="6" s="1"/>
  <c r="M49" i="6"/>
  <c r="M150" i="6"/>
  <c r="M208" i="6"/>
  <c r="AL177" i="6"/>
  <c r="P40" i="6"/>
  <c r="T40" i="6" s="1"/>
  <c r="AL125" i="6"/>
  <c r="AK125" i="6"/>
  <c r="AF64" i="6"/>
  <c r="P64" i="6"/>
  <c r="S64" i="6" s="1"/>
  <c r="M15" i="6"/>
  <c r="AL176" i="6"/>
  <c r="AK176" i="6"/>
  <c r="AF102" i="6"/>
  <c r="AH102" i="6" s="1"/>
  <c r="P102" i="6"/>
  <c r="S102" i="6" s="1"/>
  <c r="L150" i="6"/>
  <c r="T94" i="6"/>
  <c r="AF131" i="6"/>
  <c r="AH131" i="6" s="1"/>
  <c r="P131" i="6"/>
  <c r="S131" i="6" s="1"/>
  <c r="M164" i="6"/>
  <c r="AH50" i="6"/>
  <c r="Q139" i="6"/>
  <c r="U139" i="6" s="1"/>
  <c r="AF150" i="6"/>
  <c r="AH150" i="6" s="1"/>
  <c r="P150" i="6"/>
  <c r="S150" i="6" s="1"/>
  <c r="M176" i="6"/>
  <c r="N49" i="6"/>
  <c r="AM49" i="6" s="1"/>
  <c r="N40" i="6"/>
  <c r="AM40" i="6" s="1"/>
  <c r="L200" i="6"/>
  <c r="L146" i="6"/>
  <c r="N212" i="6"/>
  <c r="AM212" i="6" s="1"/>
  <c r="P23" i="6"/>
  <c r="S23" i="6" s="1"/>
  <c r="AF23" i="6"/>
  <c r="AH23" i="6" s="1"/>
  <c r="AL212" i="6"/>
  <c r="O146" i="6"/>
  <c r="M64" i="6"/>
  <c r="N160" i="6"/>
  <c r="AM160" i="6" s="1"/>
  <c r="N94" i="6"/>
  <c r="AM94" i="6" s="1"/>
  <c r="AL29" i="6"/>
  <c r="M212" i="6"/>
  <c r="O39" i="6"/>
  <c r="U211" i="6"/>
  <c r="N102" i="6"/>
  <c r="AM102" i="6" s="1"/>
  <c r="M146" i="6"/>
  <c r="L212" i="6"/>
  <c r="M40" i="6"/>
  <c r="M39" i="6"/>
  <c r="P50" i="6"/>
  <c r="S50" i="6" s="1"/>
  <c r="AF50" i="6"/>
  <c r="M170" i="6"/>
  <c r="P212" i="6"/>
  <c r="S212" i="6" s="1"/>
  <c r="AF212" i="6"/>
  <c r="N106" i="6"/>
  <c r="O164" i="6"/>
  <c r="L39" i="6"/>
  <c r="AL71" i="6"/>
  <c r="AK71" i="6"/>
  <c r="AL144" i="6"/>
  <c r="R64" i="6"/>
  <c r="AM71" i="6"/>
  <c r="L102" i="6"/>
  <c r="T76" i="6"/>
  <c r="AF85" i="6"/>
  <c r="AH85" i="6" s="1"/>
  <c r="P85" i="6"/>
  <c r="S85" i="6" s="1"/>
  <c r="AH62" i="6"/>
  <c r="AK206" i="6"/>
  <c r="AL206" i="6"/>
  <c r="AM199" i="6"/>
  <c r="AL95" i="6"/>
  <c r="T117" i="6"/>
  <c r="O106" i="6"/>
  <c r="O49" i="6"/>
  <c r="L40" i="6"/>
  <c r="AF60" i="6"/>
  <c r="AH60" i="6" s="1"/>
  <c r="P60" i="6"/>
  <c r="P87" i="6"/>
  <c r="R82" i="6"/>
  <c r="O94" i="6"/>
  <c r="AL33" i="6"/>
  <c r="AK33" i="6"/>
  <c r="P176" i="6"/>
  <c r="V176" i="6" s="1"/>
  <c r="P118" i="6"/>
  <c r="S118" i="6" s="1"/>
  <c r="P119" i="6"/>
  <c r="T119" i="6" s="1"/>
  <c r="R102" i="6"/>
  <c r="Q82" i="6"/>
  <c r="U82" i="6" s="1"/>
  <c r="AF82" i="6"/>
  <c r="AK28" i="6"/>
  <c r="T123" i="6"/>
  <c r="AL214" i="6"/>
  <c r="AK214" i="6"/>
  <c r="M106" i="6"/>
  <c r="AM214" i="6"/>
  <c r="O176" i="6"/>
  <c r="AH14" i="6"/>
  <c r="AF210" i="6"/>
  <c r="AH210" i="6" s="1"/>
  <c r="M102" i="6"/>
  <c r="M95" i="6"/>
  <c r="AF33" i="6"/>
  <c r="AH33" i="6" s="1"/>
  <c r="O73" i="6"/>
  <c r="AF123" i="6"/>
  <c r="AH123" i="6" s="1"/>
  <c r="P123" i="6"/>
  <c r="S123" i="6" s="1"/>
  <c r="R100" i="6"/>
  <c r="V102" i="6"/>
  <c r="P57" i="6"/>
  <c r="AF57" i="6"/>
  <c r="AH57" i="6" s="1"/>
  <c r="AF116" i="6"/>
  <c r="AH116" i="6" s="1"/>
  <c r="P116" i="6"/>
  <c r="S116" i="6" s="1"/>
  <c r="N78" i="6"/>
  <c r="AM78" i="6" s="1"/>
  <c r="P100" i="6"/>
  <c r="S100" i="6" s="1"/>
  <c r="AF100" i="6"/>
  <c r="AH100" i="6" s="1"/>
  <c r="BA135" i="6"/>
  <c r="BB135" i="6" s="1"/>
  <c r="W135" i="6"/>
  <c r="U135" i="6"/>
  <c r="V135" i="6"/>
  <c r="W74" i="6"/>
  <c r="BA74" i="6"/>
  <c r="BB74" i="6" s="1"/>
  <c r="BA214" i="6"/>
  <c r="BB214" i="6" s="1"/>
  <c r="W214" i="6"/>
  <c r="U214" i="6"/>
  <c r="W215" i="6"/>
  <c r="BA215" i="6"/>
  <c r="BB215" i="6" s="1"/>
  <c r="Q200" i="6"/>
  <c r="O89" i="6"/>
  <c r="L89" i="6"/>
  <c r="N89" i="6"/>
  <c r="M89" i="6"/>
  <c r="P193" i="6"/>
  <c r="AF193" i="6"/>
  <c r="AH193" i="6" s="1"/>
  <c r="P89" i="6"/>
  <c r="T89" i="6" s="1"/>
  <c r="AF89" i="6"/>
  <c r="AH89" i="6" s="1"/>
  <c r="Q186" i="6"/>
  <c r="U195" i="6"/>
  <c r="R195" i="6"/>
  <c r="T195" i="6"/>
  <c r="AK111" i="6"/>
  <c r="AL111" i="6"/>
  <c r="AK54" i="6"/>
  <c r="AL54" i="6"/>
  <c r="R209" i="6"/>
  <c r="P183" i="6"/>
  <c r="AF183" i="6"/>
  <c r="AH183" i="6" s="1"/>
  <c r="R204" i="6"/>
  <c r="M204" i="6"/>
  <c r="L204" i="6"/>
  <c r="N204" i="6"/>
  <c r="O204" i="6"/>
  <c r="V199" i="6"/>
  <c r="BA183" i="6"/>
  <c r="BB183" i="6" s="1"/>
  <c r="W183" i="6"/>
  <c r="O191" i="6"/>
  <c r="M191" i="6"/>
  <c r="N191" i="6"/>
  <c r="L191" i="6"/>
  <c r="U168" i="6"/>
  <c r="R168" i="6"/>
  <c r="AH147" i="6"/>
  <c r="W176" i="6"/>
  <c r="BA176" i="6"/>
  <c r="BB176" i="6" s="1"/>
  <c r="U176" i="6"/>
  <c r="R159" i="6"/>
  <c r="R103" i="6"/>
  <c r="Q163" i="6"/>
  <c r="AK105" i="6"/>
  <c r="AL105" i="6"/>
  <c r="AL120" i="6"/>
  <c r="AK120" i="6"/>
  <c r="AL15" i="6"/>
  <c r="AK15" i="6"/>
  <c r="AF88" i="6"/>
  <c r="AH88" i="6" s="1"/>
  <c r="P88" i="6"/>
  <c r="AL65" i="6"/>
  <c r="AK65" i="6"/>
  <c r="Q57" i="6"/>
  <c r="M35" i="6"/>
  <c r="N35" i="6"/>
  <c r="L35" i="6"/>
  <c r="O35" i="6"/>
  <c r="M63" i="6"/>
  <c r="O63" i="6"/>
  <c r="N63" i="6"/>
  <c r="L63" i="6"/>
  <c r="Q27" i="6"/>
  <c r="T75" i="6"/>
  <c r="R75" i="6"/>
  <c r="M114" i="6"/>
  <c r="O7" i="6"/>
  <c r="M7" i="6"/>
  <c r="N7" i="6"/>
  <c r="L7" i="6"/>
  <c r="AL164" i="6"/>
  <c r="AK164" i="6"/>
  <c r="AF214" i="6"/>
  <c r="AH214" i="6" s="1"/>
  <c r="P214" i="6"/>
  <c r="AK204" i="6"/>
  <c r="AL204" i="6"/>
  <c r="W216" i="6"/>
  <c r="BA216" i="6"/>
  <c r="BB216" i="6" s="1"/>
  <c r="V216" i="6"/>
  <c r="Q213" i="6"/>
  <c r="AF167" i="6"/>
  <c r="AH167" i="6" s="1"/>
  <c r="P167" i="6"/>
  <c r="AL134" i="6"/>
  <c r="AK134" i="6"/>
  <c r="AF168" i="6"/>
  <c r="AH168" i="6" s="1"/>
  <c r="P168" i="6"/>
  <c r="S147" i="6"/>
  <c r="T147" i="6"/>
  <c r="N104" i="6"/>
  <c r="M104" i="6"/>
  <c r="O104" i="6"/>
  <c r="L104" i="6"/>
  <c r="AK116" i="6"/>
  <c r="AL116" i="6"/>
  <c r="P151" i="6"/>
  <c r="T151" i="6" s="1"/>
  <c r="AF151" i="6"/>
  <c r="AH151" i="6" s="1"/>
  <c r="Q103" i="6"/>
  <c r="U103" i="6" s="1"/>
  <c r="AK149" i="6"/>
  <c r="AL149" i="6"/>
  <c r="AK92" i="6"/>
  <c r="AM92" i="6" s="1"/>
  <c r="AL92" i="6"/>
  <c r="R126" i="6"/>
  <c r="R143" i="6"/>
  <c r="R109" i="6"/>
  <c r="Q129" i="6"/>
  <c r="AF35" i="6"/>
  <c r="AH35" i="6" s="1"/>
  <c r="P35" i="6"/>
  <c r="U54" i="6"/>
  <c r="R54" i="6"/>
  <c r="AL27" i="6"/>
  <c r="AK27" i="6"/>
  <c r="M69" i="6"/>
  <c r="N69" i="6"/>
  <c r="O69" i="6"/>
  <c r="L69" i="6"/>
  <c r="AK75" i="6"/>
  <c r="AL75" i="6"/>
  <c r="R141" i="6"/>
  <c r="S10" i="6"/>
  <c r="AF7" i="6"/>
  <c r="AH7" i="6" s="1"/>
  <c r="P7" i="6"/>
  <c r="AL210" i="6"/>
  <c r="AK210" i="6"/>
  <c r="BA155" i="6"/>
  <c r="BB155" i="6" s="1"/>
  <c r="W155" i="6"/>
  <c r="P74" i="6"/>
  <c r="AF74" i="6"/>
  <c r="AH74" i="6" s="1"/>
  <c r="AF128" i="6"/>
  <c r="AH128" i="6" s="1"/>
  <c r="P128" i="6"/>
  <c r="T128" i="6" s="1"/>
  <c r="N62" i="6"/>
  <c r="L62" i="6"/>
  <c r="M62" i="6"/>
  <c r="O62" i="6"/>
  <c r="W29" i="6"/>
  <c r="BA29" i="6"/>
  <c r="BB29" i="6" s="1"/>
  <c r="P26" i="6"/>
  <c r="AF26" i="6"/>
  <c r="AH26" i="6" s="1"/>
  <c r="N12" i="6"/>
  <c r="O12" i="6"/>
  <c r="L12" i="6"/>
  <c r="M12" i="6"/>
  <c r="AL205" i="6"/>
  <c r="AK205" i="6"/>
  <c r="P203" i="6"/>
  <c r="AF203" i="6"/>
  <c r="AH203" i="6" s="1"/>
  <c r="P206" i="6"/>
  <c r="T206" i="6" s="1"/>
  <c r="AF206" i="6"/>
  <c r="AH206" i="6" s="1"/>
  <c r="AF184" i="6"/>
  <c r="AH184" i="6" s="1"/>
  <c r="P184" i="6"/>
  <c r="P207" i="6"/>
  <c r="AF207" i="6"/>
  <c r="AH207" i="6" s="1"/>
  <c r="M192" i="6"/>
  <c r="L192" i="6"/>
  <c r="N192" i="6"/>
  <c r="O192" i="6"/>
  <c r="O189" i="6"/>
  <c r="L189" i="6"/>
  <c r="N189" i="6"/>
  <c r="AM189" i="6" s="1"/>
  <c r="M189" i="6"/>
  <c r="L193" i="6"/>
  <c r="O193" i="6"/>
  <c r="N193" i="6"/>
  <c r="M193" i="6"/>
  <c r="BA150" i="6"/>
  <c r="BB150" i="6" s="1"/>
  <c r="W150" i="6"/>
  <c r="U150" i="6"/>
  <c r="U138" i="6"/>
  <c r="R138" i="6"/>
  <c r="BA210" i="6"/>
  <c r="BB210" i="6" s="1"/>
  <c r="W210" i="6"/>
  <c r="S191" i="6"/>
  <c r="Q76" i="6"/>
  <c r="Q128" i="6"/>
  <c r="U128" i="6" s="1"/>
  <c r="AF140" i="6"/>
  <c r="AH140" i="6" s="1"/>
  <c r="P140" i="6"/>
  <c r="N140" i="6"/>
  <c r="M140" i="6"/>
  <c r="L140" i="6"/>
  <c r="O140" i="6"/>
  <c r="R156" i="6"/>
  <c r="Q18" i="6"/>
  <c r="R33" i="6"/>
  <c r="T33" i="6"/>
  <c r="U33" i="6"/>
  <c r="L46" i="6"/>
  <c r="O46" i="6"/>
  <c r="N46" i="6"/>
  <c r="M46" i="6"/>
  <c r="Q53" i="6"/>
  <c r="O42" i="6"/>
  <c r="N42" i="6"/>
  <c r="L42" i="6"/>
  <c r="M42" i="6"/>
  <c r="P205" i="6"/>
  <c r="T205" i="6" s="1"/>
  <c r="AF205" i="6"/>
  <c r="AH205" i="6" s="1"/>
  <c r="R72" i="6"/>
  <c r="Q6" i="6"/>
  <c r="AK170" i="6"/>
  <c r="AL170" i="6"/>
  <c r="R120" i="6"/>
  <c r="T120" i="6"/>
  <c r="Q151" i="6"/>
  <c r="U151" i="6" s="1"/>
  <c r="Q143" i="6"/>
  <c r="U143" i="6" s="1"/>
  <c r="W138" i="6"/>
  <c r="BA138" i="6"/>
  <c r="BB138" i="6" s="1"/>
  <c r="R20" i="6"/>
  <c r="S148" i="6"/>
  <c r="V148" i="6"/>
  <c r="AL18" i="6"/>
  <c r="AK18" i="6"/>
  <c r="Q206" i="6"/>
  <c r="P198" i="6"/>
  <c r="AF198" i="6"/>
  <c r="AH198" i="6" s="1"/>
  <c r="L185" i="6"/>
  <c r="M185" i="6"/>
  <c r="N185" i="6"/>
  <c r="O185" i="6"/>
  <c r="Q192" i="6"/>
  <c r="AL186" i="6"/>
  <c r="AK186" i="6"/>
  <c r="AF174" i="6"/>
  <c r="AH174" i="6" s="1"/>
  <c r="P174" i="6"/>
  <c r="Q160" i="6"/>
  <c r="U160" i="6" s="1"/>
  <c r="AM173" i="6"/>
  <c r="N76" i="6"/>
  <c r="L76" i="6"/>
  <c r="O76" i="6"/>
  <c r="M76" i="6"/>
  <c r="N124" i="6"/>
  <c r="O124" i="6"/>
  <c r="M124" i="6"/>
  <c r="L124" i="6"/>
  <c r="R111" i="6"/>
  <c r="O111" i="6"/>
  <c r="N111" i="6"/>
  <c r="M111" i="6"/>
  <c r="Q119" i="6"/>
  <c r="U119" i="6" s="1"/>
  <c r="Q90" i="6"/>
  <c r="U90" i="6" s="1"/>
  <c r="O26" i="6"/>
  <c r="L26" i="6"/>
  <c r="N26" i="6"/>
  <c r="AM26" i="6" s="1"/>
  <c r="M26" i="6"/>
  <c r="AK46" i="6"/>
  <c r="AL46" i="6"/>
  <c r="AF41" i="6"/>
  <c r="AH41" i="6" s="1"/>
  <c r="P41" i="6"/>
  <c r="T41" i="6" s="1"/>
  <c r="R39" i="6"/>
  <c r="N205" i="6"/>
  <c r="L205" i="6"/>
  <c r="M205" i="6"/>
  <c r="O205" i="6"/>
  <c r="P16" i="6"/>
  <c r="AF16" i="6"/>
  <c r="AH16" i="6" s="1"/>
  <c r="AF34" i="6"/>
  <c r="AH34" i="6" s="1"/>
  <c r="P34" i="6"/>
  <c r="Q7" i="6"/>
  <c r="U7" i="6" s="1"/>
  <c r="P204" i="6"/>
  <c r="AF204" i="6"/>
  <c r="AH204" i="6" s="1"/>
  <c r="Q207" i="6"/>
  <c r="U74" i="6"/>
  <c r="R74" i="6"/>
  <c r="P65" i="6"/>
  <c r="AF65" i="6"/>
  <c r="AH65" i="6" s="1"/>
  <c r="Q16" i="6"/>
  <c r="AK155" i="6"/>
  <c r="AL155" i="6"/>
  <c r="U148" i="6"/>
  <c r="R148" i="6"/>
  <c r="T148" i="6"/>
  <c r="O148" i="6"/>
  <c r="L148" i="6"/>
  <c r="M148" i="6"/>
  <c r="R114" i="6"/>
  <c r="L114" i="6"/>
  <c r="R29" i="6"/>
  <c r="U29" i="6"/>
  <c r="W87" i="6"/>
  <c r="BA87" i="6"/>
  <c r="BB87" i="6" s="1"/>
  <c r="N61" i="6"/>
  <c r="AM61" i="6" s="1"/>
  <c r="O61" i="6"/>
  <c r="M61" i="6"/>
  <c r="L61" i="6"/>
  <c r="T84" i="6"/>
  <c r="R84" i="6"/>
  <c r="AL89" i="6"/>
  <c r="AK89" i="6"/>
  <c r="L33" i="6"/>
  <c r="O33" i="6"/>
  <c r="N33" i="6"/>
  <c r="AM33" i="6" s="1"/>
  <c r="M33" i="6"/>
  <c r="P21" i="6"/>
  <c r="AF21" i="6"/>
  <c r="AH21" i="6" s="1"/>
  <c r="R8" i="6"/>
  <c r="W94" i="6"/>
  <c r="BA94" i="6"/>
  <c r="BB94" i="6" s="1"/>
  <c r="Q184" i="6"/>
  <c r="Q162" i="6"/>
  <c r="AL126" i="6"/>
  <c r="AK126" i="6"/>
  <c r="W71" i="6"/>
  <c r="BA71" i="6"/>
  <c r="BB71" i="6" s="1"/>
  <c r="U71" i="6"/>
  <c r="P52" i="6"/>
  <c r="AF52" i="6"/>
  <c r="AH52" i="6" s="1"/>
  <c r="P211" i="6"/>
  <c r="AF211" i="6"/>
  <c r="AH211" i="6" s="1"/>
  <c r="Q174" i="6"/>
  <c r="Q62" i="6"/>
  <c r="T12" i="6"/>
  <c r="R12" i="6"/>
  <c r="AF72" i="6"/>
  <c r="AH72" i="6" s="1"/>
  <c r="P72" i="6"/>
  <c r="T72" i="6" s="1"/>
  <c r="R206" i="6"/>
  <c r="U183" i="6"/>
  <c r="T183" i="6"/>
  <c r="R183" i="6"/>
  <c r="O178" i="6"/>
  <c r="N178" i="6"/>
  <c r="L178" i="6"/>
  <c r="M178" i="6"/>
  <c r="O107" i="6"/>
  <c r="M107" i="6"/>
  <c r="N107" i="6"/>
  <c r="AM107" i="6" s="1"/>
  <c r="L107" i="6"/>
  <c r="R124" i="6"/>
  <c r="R149" i="6"/>
  <c r="U94" i="6"/>
  <c r="BA92" i="6"/>
  <c r="BB92" i="6" s="1"/>
  <c r="W92" i="6"/>
  <c r="AK39" i="6"/>
  <c r="AL39" i="6"/>
  <c r="S76" i="6"/>
  <c r="AL6" i="6"/>
  <c r="AK6" i="6"/>
  <c r="M195" i="6"/>
  <c r="N195" i="6"/>
  <c r="AM195" i="6" s="1"/>
  <c r="L195" i="6"/>
  <c r="O195" i="6"/>
  <c r="T187" i="6"/>
  <c r="R187" i="6"/>
  <c r="AL183" i="6"/>
  <c r="AK183" i="6"/>
  <c r="V194" i="6"/>
  <c r="S194" i="6"/>
  <c r="T194" i="6"/>
  <c r="W195" i="6"/>
  <c r="BA195" i="6"/>
  <c r="BB195" i="6" s="1"/>
  <c r="W139" i="6"/>
  <c r="BA139" i="6"/>
  <c r="BB139" i="6" s="1"/>
  <c r="L175" i="6"/>
  <c r="M175" i="6"/>
  <c r="O175" i="6"/>
  <c r="N175" i="6"/>
  <c r="N133" i="6"/>
  <c r="M133" i="6"/>
  <c r="L133" i="6"/>
  <c r="O133" i="6"/>
  <c r="BA37" i="6"/>
  <c r="BB37" i="6" s="1"/>
  <c r="W37" i="6"/>
  <c r="AL127" i="6"/>
  <c r="AK127" i="6"/>
  <c r="T62" i="6"/>
  <c r="R62" i="6"/>
  <c r="BA85" i="6"/>
  <c r="BB85" i="6" s="1"/>
  <c r="W85" i="6"/>
  <c r="Q39" i="6"/>
  <c r="R36" i="6"/>
  <c r="AF36" i="6"/>
  <c r="AH36" i="6" s="1"/>
  <c r="P36" i="6"/>
  <c r="T36" i="6" s="1"/>
  <c r="U215" i="6"/>
  <c r="R215" i="6"/>
  <c r="Q187" i="6"/>
  <c r="U187" i="6" s="1"/>
  <c r="Q188" i="6"/>
  <c r="M186" i="6"/>
  <c r="L186" i="6"/>
  <c r="N186" i="6"/>
  <c r="O186" i="6"/>
  <c r="AL189" i="6"/>
  <c r="AK189" i="6"/>
  <c r="BA158" i="6"/>
  <c r="BB158" i="6" s="1"/>
  <c r="W158" i="6"/>
  <c r="P178" i="6"/>
  <c r="AF178" i="6"/>
  <c r="AH178" i="6" s="1"/>
  <c r="AL175" i="6"/>
  <c r="AK175" i="6"/>
  <c r="W145" i="6"/>
  <c r="BA145" i="6"/>
  <c r="BB145" i="6" s="1"/>
  <c r="U133" i="6"/>
  <c r="R133" i="6"/>
  <c r="R91" i="6"/>
  <c r="T91" i="6"/>
  <c r="O119" i="6"/>
  <c r="N119" i="6"/>
  <c r="AM119" i="6" s="1"/>
  <c r="L119" i="6"/>
  <c r="M119" i="6"/>
  <c r="AK108" i="6"/>
  <c r="AL108" i="6"/>
  <c r="R44" i="6"/>
  <c r="N44" i="6"/>
  <c r="O44" i="6"/>
  <c r="R77" i="6"/>
  <c r="R5" i="6"/>
  <c r="T193" i="6"/>
  <c r="R193" i="6"/>
  <c r="P179" i="6"/>
  <c r="T179" i="6" s="1"/>
  <c r="AF179" i="6"/>
  <c r="AH179" i="6" s="1"/>
  <c r="T112" i="6"/>
  <c r="R112" i="6"/>
  <c r="AF27" i="6"/>
  <c r="AH27" i="6" s="1"/>
  <c r="P27" i="6"/>
  <c r="T27" i="6" s="1"/>
  <c r="O6" i="6"/>
  <c r="L6" i="6"/>
  <c r="N6" i="6"/>
  <c r="AM6" i="6" s="1"/>
  <c r="M6" i="6"/>
  <c r="AL168" i="6"/>
  <c r="AK168" i="6"/>
  <c r="Q126" i="6"/>
  <c r="U126" i="6" s="1"/>
  <c r="S210" i="6"/>
  <c r="V210" i="6"/>
  <c r="AK193" i="6"/>
  <c r="AL193" i="6"/>
  <c r="R128" i="6"/>
  <c r="W25" i="6"/>
  <c r="BA25" i="6"/>
  <c r="BB25" i="6" s="1"/>
  <c r="Q21" i="6"/>
  <c r="U21" i="6" s="1"/>
  <c r="Q8" i="6"/>
  <c r="S62" i="6"/>
  <c r="R208" i="6"/>
  <c r="O208" i="6"/>
  <c r="L208" i="6"/>
  <c r="M162" i="6"/>
  <c r="O162" i="6"/>
  <c r="N162" i="6"/>
  <c r="L162" i="6"/>
  <c r="P192" i="6"/>
  <c r="I11" i="7" s="1"/>
  <c r="AF192" i="6"/>
  <c r="AH192" i="6" s="1"/>
  <c r="AF114" i="6"/>
  <c r="AH114" i="6" s="1"/>
  <c r="P114" i="6"/>
  <c r="T114" i="6" s="1"/>
  <c r="Q161" i="6"/>
  <c r="Q98" i="6"/>
  <c r="N10" i="6"/>
  <c r="M10" i="6"/>
  <c r="O10" i="6"/>
  <c r="L10" i="6"/>
  <c r="R58" i="6"/>
  <c r="U58" i="6"/>
  <c r="O147" i="6"/>
  <c r="M147" i="6"/>
  <c r="N147" i="6"/>
  <c r="L147" i="6"/>
  <c r="P182" i="6"/>
  <c r="AF182" i="6"/>
  <c r="AH182" i="6" s="1"/>
  <c r="AM14" i="6"/>
  <c r="Q144" i="6"/>
  <c r="U144" i="6" s="1"/>
  <c r="AL188" i="6"/>
  <c r="AK188" i="6"/>
  <c r="N183" i="6"/>
  <c r="M183" i="6"/>
  <c r="O183" i="6"/>
  <c r="L183" i="6"/>
  <c r="O171" i="6"/>
  <c r="N171" i="6"/>
  <c r="L171" i="6"/>
  <c r="M171" i="6"/>
  <c r="Q79" i="6"/>
  <c r="P185" i="6"/>
  <c r="AF185" i="6"/>
  <c r="AH185" i="6" s="1"/>
  <c r="AK209" i="6"/>
  <c r="AL209" i="6"/>
  <c r="M138" i="6"/>
  <c r="N138" i="6"/>
  <c r="O138" i="6"/>
  <c r="L138" i="6"/>
  <c r="R180" i="6"/>
  <c r="U180" i="6"/>
  <c r="BA48" i="6"/>
  <c r="BB48" i="6" s="1"/>
  <c r="W48" i="6"/>
  <c r="AF96" i="6"/>
  <c r="AH96" i="6" s="1"/>
  <c r="P96" i="6"/>
  <c r="T96" i="6" s="1"/>
  <c r="AF134" i="6"/>
  <c r="AH134" i="6" s="1"/>
  <c r="P134" i="6"/>
  <c r="AK139" i="6"/>
  <c r="AL139" i="6"/>
  <c r="Q78" i="6"/>
  <c r="Q115" i="6"/>
  <c r="AL129" i="6"/>
  <c r="AK129" i="6"/>
  <c r="Q77" i="6"/>
  <c r="U77" i="6" s="1"/>
  <c r="Q69" i="6"/>
  <c r="Q189" i="6"/>
  <c r="R196" i="6"/>
  <c r="T196" i="6"/>
  <c r="Q173" i="6"/>
  <c r="W211" i="6"/>
  <c r="BA211" i="6"/>
  <c r="BB211" i="6" s="1"/>
  <c r="Q169" i="6"/>
  <c r="R142" i="6"/>
  <c r="T113" i="6"/>
  <c r="U113" i="6"/>
  <c r="R113" i="6"/>
  <c r="AL106" i="6"/>
  <c r="AK106" i="6"/>
  <c r="Q152" i="6"/>
  <c r="AK137" i="6"/>
  <c r="AL137" i="6"/>
  <c r="R127" i="6"/>
  <c r="AK115" i="6"/>
  <c r="AL115" i="6"/>
  <c r="Q51" i="6"/>
  <c r="P69" i="6"/>
  <c r="AF69" i="6"/>
  <c r="AH69" i="6" s="1"/>
  <c r="AL213" i="6"/>
  <c r="AK213" i="6"/>
  <c r="T167" i="6"/>
  <c r="R167" i="6"/>
  <c r="Q147" i="6"/>
  <c r="R104" i="6"/>
  <c r="U104" i="6"/>
  <c r="W80" i="6"/>
  <c r="BA80" i="6"/>
  <c r="BB80" i="6" s="1"/>
  <c r="W100" i="6"/>
  <c r="BA100" i="6"/>
  <c r="BB100" i="6" s="1"/>
  <c r="U100" i="6"/>
  <c r="AL109" i="6"/>
  <c r="AK109" i="6"/>
  <c r="M19" i="6"/>
  <c r="L19" i="6"/>
  <c r="N19" i="6"/>
  <c r="O19" i="6"/>
  <c r="AL201" i="6"/>
  <c r="AK201" i="6"/>
  <c r="BA172" i="6"/>
  <c r="BB172" i="6" s="1"/>
  <c r="W172" i="6"/>
  <c r="S190" i="6"/>
  <c r="P54" i="6"/>
  <c r="AF54" i="6"/>
  <c r="AH54" i="6" s="1"/>
  <c r="AL162" i="6"/>
  <c r="AK162" i="6"/>
  <c r="L134" i="6"/>
  <c r="M134" i="6"/>
  <c r="O134" i="6"/>
  <c r="N134" i="6"/>
  <c r="BA102" i="6"/>
  <c r="BB102" i="6" s="1"/>
  <c r="W102" i="6"/>
  <c r="U102" i="6"/>
  <c r="AL151" i="6"/>
  <c r="AK151" i="6"/>
  <c r="N74" i="6"/>
  <c r="AM74" i="6" s="1"/>
  <c r="M74" i="6"/>
  <c r="L74" i="6"/>
  <c r="O74" i="6"/>
  <c r="O54" i="6"/>
  <c r="N54" i="6"/>
  <c r="AM54" i="6" s="1"/>
  <c r="M54" i="6"/>
  <c r="L54" i="6"/>
  <c r="AL61" i="6"/>
  <c r="AK61" i="6"/>
  <c r="W199" i="6"/>
  <c r="BA199" i="6"/>
  <c r="BB199" i="6" s="1"/>
  <c r="U199" i="6"/>
  <c r="AF138" i="6"/>
  <c r="AH138" i="6" s="1"/>
  <c r="P138" i="6"/>
  <c r="T138" i="6" s="1"/>
  <c r="AK157" i="6"/>
  <c r="AL157" i="6"/>
  <c r="BA168" i="6"/>
  <c r="BB168" i="6" s="1"/>
  <c r="W168" i="6"/>
  <c r="Q89" i="6"/>
  <c r="AL26" i="6"/>
  <c r="AK26" i="6"/>
  <c r="Q61" i="6"/>
  <c r="O32" i="6"/>
  <c r="L32" i="6"/>
  <c r="N32" i="6"/>
  <c r="M32" i="6"/>
  <c r="O30" i="6"/>
  <c r="M30" i="6"/>
  <c r="N30" i="6"/>
  <c r="L30" i="6"/>
  <c r="U210" i="6"/>
  <c r="R210" i="6"/>
  <c r="T210" i="6"/>
  <c r="P161" i="6"/>
  <c r="T161" i="6" s="1"/>
  <c r="AF161" i="6"/>
  <c r="AH161" i="6" s="1"/>
  <c r="AL174" i="6"/>
  <c r="AK174" i="6"/>
  <c r="M197" i="6"/>
  <c r="N197" i="6"/>
  <c r="O197" i="6"/>
  <c r="L197" i="6"/>
  <c r="P71" i="6"/>
  <c r="AF71" i="6"/>
  <c r="AH71" i="6" s="1"/>
  <c r="AL119" i="6"/>
  <c r="AK119" i="6"/>
  <c r="M210" i="6"/>
  <c r="O210" i="6"/>
  <c r="L210" i="6"/>
  <c r="N210" i="6"/>
  <c r="AM210" i="6" s="1"/>
  <c r="P42" i="6"/>
  <c r="T42" i="6" s="1"/>
  <c r="AF42" i="6"/>
  <c r="AH42" i="6" s="1"/>
  <c r="AH201" i="6"/>
  <c r="W185" i="6"/>
  <c r="BA185" i="6"/>
  <c r="BB185" i="6" s="1"/>
  <c r="P172" i="6"/>
  <c r="AF172" i="6"/>
  <c r="AH172" i="6" s="1"/>
  <c r="N154" i="6"/>
  <c r="AM154" i="6" s="1"/>
  <c r="L154" i="6"/>
  <c r="M154" i="6"/>
  <c r="O154" i="6"/>
  <c r="AL180" i="6"/>
  <c r="AK180" i="6"/>
  <c r="AM166" i="6"/>
  <c r="AL78" i="6"/>
  <c r="AK78" i="6"/>
  <c r="U48" i="6"/>
  <c r="R48" i="6"/>
  <c r="T48" i="6"/>
  <c r="AL96" i="6"/>
  <c r="AK96" i="6"/>
  <c r="AL208" i="6"/>
  <c r="AK208" i="6"/>
  <c r="P78" i="6"/>
  <c r="T78" i="6" s="1"/>
  <c r="AF78" i="6"/>
  <c r="AH78" i="6" s="1"/>
  <c r="T93" i="6"/>
  <c r="R93" i="6"/>
  <c r="M41" i="6"/>
  <c r="L41" i="6"/>
  <c r="O41" i="6"/>
  <c r="N41" i="6"/>
  <c r="AW93" i="6"/>
  <c r="BM93" i="6"/>
  <c r="BN93" i="6"/>
  <c r="R188" i="6"/>
  <c r="R189" i="6"/>
  <c r="AF181" i="6"/>
  <c r="AH181" i="6" s="1"/>
  <c r="P181" i="6"/>
  <c r="AL133" i="6"/>
  <c r="AK133" i="6"/>
  <c r="W82" i="6"/>
  <c r="BA82" i="6"/>
  <c r="BB82" i="6" s="1"/>
  <c r="M48" i="6"/>
  <c r="N48" i="6"/>
  <c r="AM48" i="6" s="1"/>
  <c r="L48" i="6"/>
  <c r="O48" i="6"/>
  <c r="Q56" i="6"/>
  <c r="M96" i="6"/>
  <c r="L96" i="6"/>
  <c r="N96" i="6"/>
  <c r="O96" i="6"/>
  <c r="AF202" i="6"/>
  <c r="AH202" i="6" s="1"/>
  <c r="P202" i="6"/>
  <c r="AK215" i="6"/>
  <c r="AL215" i="6"/>
  <c r="BA203" i="6"/>
  <c r="BB203" i="6" s="1"/>
  <c r="W203" i="6"/>
  <c r="U203" i="6"/>
  <c r="N213" i="6"/>
  <c r="M213" i="6"/>
  <c r="O213" i="6"/>
  <c r="L213" i="6"/>
  <c r="AK194" i="6"/>
  <c r="AL194" i="6"/>
  <c r="R172" i="6"/>
  <c r="U172" i="6"/>
  <c r="T136" i="6"/>
  <c r="R136" i="6"/>
  <c r="N136" i="6"/>
  <c r="AM136" i="6" s="1"/>
  <c r="O136" i="6"/>
  <c r="M136" i="6"/>
  <c r="AF173" i="6"/>
  <c r="AH173" i="6" s="1"/>
  <c r="P173" i="6"/>
  <c r="AM158" i="6"/>
  <c r="N181" i="6"/>
  <c r="M181" i="6"/>
  <c r="L181" i="6"/>
  <c r="O181" i="6"/>
  <c r="N145" i="6"/>
  <c r="AM145" i="6" s="1"/>
  <c r="M145" i="6"/>
  <c r="O145" i="6"/>
  <c r="L145" i="6"/>
  <c r="P79" i="6"/>
  <c r="AF79" i="6"/>
  <c r="AH79" i="6" s="1"/>
  <c r="Q137" i="6"/>
  <c r="AF105" i="6"/>
  <c r="AH105" i="6" s="1"/>
  <c r="P105" i="6"/>
  <c r="T105" i="6" s="1"/>
  <c r="Q127" i="6"/>
  <c r="P115" i="6"/>
  <c r="AF115" i="6"/>
  <c r="AH115" i="6" s="1"/>
  <c r="Q121" i="6"/>
  <c r="AK56" i="6"/>
  <c r="AL56" i="6"/>
  <c r="L68" i="6"/>
  <c r="O68" i="6"/>
  <c r="N68" i="6"/>
  <c r="M68" i="6"/>
  <c r="O16" i="6"/>
  <c r="N16" i="6"/>
  <c r="M16" i="6"/>
  <c r="L16" i="6"/>
  <c r="Q193" i="6"/>
  <c r="R157" i="6"/>
  <c r="M157" i="6"/>
  <c r="L157" i="6"/>
  <c r="N157" i="6"/>
  <c r="N148" i="6"/>
  <c r="Q26" i="6"/>
  <c r="R85" i="6"/>
  <c r="U85" i="6"/>
  <c r="N161" i="6"/>
  <c r="O161" i="6"/>
  <c r="M161" i="6"/>
  <c r="L161" i="6"/>
  <c r="AK67" i="6"/>
  <c r="AL67" i="6"/>
  <c r="S200" i="6"/>
  <c r="BA212" i="6"/>
  <c r="BB212" i="6" s="1"/>
  <c r="W212" i="6"/>
  <c r="V212" i="6"/>
  <c r="U212" i="6"/>
  <c r="Q123" i="6"/>
  <c r="Q141" i="6"/>
  <c r="U141" i="6" s="1"/>
  <c r="Q171" i="6"/>
  <c r="N118" i="6"/>
  <c r="O118" i="6"/>
  <c r="L118" i="6"/>
  <c r="M118" i="6"/>
  <c r="Q73" i="6"/>
  <c r="U73" i="6" s="1"/>
  <c r="S119" i="6"/>
  <c r="AK121" i="6"/>
  <c r="AL121" i="6"/>
  <c r="AL35" i="6"/>
  <c r="AK35" i="6"/>
  <c r="R69" i="6"/>
  <c r="U69" i="6"/>
  <c r="Q13" i="6"/>
  <c r="Q30" i="6"/>
  <c r="U30" i="6" s="1"/>
  <c r="M198" i="6"/>
  <c r="L198" i="6"/>
  <c r="O198" i="6"/>
  <c r="N198" i="6"/>
  <c r="Q40" i="6"/>
  <c r="S12" i="6"/>
  <c r="R192" i="6"/>
  <c r="U192" i="6"/>
  <c r="AL192" i="6"/>
  <c r="AK192" i="6"/>
  <c r="O202" i="6"/>
  <c r="L202" i="6"/>
  <c r="M202" i="6"/>
  <c r="N202" i="6"/>
  <c r="AM202" i="6" s="1"/>
  <c r="Q196" i="6"/>
  <c r="U196" i="6" s="1"/>
  <c r="T22" i="6"/>
  <c r="R22" i="6"/>
  <c r="M23" i="6"/>
  <c r="O23" i="6"/>
  <c r="N23" i="6"/>
  <c r="L23" i="6"/>
  <c r="U202" i="6"/>
  <c r="R202" i="6"/>
  <c r="P208" i="6"/>
  <c r="T208" i="6" s="1"/>
  <c r="AF208" i="6"/>
  <c r="AH208" i="6" s="1"/>
  <c r="AF103" i="6"/>
  <c r="AH103" i="6" s="1"/>
  <c r="P103" i="6"/>
  <c r="T103" i="6" s="1"/>
  <c r="Q105" i="6"/>
  <c r="U50" i="6"/>
  <c r="R50" i="6"/>
  <c r="BA50" i="6"/>
  <c r="BB50" i="6" s="1"/>
  <c r="W50" i="6"/>
  <c r="Q65" i="6"/>
  <c r="BA33" i="6"/>
  <c r="BB33" i="6" s="1"/>
  <c r="W33" i="6"/>
  <c r="N13" i="6"/>
  <c r="AM13" i="6" s="1"/>
  <c r="O13" i="6"/>
  <c r="M13" i="6"/>
  <c r="L13" i="6"/>
  <c r="AF56" i="6"/>
  <c r="AH56" i="6" s="1"/>
  <c r="P56" i="6"/>
  <c r="R11" i="6"/>
  <c r="BA148" i="6"/>
  <c r="BB148" i="6" s="1"/>
  <c r="W148" i="6"/>
  <c r="N163" i="6"/>
  <c r="M163" i="6"/>
  <c r="L163" i="6"/>
  <c r="O163" i="6"/>
  <c r="U155" i="6"/>
  <c r="T155" i="6"/>
  <c r="R155" i="6"/>
  <c r="O155" i="6"/>
  <c r="N155" i="6"/>
  <c r="L155" i="6"/>
  <c r="N135" i="6"/>
  <c r="M135" i="6"/>
  <c r="O135" i="6"/>
  <c r="L135" i="6"/>
  <c r="P186" i="6"/>
  <c r="AF186" i="6"/>
  <c r="AH186" i="6" s="1"/>
  <c r="S187" i="6"/>
  <c r="AK94" i="6"/>
  <c r="AL94" i="6"/>
  <c r="AK76" i="6"/>
  <c r="AL76" i="6"/>
  <c r="L128" i="6"/>
  <c r="O128" i="6"/>
  <c r="N128" i="6"/>
  <c r="M128" i="6"/>
  <c r="L112" i="6"/>
  <c r="N112" i="6"/>
  <c r="O112" i="6"/>
  <c r="M112" i="6"/>
  <c r="M206" i="6"/>
  <c r="N206" i="6"/>
  <c r="L206" i="6"/>
  <c r="O206" i="6"/>
  <c r="BA201" i="6"/>
  <c r="BB201" i="6" s="1"/>
  <c r="W201" i="6"/>
  <c r="U131" i="6"/>
  <c r="T131" i="6"/>
  <c r="R131" i="6"/>
  <c r="BA154" i="6"/>
  <c r="BB154" i="6" s="1"/>
  <c r="W154" i="6"/>
  <c r="AK37" i="6"/>
  <c r="AL37" i="6"/>
  <c r="Q124" i="6"/>
  <c r="BA133" i="6"/>
  <c r="BB133" i="6" s="1"/>
  <c r="W133" i="6"/>
  <c r="BA17" i="6"/>
  <c r="BB17" i="6" s="1"/>
  <c r="W17" i="6"/>
  <c r="U17" i="6"/>
  <c r="Q44" i="6"/>
  <c r="U44" i="6" s="1"/>
  <c r="P39" i="6"/>
  <c r="AF39" i="6"/>
  <c r="AH39" i="6" s="1"/>
  <c r="N172" i="6"/>
  <c r="L172" i="6"/>
  <c r="M172" i="6"/>
  <c r="O172" i="6"/>
  <c r="L122" i="6"/>
  <c r="O122" i="6"/>
  <c r="N122" i="6"/>
  <c r="M122" i="6"/>
  <c r="R139" i="6"/>
  <c r="R153" i="6"/>
  <c r="Q42" i="6"/>
  <c r="V17" i="6"/>
  <c r="AF188" i="6"/>
  <c r="AH188" i="6" s="1"/>
  <c r="P188" i="6"/>
  <c r="AF139" i="6"/>
  <c r="AH139" i="6" s="1"/>
  <c r="P139" i="6"/>
  <c r="T139" i="6" s="1"/>
  <c r="O137" i="6"/>
  <c r="N137" i="6"/>
  <c r="M137" i="6"/>
  <c r="L137" i="6"/>
  <c r="M21" i="6"/>
  <c r="O21" i="6"/>
  <c r="N21" i="6"/>
  <c r="AM21" i="6" s="1"/>
  <c r="L21" i="6"/>
  <c r="S112" i="6"/>
  <c r="AK185" i="6"/>
  <c r="AL185" i="6"/>
  <c r="Q204" i="6"/>
  <c r="U204" i="6" s="1"/>
  <c r="N194" i="6"/>
  <c r="L194" i="6"/>
  <c r="O194" i="6"/>
  <c r="M194" i="6"/>
  <c r="Q170" i="6"/>
  <c r="Q132" i="6"/>
  <c r="N196" i="6"/>
  <c r="M196" i="6"/>
  <c r="O196" i="6"/>
  <c r="L196" i="6"/>
  <c r="Q191" i="6"/>
  <c r="J11" i="7" s="1"/>
  <c r="W181" i="6"/>
  <c r="BA181" i="6"/>
  <c r="BB181" i="6" s="1"/>
  <c r="M113" i="6"/>
  <c r="N113" i="6"/>
  <c r="AM113" i="6" s="1"/>
  <c r="L113" i="6"/>
  <c r="O113" i="6"/>
  <c r="R116" i="6"/>
  <c r="T116" i="6"/>
  <c r="Q208" i="6"/>
  <c r="N177" i="6"/>
  <c r="AM177" i="6" s="1"/>
  <c r="L177" i="6"/>
  <c r="M177" i="6"/>
  <c r="O177" i="6"/>
  <c r="Q125" i="6"/>
  <c r="R191" i="6"/>
  <c r="T191" i="6"/>
  <c r="U181" i="6"/>
  <c r="T181" i="6"/>
  <c r="R181" i="6"/>
  <c r="M159" i="6"/>
  <c r="L159" i="6"/>
  <c r="N159" i="6"/>
  <c r="O159" i="6"/>
  <c r="N142" i="6"/>
  <c r="O142" i="6"/>
  <c r="L142" i="6"/>
  <c r="M142" i="6"/>
  <c r="AK118" i="6"/>
  <c r="AL118" i="6"/>
  <c r="Q116" i="6"/>
  <c r="U116" i="6" s="1"/>
  <c r="O85" i="6"/>
  <c r="L85" i="6"/>
  <c r="M85" i="6"/>
  <c r="N85" i="6"/>
  <c r="AM85" i="6" s="1"/>
  <c r="Q86" i="6"/>
  <c r="N57" i="6"/>
  <c r="L57" i="6"/>
  <c r="M57" i="6"/>
  <c r="O57" i="6"/>
  <c r="BA202" i="6"/>
  <c r="BB202" i="6" s="1"/>
  <c r="W202" i="6"/>
  <c r="U213" i="6"/>
  <c r="R213" i="6"/>
  <c r="M209" i="6"/>
  <c r="O209" i="6"/>
  <c r="L209" i="6"/>
  <c r="N209" i="6"/>
  <c r="Q167" i="6"/>
  <c r="BA131" i="6"/>
  <c r="BB131" i="6" s="1"/>
  <c r="W131" i="6"/>
  <c r="V131" i="6"/>
  <c r="AL122" i="6"/>
  <c r="AK122" i="6"/>
  <c r="R179" i="6"/>
  <c r="M168" i="6"/>
  <c r="O168" i="6"/>
  <c r="L168" i="6"/>
  <c r="N168" i="6"/>
  <c r="P145" i="6"/>
  <c r="AF145" i="6"/>
  <c r="AH145" i="6" s="1"/>
  <c r="R118" i="6"/>
  <c r="M116" i="6"/>
  <c r="N116" i="6"/>
  <c r="AM116" i="6" s="1"/>
  <c r="O116" i="6"/>
  <c r="L116" i="6"/>
  <c r="T92" i="6"/>
  <c r="U92" i="6"/>
  <c r="R92" i="6"/>
  <c r="M92" i="6"/>
  <c r="L92" i="6"/>
  <c r="O92" i="6"/>
  <c r="R105" i="6"/>
  <c r="O105" i="6"/>
  <c r="M105" i="6"/>
  <c r="N105" i="6"/>
  <c r="N120" i="6"/>
  <c r="L120" i="6"/>
  <c r="O120" i="6"/>
  <c r="M120" i="6"/>
  <c r="Q88" i="6"/>
  <c r="AK50" i="6"/>
  <c r="AL50" i="6"/>
  <c r="M121" i="6"/>
  <c r="O121" i="6"/>
  <c r="L121" i="6"/>
  <c r="N121" i="6"/>
  <c r="AM121" i="6" s="1"/>
  <c r="Q43" i="6"/>
  <c r="U43" i="6" s="1"/>
  <c r="N36" i="6"/>
  <c r="O36" i="6"/>
  <c r="L36" i="6"/>
  <c r="M36" i="6"/>
  <c r="AF61" i="6"/>
  <c r="AH61" i="6" s="1"/>
  <c r="P61" i="6"/>
  <c r="T61" i="6" s="1"/>
  <c r="O114" i="6"/>
  <c r="T190" i="6"/>
  <c r="R190" i="6"/>
  <c r="AK167" i="6"/>
  <c r="AL167" i="6"/>
  <c r="AF154" i="6"/>
  <c r="AH154" i="6" s="1"/>
  <c r="P154" i="6"/>
  <c r="Q136" i="6"/>
  <c r="AL196" i="6"/>
  <c r="AK196" i="6"/>
  <c r="Q122" i="6"/>
  <c r="AK147" i="6"/>
  <c r="AL147" i="6"/>
  <c r="N139" i="6"/>
  <c r="M139" i="6"/>
  <c r="L139" i="6"/>
  <c r="O139" i="6"/>
  <c r="R145" i="6"/>
  <c r="U145" i="6"/>
  <c r="AF159" i="6"/>
  <c r="AH159" i="6" s="1"/>
  <c r="P159" i="6"/>
  <c r="Q107" i="6"/>
  <c r="AK128" i="6"/>
  <c r="AL128" i="6"/>
  <c r="M103" i="6"/>
  <c r="N103" i="6"/>
  <c r="O103" i="6"/>
  <c r="L103" i="6"/>
  <c r="AF153" i="6"/>
  <c r="AH153" i="6" s="1"/>
  <c r="P153" i="6"/>
  <c r="P92" i="6"/>
  <c r="AF92" i="6"/>
  <c r="AH92" i="6" s="1"/>
  <c r="AF127" i="6"/>
  <c r="AH127" i="6" s="1"/>
  <c r="P127" i="6"/>
  <c r="N98" i="6"/>
  <c r="AM98" i="6" s="1"/>
  <c r="O98" i="6"/>
  <c r="L98" i="6"/>
  <c r="M98" i="6"/>
  <c r="AL62" i="6"/>
  <c r="AK62" i="6"/>
  <c r="S33" i="6"/>
  <c r="V33" i="6"/>
  <c r="O51" i="6"/>
  <c r="M51" i="6"/>
  <c r="L51" i="6"/>
  <c r="N51" i="6"/>
  <c r="AK21" i="6"/>
  <c r="AL21" i="6"/>
  <c r="R40" i="6"/>
  <c r="V37" i="6"/>
  <c r="S37" i="6"/>
  <c r="R56" i="6"/>
  <c r="U56" i="6"/>
  <c r="N56" i="6"/>
  <c r="P83" i="6"/>
  <c r="AF83" i="6"/>
  <c r="AH83" i="6" s="1"/>
  <c r="W49" i="6"/>
  <c r="BA49" i="6"/>
  <c r="BB49" i="6" s="1"/>
  <c r="AK148" i="6"/>
  <c r="AL148" i="6"/>
  <c r="P162" i="6"/>
  <c r="AF162" i="6"/>
  <c r="AH162" i="6" s="1"/>
  <c r="W194" i="6"/>
  <c r="BA194" i="6"/>
  <c r="BB194" i="6" s="1"/>
  <c r="T176" i="6"/>
  <c r="R144" i="6"/>
  <c r="O144" i="6"/>
  <c r="L144" i="6"/>
  <c r="M144" i="6"/>
  <c r="AK138" i="6"/>
  <c r="AL138" i="6"/>
  <c r="Q134" i="6"/>
  <c r="S197" i="6"/>
  <c r="V197" i="6"/>
  <c r="Q114" i="6"/>
  <c r="U114" i="6" s="1"/>
  <c r="P133" i="6"/>
  <c r="T133" i="6" s="1"/>
  <c r="AF133" i="6"/>
  <c r="AH133" i="6" s="1"/>
  <c r="Q118" i="6"/>
  <c r="U118" i="6" s="1"/>
  <c r="AF157" i="6"/>
  <c r="AH157" i="6" s="1"/>
  <c r="P157" i="6"/>
  <c r="T157" i="6" s="1"/>
  <c r="AL103" i="6"/>
  <c r="AK103" i="6"/>
  <c r="R140" i="6"/>
  <c r="T140" i="6"/>
  <c r="Q182" i="6"/>
  <c r="Q149" i="6"/>
  <c r="P120" i="6"/>
  <c r="AF120" i="6"/>
  <c r="AH120" i="6" s="1"/>
  <c r="R73" i="6"/>
  <c r="AH119" i="6"/>
  <c r="S87" i="6"/>
  <c r="V87" i="6"/>
  <c r="O99" i="6"/>
  <c r="AF121" i="6"/>
  <c r="AH121" i="6" s="1"/>
  <c r="P121" i="6"/>
  <c r="T121" i="6" s="1"/>
  <c r="M129" i="6"/>
  <c r="N129" i="6"/>
  <c r="L129" i="6"/>
  <c r="O129" i="6"/>
  <c r="AF46" i="6"/>
  <c r="AH46" i="6" s="1"/>
  <c r="P46" i="6"/>
  <c r="T46" i="6" s="1"/>
  <c r="P13" i="6"/>
  <c r="AF13" i="6"/>
  <c r="AH13" i="6" s="1"/>
  <c r="U49" i="6"/>
  <c r="R49" i="6"/>
  <c r="AK53" i="6"/>
  <c r="AL53" i="6"/>
  <c r="AL51" i="6"/>
  <c r="AK51" i="6"/>
  <c r="AL24" i="6"/>
  <c r="AK24" i="6"/>
  <c r="AK69" i="6"/>
  <c r="AL69" i="6"/>
  <c r="R205" i="6"/>
  <c r="O8" i="6"/>
  <c r="L8" i="6"/>
  <c r="N8" i="6"/>
  <c r="M8" i="6"/>
  <c r="R32" i="6"/>
  <c r="Q32" i="6"/>
  <c r="U32" i="6" s="1"/>
  <c r="O75" i="6"/>
  <c r="L75" i="6"/>
  <c r="M75" i="6"/>
  <c r="N75" i="6"/>
  <c r="AM75" i="6" s="1"/>
  <c r="Q96" i="6"/>
  <c r="U96" i="6" s="1"/>
  <c r="AH48" i="6"/>
  <c r="AK7" i="6"/>
  <c r="AL7" i="6"/>
  <c r="P104" i="6"/>
  <c r="AF104" i="6"/>
  <c r="AH104" i="6" s="1"/>
  <c r="AH132" i="6"/>
  <c r="Q106" i="6"/>
  <c r="U161" i="6"/>
  <c r="R161" i="6"/>
  <c r="T80" i="6"/>
  <c r="R80" i="6"/>
  <c r="U80" i="6"/>
  <c r="Q140" i="6"/>
  <c r="R163" i="6"/>
  <c r="L125" i="6"/>
  <c r="P73" i="6"/>
  <c r="AF73" i="6"/>
  <c r="AH73" i="6" s="1"/>
  <c r="Q120" i="6"/>
  <c r="O143" i="6"/>
  <c r="M143" i="6"/>
  <c r="N143" i="6"/>
  <c r="L143" i="6"/>
  <c r="U89" i="6"/>
  <c r="R89" i="6"/>
  <c r="N50" i="6"/>
  <c r="M50" i="6"/>
  <c r="L50" i="6"/>
  <c r="O50" i="6"/>
  <c r="AM99" i="6"/>
  <c r="R121" i="6"/>
  <c r="W47" i="6"/>
  <c r="BA47" i="6"/>
  <c r="BB47" i="6" s="1"/>
  <c r="U47" i="6"/>
  <c r="T9" i="6"/>
  <c r="R9" i="6"/>
  <c r="Q46" i="6"/>
  <c r="Q35" i="6"/>
  <c r="R51" i="6"/>
  <c r="O38" i="6"/>
  <c r="N38" i="6"/>
  <c r="AM38" i="6" s="1"/>
  <c r="L38" i="6"/>
  <c r="M38" i="6"/>
  <c r="P75" i="6"/>
  <c r="AF75" i="6"/>
  <c r="AH75" i="6" s="1"/>
  <c r="R96" i="6"/>
  <c r="V48" i="6"/>
  <c r="S48" i="6"/>
  <c r="T200" i="6"/>
  <c r="R200" i="6"/>
  <c r="U201" i="6"/>
  <c r="T201" i="6"/>
  <c r="R201" i="6"/>
  <c r="P213" i="6"/>
  <c r="AF213" i="6"/>
  <c r="AH213" i="6" s="1"/>
  <c r="N188" i="6"/>
  <c r="O188" i="6"/>
  <c r="M188" i="6"/>
  <c r="L188" i="6"/>
  <c r="AM170" i="6"/>
  <c r="V166" i="6"/>
  <c r="S166" i="6"/>
  <c r="M179" i="6"/>
  <c r="L179" i="6"/>
  <c r="N179" i="6"/>
  <c r="AM179" i="6" s="1"/>
  <c r="O179" i="6"/>
  <c r="P144" i="6"/>
  <c r="T144" i="6" s="1"/>
  <c r="AF144" i="6"/>
  <c r="AH144" i="6" s="1"/>
  <c r="R197" i="6"/>
  <c r="T197" i="6"/>
  <c r="U197" i="6"/>
  <c r="M101" i="6"/>
  <c r="L101" i="6"/>
  <c r="N101" i="6"/>
  <c r="AM101" i="6" s="1"/>
  <c r="O101" i="6"/>
  <c r="T132" i="6"/>
  <c r="P124" i="6"/>
  <c r="AF124" i="6"/>
  <c r="AH124" i="6" s="1"/>
  <c r="M182" i="6"/>
  <c r="O182" i="6"/>
  <c r="N182" i="6"/>
  <c r="AM182" i="6" s="1"/>
  <c r="L182" i="6"/>
  <c r="AL163" i="6"/>
  <c r="AK163" i="6"/>
  <c r="AF137" i="6"/>
  <c r="AH137" i="6" s="1"/>
  <c r="P137" i="6"/>
  <c r="O125" i="6"/>
  <c r="O149" i="6"/>
  <c r="N149" i="6"/>
  <c r="M149" i="6"/>
  <c r="L149" i="6"/>
  <c r="P156" i="6"/>
  <c r="AF156" i="6"/>
  <c r="AH156" i="6" s="1"/>
  <c r="O47" i="6"/>
  <c r="N47" i="6"/>
  <c r="AM47" i="6" s="1"/>
  <c r="L47" i="6"/>
  <c r="M47" i="6"/>
  <c r="N88" i="6"/>
  <c r="O88" i="6"/>
  <c r="M88" i="6"/>
  <c r="L88" i="6"/>
  <c r="AK90" i="6"/>
  <c r="AL90" i="6"/>
  <c r="AK57" i="6"/>
  <c r="AL57" i="6"/>
  <c r="R129" i="6"/>
  <c r="M93" i="6"/>
  <c r="L93" i="6"/>
  <c r="N93" i="6"/>
  <c r="O93" i="6"/>
  <c r="Q9" i="6"/>
  <c r="Q12" i="6"/>
  <c r="V12" i="6" s="1"/>
  <c r="S14" i="6"/>
  <c r="R35" i="6"/>
  <c r="R13" i="6"/>
  <c r="AF49" i="6"/>
  <c r="AH49" i="6" s="1"/>
  <c r="P49" i="6"/>
  <c r="R21" i="6"/>
  <c r="T21" i="6"/>
  <c r="AH112" i="6"/>
  <c r="P38" i="6"/>
  <c r="AF38" i="6"/>
  <c r="AH38" i="6" s="1"/>
  <c r="AL8" i="6"/>
  <c r="AK8" i="6"/>
  <c r="P110" i="6"/>
  <c r="T110" i="6" s="1"/>
  <c r="AF110" i="6"/>
  <c r="AH110" i="6" s="1"/>
  <c r="AK72" i="6"/>
  <c r="AL72" i="6"/>
  <c r="N28" i="6"/>
  <c r="O28" i="6"/>
  <c r="L28" i="6"/>
  <c r="M28" i="6"/>
  <c r="P32" i="6"/>
  <c r="AF32" i="6"/>
  <c r="AH32" i="6" s="1"/>
  <c r="Q75" i="6"/>
  <c r="U75" i="6" s="1"/>
  <c r="N27" i="6"/>
  <c r="AM27" i="6" s="1"/>
  <c r="R6" i="6"/>
  <c r="N58" i="6"/>
  <c r="AM58" i="6" s="1"/>
  <c r="M58" i="6"/>
  <c r="L58" i="6"/>
  <c r="O58" i="6"/>
  <c r="W45" i="6"/>
  <c r="BA45" i="6"/>
  <c r="BB45" i="6" s="1"/>
  <c r="AL197" i="6"/>
  <c r="AK197" i="6"/>
  <c r="AM144" i="6"/>
  <c r="M180" i="6"/>
  <c r="L180" i="6"/>
  <c r="O180" i="6"/>
  <c r="N180" i="6"/>
  <c r="AM180" i="6" s="1"/>
  <c r="M80" i="6"/>
  <c r="L80" i="6"/>
  <c r="N80" i="6"/>
  <c r="AM80" i="6" s="1"/>
  <c r="O80" i="6"/>
  <c r="AK140" i="6"/>
  <c r="AL140" i="6"/>
  <c r="P149" i="6"/>
  <c r="T149" i="6" s="1"/>
  <c r="AF149" i="6"/>
  <c r="AH149" i="6" s="1"/>
  <c r="AL156" i="6"/>
  <c r="AK156" i="6"/>
  <c r="P126" i="6"/>
  <c r="T126" i="6" s="1"/>
  <c r="AF126" i="6"/>
  <c r="AH126" i="6" s="1"/>
  <c r="P143" i="6"/>
  <c r="AF143" i="6"/>
  <c r="AH143" i="6" s="1"/>
  <c r="AL130" i="6"/>
  <c r="AK130" i="6"/>
  <c r="AH196" i="6"/>
  <c r="AL93" i="6"/>
  <c r="AK93" i="6"/>
  <c r="R10" i="6"/>
  <c r="T10" i="6"/>
  <c r="AK20" i="6"/>
  <c r="AL20" i="6"/>
  <c r="P19" i="6"/>
  <c r="T19" i="6" s="1"/>
  <c r="AF19" i="6"/>
  <c r="AH19" i="6" s="1"/>
  <c r="P51" i="6"/>
  <c r="T51" i="6" s="1"/>
  <c r="AF51" i="6"/>
  <c r="AH51" i="6" s="1"/>
  <c r="P77" i="6"/>
  <c r="T77" i="6" s="1"/>
  <c r="AF77" i="6"/>
  <c r="AH77" i="6" s="1"/>
  <c r="AL77" i="6"/>
  <c r="AK77" i="6"/>
  <c r="R38" i="6"/>
  <c r="U38" i="6"/>
  <c r="Q205" i="6"/>
  <c r="U205" i="6" s="1"/>
  <c r="Q36" i="6"/>
  <c r="Q28" i="6"/>
  <c r="AL36" i="6"/>
  <c r="AK36" i="6"/>
  <c r="P6" i="6"/>
  <c r="T6" i="6" s="1"/>
  <c r="AF6" i="6"/>
  <c r="AH6" i="6" s="1"/>
  <c r="AK58" i="6"/>
  <c r="AL58" i="6"/>
  <c r="R7" i="6"/>
  <c r="AL198" i="6"/>
  <c r="AK198" i="6"/>
  <c r="M201" i="6"/>
  <c r="N201" i="6"/>
  <c r="L201" i="6"/>
  <c r="O201" i="6"/>
  <c r="N207" i="6"/>
  <c r="O207" i="6"/>
  <c r="M207" i="6"/>
  <c r="L207" i="6"/>
  <c r="Q177" i="6"/>
  <c r="P189" i="6"/>
  <c r="AF189" i="6"/>
  <c r="AH189" i="6" s="1"/>
  <c r="AL123" i="6"/>
  <c r="AK123" i="6"/>
  <c r="AM123" i="6" s="1"/>
  <c r="N190" i="6"/>
  <c r="L190" i="6"/>
  <c r="O190" i="6"/>
  <c r="M190" i="6"/>
  <c r="N131" i="6"/>
  <c r="M131" i="6"/>
  <c r="L131" i="6"/>
  <c r="O131" i="6"/>
  <c r="V201" i="6"/>
  <c r="S201" i="6"/>
  <c r="AL160" i="6"/>
  <c r="AK160" i="6"/>
  <c r="AL135" i="6"/>
  <c r="AK135" i="6"/>
  <c r="Q179" i="6"/>
  <c r="U179" i="6" s="1"/>
  <c r="AK173" i="6"/>
  <c r="AL173" i="6"/>
  <c r="AL178" i="6"/>
  <c r="AK178" i="6"/>
  <c r="AM184" i="6"/>
  <c r="S164" i="6"/>
  <c r="V164" i="6"/>
  <c r="Q64" i="6"/>
  <c r="P106" i="6"/>
  <c r="AF106" i="6"/>
  <c r="AH106" i="6" s="1"/>
  <c r="Q157" i="6"/>
  <c r="U157" i="6" s="1"/>
  <c r="AL161" i="6"/>
  <c r="AK161" i="6"/>
  <c r="Q91" i="6"/>
  <c r="U91" i="6" s="1"/>
  <c r="AK182" i="6"/>
  <c r="AL182" i="6"/>
  <c r="O67" i="6"/>
  <c r="M67" i="6"/>
  <c r="L67" i="6"/>
  <c r="N67" i="6"/>
  <c r="N126" i="6"/>
  <c r="AM126" i="6" s="1"/>
  <c r="O126" i="6"/>
  <c r="M126" i="6"/>
  <c r="L126" i="6"/>
  <c r="AL143" i="6"/>
  <c r="AK143" i="6"/>
  <c r="U15" i="6"/>
  <c r="N15" i="6"/>
  <c r="T15" i="6"/>
  <c r="R15" i="6"/>
  <c r="Q130" i="6"/>
  <c r="U130" i="6" s="1"/>
  <c r="L97" i="6"/>
  <c r="N97" i="6"/>
  <c r="M97" i="6"/>
  <c r="O97" i="6"/>
  <c r="S196" i="6"/>
  <c r="R65" i="6"/>
  <c r="U65" i="6"/>
  <c r="T65" i="6"/>
  <c r="R90" i="6"/>
  <c r="P129" i="6"/>
  <c r="T129" i="6" s="1"/>
  <c r="AF129" i="6"/>
  <c r="AH129" i="6" s="1"/>
  <c r="Q93" i="6"/>
  <c r="U93" i="6" s="1"/>
  <c r="AL49" i="6"/>
  <c r="AK49" i="6"/>
  <c r="R108" i="6"/>
  <c r="T108" i="6"/>
  <c r="AK10" i="6"/>
  <c r="AL10" i="6"/>
  <c r="AF20" i="6"/>
  <c r="AH20" i="6" s="1"/>
  <c r="P20" i="6"/>
  <c r="Q19" i="6"/>
  <c r="Q41" i="6"/>
  <c r="AH9" i="6"/>
  <c r="AL59" i="6"/>
  <c r="AK59" i="6"/>
  <c r="Q38" i="6"/>
  <c r="AL5" i="6"/>
  <c r="AK5" i="6"/>
  <c r="Q72" i="6"/>
  <c r="P28" i="6"/>
  <c r="AF28" i="6"/>
  <c r="AH28" i="6" s="1"/>
  <c r="M25" i="6"/>
  <c r="O25" i="6"/>
  <c r="N25" i="6"/>
  <c r="L25" i="6"/>
  <c r="P68" i="6"/>
  <c r="T68" i="6" s="1"/>
  <c r="AF68" i="6"/>
  <c r="AH68" i="6" s="1"/>
  <c r="L31" i="6"/>
  <c r="M31" i="6"/>
  <c r="O31" i="6"/>
  <c r="N31" i="6"/>
  <c r="AM31" i="6" s="1"/>
  <c r="L22" i="6"/>
  <c r="O22" i="6"/>
  <c r="N22" i="6"/>
  <c r="M22" i="6"/>
  <c r="AL22" i="6"/>
  <c r="AK22" i="6"/>
  <c r="Q58" i="6"/>
  <c r="AF45" i="6"/>
  <c r="AH45" i="6" s="1"/>
  <c r="P45" i="6"/>
  <c r="T45" i="6" s="1"/>
  <c r="P58" i="6"/>
  <c r="AF58" i="6"/>
  <c r="AH58" i="6" s="1"/>
  <c r="Q175" i="6"/>
  <c r="Q15" i="6"/>
  <c r="AK98" i="6"/>
  <c r="AL98" i="6"/>
  <c r="AH47" i="6"/>
  <c r="AF43" i="6"/>
  <c r="AH43" i="6" s="1"/>
  <c r="P43" i="6"/>
  <c r="Q20" i="6"/>
  <c r="Q110" i="6"/>
  <c r="U110" i="6" s="1"/>
  <c r="M45" i="6"/>
  <c r="L45" i="6"/>
  <c r="O45" i="6"/>
  <c r="N45" i="6"/>
  <c r="AM45" i="6" s="1"/>
  <c r="R19" i="6"/>
  <c r="AL52" i="6"/>
  <c r="AK52" i="6"/>
  <c r="AL41" i="6"/>
  <c r="AK41" i="6"/>
  <c r="R63" i="6"/>
  <c r="N73" i="6"/>
  <c r="AM73" i="6" s="1"/>
  <c r="AL32" i="6"/>
  <c r="AK32" i="6"/>
  <c r="Q31" i="6"/>
  <c r="U31" i="6" s="1"/>
  <c r="O24" i="6"/>
  <c r="N24" i="6"/>
  <c r="M24" i="6"/>
  <c r="L24" i="6"/>
  <c r="N72" i="6"/>
  <c r="AM72" i="6" s="1"/>
  <c r="L72" i="6"/>
  <c r="M72" i="6"/>
  <c r="O72" i="6"/>
  <c r="R14" i="6"/>
  <c r="T14" i="6"/>
  <c r="O14" i="6"/>
  <c r="M14" i="6"/>
  <c r="AK83" i="6"/>
  <c r="AL83" i="6"/>
  <c r="Q68" i="6"/>
  <c r="AF31" i="6"/>
  <c r="AH31" i="6" s="1"/>
  <c r="P31" i="6"/>
  <c r="T31" i="6" s="1"/>
  <c r="Q81" i="6"/>
  <c r="U81" i="6" s="1"/>
  <c r="R30" i="6"/>
  <c r="M110" i="6"/>
  <c r="L9" i="6"/>
  <c r="Q108" i="6"/>
  <c r="AL63" i="6"/>
  <c r="AK63" i="6"/>
  <c r="R41" i="6"/>
  <c r="Q11" i="6"/>
  <c r="U11" i="6" s="1"/>
  <c r="AK38" i="6"/>
  <c r="AL38" i="6"/>
  <c r="P8" i="6"/>
  <c r="T8" i="6" s="1"/>
  <c r="AF8" i="6"/>
  <c r="AH8" i="6" s="1"/>
  <c r="P30" i="6"/>
  <c r="AF30" i="6"/>
  <c r="AH30" i="6" s="1"/>
  <c r="AF177" i="6"/>
  <c r="AH177" i="6" s="1"/>
  <c r="P177" i="6"/>
  <c r="T160" i="6"/>
  <c r="R160" i="6"/>
  <c r="AF169" i="6"/>
  <c r="AH169" i="6" s="1"/>
  <c r="P169" i="6"/>
  <c r="T169" i="6" s="1"/>
  <c r="U87" i="6"/>
  <c r="T87" i="6"/>
  <c r="R87" i="6"/>
  <c r="M66" i="6"/>
  <c r="N66" i="6"/>
  <c r="AM66" i="6" s="1"/>
  <c r="L66" i="6"/>
  <c r="O66" i="6"/>
  <c r="P163" i="6"/>
  <c r="AF163" i="6"/>
  <c r="AH163" i="6" s="1"/>
  <c r="Q97" i="6"/>
  <c r="U97" i="6" s="1"/>
  <c r="AF90" i="6"/>
  <c r="AH90" i="6" s="1"/>
  <c r="P90" i="6"/>
  <c r="T90" i="6" s="1"/>
  <c r="AF215" i="6"/>
  <c r="AH215" i="6" s="1"/>
  <c r="P215" i="6"/>
  <c r="AF209" i="6"/>
  <c r="AH209" i="6" s="1"/>
  <c r="P209" i="6"/>
  <c r="AK171" i="6"/>
  <c r="AL171" i="6"/>
  <c r="N200" i="6"/>
  <c r="AM200" i="6" s="1"/>
  <c r="P165" i="6"/>
  <c r="AF165" i="6"/>
  <c r="AH165" i="6" s="1"/>
  <c r="Q178" i="6"/>
  <c r="AL169" i="6"/>
  <c r="AK169" i="6"/>
  <c r="Q117" i="6"/>
  <c r="AL159" i="6"/>
  <c r="AK159" i="6"/>
  <c r="AK142" i="6"/>
  <c r="AL142" i="6"/>
  <c r="M55" i="6"/>
  <c r="N55" i="6"/>
  <c r="AM55" i="6" s="1"/>
  <c r="O55" i="6"/>
  <c r="L55" i="6"/>
  <c r="P101" i="6"/>
  <c r="T101" i="6" s="1"/>
  <c r="AF101" i="6"/>
  <c r="AH101" i="6" s="1"/>
  <c r="AK99" i="6"/>
  <c r="AL99" i="6"/>
  <c r="Q180" i="6"/>
  <c r="L152" i="6"/>
  <c r="N152" i="6"/>
  <c r="O152" i="6"/>
  <c r="M152" i="6"/>
  <c r="O91" i="6"/>
  <c r="M91" i="6"/>
  <c r="L91" i="6"/>
  <c r="N91" i="6"/>
  <c r="O153" i="6"/>
  <c r="L153" i="6"/>
  <c r="M153" i="6"/>
  <c r="N153" i="6"/>
  <c r="Q67" i="6"/>
  <c r="Q156" i="6"/>
  <c r="Q111" i="6"/>
  <c r="O86" i="6"/>
  <c r="L86" i="6"/>
  <c r="N86" i="6"/>
  <c r="M86" i="6"/>
  <c r="R130" i="6"/>
  <c r="R97" i="6"/>
  <c r="O90" i="6"/>
  <c r="N90" i="6"/>
  <c r="M90" i="6"/>
  <c r="L90" i="6"/>
  <c r="Q23" i="6"/>
  <c r="U23" i="6" s="1"/>
  <c r="R70" i="6"/>
  <c r="P98" i="6"/>
  <c r="AF98" i="6"/>
  <c r="AH98" i="6" s="1"/>
  <c r="AL112" i="6"/>
  <c r="AK112" i="6"/>
  <c r="AH82" i="6"/>
  <c r="V47" i="6"/>
  <c r="S47" i="6"/>
  <c r="R43" i="6"/>
  <c r="R27" i="6"/>
  <c r="U45" i="6"/>
  <c r="R45" i="6"/>
  <c r="AK19" i="6"/>
  <c r="AL19" i="6"/>
  <c r="Q59" i="6"/>
  <c r="O56" i="6"/>
  <c r="AK25" i="6"/>
  <c r="AL25" i="6"/>
  <c r="H11" i="7"/>
  <c r="C6" i="7"/>
  <c r="D11" i="7"/>
  <c r="C11" i="7"/>
  <c r="B11" i="7"/>
  <c r="D8" i="7"/>
  <c r="C5" i="7"/>
  <c r="D10" i="7"/>
  <c r="C10" i="7"/>
  <c r="B10" i="7"/>
  <c r="D7" i="7"/>
  <c r="H9" i="7"/>
  <c r="B7" i="7"/>
  <c r="C9" i="7"/>
  <c r="C7" i="7"/>
  <c r="B9" i="7"/>
  <c r="H6" i="7"/>
  <c r="C8" i="7"/>
  <c r="B5" i="7"/>
  <c r="H8" i="7"/>
  <c r="B8" i="7"/>
  <c r="D9" i="7"/>
  <c r="D6" i="7"/>
  <c r="H5" i="7"/>
  <c r="D5" i="7"/>
  <c r="H10" i="7"/>
  <c r="K7" i="7"/>
  <c r="B6" i="7"/>
  <c r="H7" i="7"/>
  <c r="N5" i="6"/>
  <c r="L5" i="6"/>
  <c r="O5" i="6"/>
  <c r="M5" i="6"/>
  <c r="R24" i="6"/>
  <c r="R68" i="6"/>
  <c r="U68" i="6"/>
  <c r="R83" i="6"/>
  <c r="U83" i="6"/>
  <c r="R34" i="6"/>
  <c r="T34" i="6"/>
  <c r="P22" i="6"/>
  <c r="AF22" i="6"/>
  <c r="AH22" i="6" s="1"/>
  <c r="M9" i="6"/>
  <c r="Q10" i="6"/>
  <c r="V10" i="6" s="1"/>
  <c r="N20" i="6"/>
  <c r="AM20" i="6" s="1"/>
  <c r="O20" i="6"/>
  <c r="M20" i="6"/>
  <c r="L20" i="6"/>
  <c r="L77" i="6"/>
  <c r="O77" i="6"/>
  <c r="N77" i="6"/>
  <c r="M77" i="6"/>
  <c r="N59" i="6"/>
  <c r="M59" i="6"/>
  <c r="O59" i="6"/>
  <c r="L59" i="6"/>
  <c r="Q5" i="6"/>
  <c r="B4" i="1"/>
  <c r="AK68" i="6"/>
  <c r="AL68" i="6"/>
  <c r="Q22" i="6"/>
  <c r="U22" i="6" s="1"/>
  <c r="U216" i="6"/>
  <c r="T216" i="6"/>
  <c r="R216" i="6"/>
  <c r="Q198" i="6"/>
  <c r="AK172" i="6"/>
  <c r="AL172" i="6"/>
  <c r="R171" i="6"/>
  <c r="U171" i="6"/>
  <c r="AK117" i="6"/>
  <c r="AL117" i="6"/>
  <c r="R101" i="6"/>
  <c r="P180" i="6"/>
  <c r="AF180" i="6"/>
  <c r="AH180" i="6" s="1"/>
  <c r="U37" i="6"/>
  <c r="R37" i="6"/>
  <c r="T37" i="6"/>
  <c r="AL124" i="6"/>
  <c r="AK124" i="6"/>
  <c r="Q84" i="6"/>
  <c r="L156" i="6"/>
  <c r="N156" i="6"/>
  <c r="O156" i="6"/>
  <c r="M156" i="6"/>
  <c r="L130" i="6"/>
  <c r="N130" i="6"/>
  <c r="O130" i="6"/>
  <c r="M130" i="6"/>
  <c r="Q109" i="6"/>
  <c r="N216" i="6"/>
  <c r="AM216" i="6" s="1"/>
  <c r="M216" i="6"/>
  <c r="O216" i="6"/>
  <c r="L216" i="6"/>
  <c r="R207" i="6"/>
  <c r="U194" i="6"/>
  <c r="Q190" i="6"/>
  <c r="AK216" i="6"/>
  <c r="AL216" i="6"/>
  <c r="O215" i="6"/>
  <c r="L215" i="6"/>
  <c r="N215" i="6"/>
  <c r="M215" i="6"/>
  <c r="L187" i="6"/>
  <c r="N187" i="6"/>
  <c r="AM187" i="6" s="1"/>
  <c r="O187" i="6"/>
  <c r="M187" i="6"/>
  <c r="AL207" i="6"/>
  <c r="AK207" i="6"/>
  <c r="O174" i="6"/>
  <c r="N174" i="6"/>
  <c r="M174" i="6"/>
  <c r="L174" i="6"/>
  <c r="Q209" i="6"/>
  <c r="AK190" i="6"/>
  <c r="AL190" i="6"/>
  <c r="AF171" i="6"/>
  <c r="AH171" i="6" s="1"/>
  <c r="P171" i="6"/>
  <c r="O200" i="6"/>
  <c r="AF125" i="6"/>
  <c r="AH125" i="6" s="1"/>
  <c r="P125" i="6"/>
  <c r="R165" i="6"/>
  <c r="T165" i="6"/>
  <c r="AK191" i="6"/>
  <c r="AL191" i="6"/>
  <c r="R178" i="6"/>
  <c r="U178" i="6"/>
  <c r="T178" i="6"/>
  <c r="AF142" i="6"/>
  <c r="AH142" i="6" s="1"/>
  <c r="P142" i="6"/>
  <c r="Q101" i="6"/>
  <c r="U101" i="6" s="1"/>
  <c r="BA99" i="6"/>
  <c r="BB99" i="6" s="1"/>
  <c r="W99" i="6"/>
  <c r="R152" i="6"/>
  <c r="U152" i="6"/>
  <c r="AH160" i="6"/>
  <c r="O84" i="6"/>
  <c r="M84" i="6"/>
  <c r="L84" i="6"/>
  <c r="N84" i="6"/>
  <c r="AF111" i="6"/>
  <c r="AH111" i="6" s="1"/>
  <c r="P111" i="6"/>
  <c r="R119" i="6"/>
  <c r="AL88" i="6"/>
  <c r="AK88" i="6"/>
  <c r="T86" i="6"/>
  <c r="U86" i="6"/>
  <c r="R86" i="6"/>
  <c r="P130" i="6"/>
  <c r="T130" i="6" s="1"/>
  <c r="AF130" i="6"/>
  <c r="AH130" i="6" s="1"/>
  <c r="N29" i="6"/>
  <c r="AM29" i="6" s="1"/>
  <c r="M29" i="6"/>
  <c r="L29" i="6"/>
  <c r="O29" i="6"/>
  <c r="AL70" i="6"/>
  <c r="AK70" i="6"/>
  <c r="S82" i="6"/>
  <c r="V82" i="6"/>
  <c r="R46" i="6"/>
  <c r="AM106" i="6"/>
  <c r="R52" i="6"/>
  <c r="M52" i="6"/>
  <c r="BA55" i="6"/>
  <c r="BB55" i="6" s="1"/>
  <c r="V55" i="6"/>
  <c r="W55" i="6"/>
  <c r="Q63" i="6"/>
  <c r="M11" i="6"/>
  <c r="L11" i="6"/>
  <c r="O11" i="6"/>
  <c r="N11" i="6"/>
  <c r="AM11" i="6" s="1"/>
  <c r="P25" i="6"/>
  <c r="T25" i="6" s="1"/>
  <c r="AF25" i="6"/>
  <c r="AH25" i="6" s="1"/>
  <c r="AF5" i="6"/>
  <c r="AH5" i="6" s="1"/>
  <c r="P5" i="6"/>
  <c r="P24" i="6"/>
  <c r="T24" i="6" s="1"/>
  <c r="AF24" i="6"/>
  <c r="AH24" i="6" s="1"/>
  <c r="Q83" i="6"/>
  <c r="AK81" i="6"/>
  <c r="AR81" i="6" s="1"/>
  <c r="AL81" i="6"/>
  <c r="AL34" i="6"/>
  <c r="AK34" i="6"/>
  <c r="AF141" i="6"/>
  <c r="AH141" i="6" s="1"/>
  <c r="P141" i="6"/>
  <c r="O9" i="6"/>
  <c r="Q165" i="6"/>
  <c r="U165" i="6" s="1"/>
  <c r="V155" i="6"/>
  <c r="S155" i="6"/>
  <c r="O169" i="6"/>
  <c r="L169" i="6"/>
  <c r="M169" i="6"/>
  <c r="N169" i="6"/>
  <c r="AM169" i="6" s="1"/>
  <c r="W197" i="6"/>
  <c r="BA197" i="6"/>
  <c r="BB197" i="6" s="1"/>
  <c r="Q159" i="6"/>
  <c r="U175" i="6"/>
  <c r="R175" i="6"/>
  <c r="T66" i="6"/>
  <c r="U66" i="6"/>
  <c r="R66" i="6"/>
  <c r="U99" i="6"/>
  <c r="T99" i="6"/>
  <c r="R99" i="6"/>
  <c r="L99" i="6"/>
  <c r="AL152" i="6"/>
  <c r="AK152" i="6"/>
  <c r="AF107" i="6"/>
  <c r="AH107" i="6" s="1"/>
  <c r="P107" i="6"/>
  <c r="S160" i="6"/>
  <c r="Q153" i="6"/>
  <c r="AL86" i="6"/>
  <c r="AK86" i="6"/>
  <c r="P97" i="6"/>
  <c r="AF97" i="6"/>
  <c r="AH97" i="6" s="1"/>
  <c r="T115" i="6"/>
  <c r="R115" i="6"/>
  <c r="AF109" i="6"/>
  <c r="AH109" i="6" s="1"/>
  <c r="P109" i="6"/>
  <c r="M82" i="6"/>
  <c r="N82" i="6"/>
  <c r="AM82" i="6" s="1"/>
  <c r="L82" i="6"/>
  <c r="O82" i="6"/>
  <c r="R23" i="6"/>
  <c r="T23" i="6"/>
  <c r="Q70" i="6"/>
  <c r="AK43" i="6"/>
  <c r="AL43" i="6"/>
  <c r="P108" i="6"/>
  <c r="AF108" i="6"/>
  <c r="AH108" i="6" s="1"/>
  <c r="R110" i="6"/>
  <c r="AL44" i="6"/>
  <c r="AK44" i="6"/>
  <c r="AL12" i="6"/>
  <c r="AK12" i="6"/>
  <c r="AF53" i="6"/>
  <c r="AH53" i="6" s="1"/>
  <c r="P53" i="6"/>
  <c r="Q52" i="6"/>
  <c r="AF63" i="6"/>
  <c r="AH63" i="6" s="1"/>
  <c r="P63" i="6"/>
  <c r="T63" i="6" s="1"/>
  <c r="AK11" i="6"/>
  <c r="AL11" i="6"/>
  <c r="R59" i="6"/>
  <c r="R31" i="6"/>
  <c r="Q24" i="6"/>
  <c r="Q14" i="6"/>
  <c r="V195" i="6"/>
  <c r="S195" i="6"/>
  <c r="P81" i="6"/>
  <c r="AF81" i="6"/>
  <c r="AH81" i="6" s="1"/>
  <c r="Q34" i="6"/>
  <c r="U34" i="6" s="1"/>
  <c r="R158" i="6"/>
  <c r="U158" i="6"/>
  <c r="O158" i="6"/>
  <c r="R125" i="6"/>
  <c r="U125" i="6"/>
  <c r="AK165" i="6"/>
  <c r="AL165" i="6"/>
  <c r="U169" i="6"/>
  <c r="R169" i="6"/>
  <c r="AL181" i="6"/>
  <c r="AK181" i="6"/>
  <c r="W166" i="6"/>
  <c r="BA166" i="6"/>
  <c r="BB166" i="6" s="1"/>
  <c r="AF175" i="6"/>
  <c r="AH175" i="6" s="1"/>
  <c r="P175" i="6"/>
  <c r="Q142" i="6"/>
  <c r="R95" i="6"/>
  <c r="K8" i="7" s="1"/>
  <c r="T95" i="6"/>
  <c r="N95" i="6"/>
  <c r="AM95" i="6" s="1"/>
  <c r="U95" i="6"/>
  <c r="R151" i="6"/>
  <c r="R182" i="6"/>
  <c r="U182" i="6"/>
  <c r="T182" i="6"/>
  <c r="AK153" i="6"/>
  <c r="AR153" i="6" s="1"/>
  <c r="AL153" i="6"/>
  <c r="S94" i="6"/>
  <c r="V94" i="6"/>
  <c r="U78" i="6"/>
  <c r="R78" i="6"/>
  <c r="AF29" i="6"/>
  <c r="AH29" i="6" s="1"/>
  <c r="P29" i="6"/>
  <c r="N65" i="6"/>
  <c r="L65" i="6"/>
  <c r="M65" i="6"/>
  <c r="O65" i="6"/>
  <c r="AK23" i="6"/>
  <c r="AL23" i="6"/>
  <c r="M70" i="6"/>
  <c r="L70" i="6"/>
  <c r="N70" i="6"/>
  <c r="O70" i="6"/>
  <c r="AL110" i="6"/>
  <c r="AK110" i="6"/>
  <c r="AF44" i="6"/>
  <c r="AH44" i="6" s="1"/>
  <c r="P44" i="6"/>
  <c r="AL42" i="6"/>
  <c r="AK42" i="6"/>
  <c r="AF11" i="6"/>
  <c r="AH11" i="6" s="1"/>
  <c r="P11" i="6"/>
  <c r="T11" i="6" s="1"/>
  <c r="AF59" i="6"/>
  <c r="AH59" i="6" s="1"/>
  <c r="P59" i="6"/>
  <c r="U61" i="6"/>
  <c r="R61" i="6"/>
  <c r="O83" i="6"/>
  <c r="M83" i="6"/>
  <c r="L83" i="6"/>
  <c r="N83" i="6"/>
  <c r="AM83" i="6" s="1"/>
  <c r="AH195" i="6"/>
  <c r="O81" i="6"/>
  <c r="M81" i="6"/>
  <c r="N81" i="6"/>
  <c r="L81" i="6"/>
  <c r="AL30" i="6"/>
  <c r="AK30" i="6"/>
  <c r="L141" i="6"/>
  <c r="M141" i="6"/>
  <c r="O141" i="6"/>
  <c r="N141" i="6"/>
  <c r="AM141" i="6" s="1"/>
  <c r="L110" i="6"/>
  <c r="O167" i="6"/>
  <c r="N167" i="6"/>
  <c r="AM167" i="6" s="1"/>
  <c r="L167" i="6"/>
  <c r="M167" i="6"/>
  <c r="AF158" i="6"/>
  <c r="AH158" i="6" s="1"/>
  <c r="P158" i="6"/>
  <c r="O165" i="6"/>
  <c r="N165" i="6"/>
  <c r="L165" i="6"/>
  <c r="M165" i="6"/>
  <c r="Q164" i="6"/>
  <c r="M158" i="6"/>
  <c r="BA146" i="6"/>
  <c r="BB146" i="6" s="1"/>
  <c r="W146" i="6"/>
  <c r="W95" i="6"/>
  <c r="BA95" i="6"/>
  <c r="BB95" i="6" s="1"/>
  <c r="AF152" i="6"/>
  <c r="AH152" i="6" s="1"/>
  <c r="P152" i="6"/>
  <c r="T152" i="6" s="1"/>
  <c r="S122" i="6"/>
  <c r="N151" i="6"/>
  <c r="AM151" i="6" s="1"/>
  <c r="O151" i="6"/>
  <c r="L151" i="6"/>
  <c r="M151" i="6"/>
  <c r="M160" i="6"/>
  <c r="AL84" i="6"/>
  <c r="AK84" i="6"/>
  <c r="N127" i="6"/>
  <c r="L127" i="6"/>
  <c r="O127" i="6"/>
  <c r="M127" i="6"/>
  <c r="S136" i="6"/>
  <c r="V136" i="6"/>
  <c r="O95" i="6"/>
  <c r="AF86" i="6"/>
  <c r="AH86" i="6" s="1"/>
  <c r="P86" i="6"/>
  <c r="S117" i="6"/>
  <c r="V117" i="6"/>
  <c r="AK97" i="6"/>
  <c r="AL97" i="6"/>
  <c r="O115" i="6"/>
  <c r="M115" i="6"/>
  <c r="N115" i="6"/>
  <c r="AM115" i="6" s="1"/>
  <c r="L115" i="6"/>
  <c r="L109" i="6"/>
  <c r="O109" i="6"/>
  <c r="N109" i="6"/>
  <c r="M109" i="6"/>
  <c r="P70" i="6"/>
  <c r="T70" i="6" s="1"/>
  <c r="AF70" i="6"/>
  <c r="AH70" i="6" s="1"/>
  <c r="U98" i="6"/>
  <c r="R98" i="6"/>
  <c r="Q112" i="6"/>
  <c r="N43" i="6"/>
  <c r="AM43" i="6" s="1"/>
  <c r="L43" i="6"/>
  <c r="O43" i="6"/>
  <c r="M43" i="6"/>
  <c r="L108" i="6"/>
  <c r="O108" i="6"/>
  <c r="M108" i="6"/>
  <c r="N108" i="6"/>
  <c r="W60" i="6"/>
  <c r="BA60" i="6"/>
  <c r="BB60" i="6" s="1"/>
  <c r="V60" i="6"/>
  <c r="U60" i="6"/>
  <c r="N37" i="6"/>
  <c r="AM37" i="6" s="1"/>
  <c r="R42" i="6"/>
  <c r="U42" i="6"/>
  <c r="O53" i="6"/>
  <c r="L53" i="6"/>
  <c r="N53" i="6"/>
  <c r="AM53" i="6" s="1"/>
  <c r="M53" i="6"/>
  <c r="Q54" i="6"/>
  <c r="U25" i="6"/>
  <c r="R25" i="6"/>
  <c r="AL16" i="6"/>
  <c r="AK16" i="6"/>
  <c r="R81" i="6"/>
  <c r="T81" i="6"/>
  <c r="AL141" i="6"/>
  <c r="AK141" i="6"/>
  <c r="L37" i="6"/>
  <c r="N110" i="6"/>
  <c r="AM110" i="6" s="1"/>
  <c r="AM188" i="6" l="1"/>
  <c r="AM206" i="6"/>
  <c r="V160" i="6"/>
  <c r="T57" i="6"/>
  <c r="S57" i="6"/>
  <c r="AM204" i="6"/>
  <c r="AM56" i="6"/>
  <c r="T100" i="6"/>
  <c r="AM90" i="6"/>
  <c r="K11" i="7"/>
  <c r="P11" i="7" s="1"/>
  <c r="AM111" i="6"/>
  <c r="T118" i="6"/>
  <c r="I9" i="7"/>
  <c r="S40" i="6"/>
  <c r="AM149" i="6"/>
  <c r="AM86" i="6"/>
  <c r="S176" i="6"/>
  <c r="V187" i="6"/>
  <c r="V100" i="6"/>
  <c r="AM143" i="6"/>
  <c r="AM175" i="6"/>
  <c r="T146" i="6"/>
  <c r="S146" i="6"/>
  <c r="V146" i="6"/>
  <c r="J10" i="7"/>
  <c r="AM130" i="6"/>
  <c r="AM25" i="6"/>
  <c r="S132" i="6"/>
  <c r="AM209" i="6"/>
  <c r="AM172" i="6"/>
  <c r="T85" i="6"/>
  <c r="I6" i="7"/>
  <c r="AM176" i="6"/>
  <c r="AM81" i="6"/>
  <c r="AM156" i="6"/>
  <c r="AM91" i="6"/>
  <c r="AM129" i="6"/>
  <c r="AM139" i="6"/>
  <c r="AM142" i="6"/>
  <c r="V50" i="6"/>
  <c r="V85" i="6"/>
  <c r="AM192" i="6"/>
  <c r="AM122" i="6"/>
  <c r="AM197" i="6"/>
  <c r="V191" i="6"/>
  <c r="V95" i="6"/>
  <c r="S95" i="6"/>
  <c r="AM201" i="6"/>
  <c r="T50" i="6"/>
  <c r="AM178" i="6"/>
  <c r="AM152" i="6"/>
  <c r="T192" i="6"/>
  <c r="V118" i="6"/>
  <c r="V196" i="6"/>
  <c r="AM93" i="6"/>
  <c r="T102" i="6"/>
  <c r="AM207" i="6"/>
  <c r="AM89" i="6"/>
  <c r="S170" i="6"/>
  <c r="T170" i="6"/>
  <c r="AM215" i="6"/>
  <c r="AM104" i="6"/>
  <c r="AM32" i="6"/>
  <c r="T150" i="6"/>
  <c r="AM127" i="6"/>
  <c r="I10" i="7"/>
  <c r="AM28" i="6"/>
  <c r="AM213" i="6"/>
  <c r="V150" i="6"/>
  <c r="S60" i="6"/>
  <c r="T60" i="6"/>
  <c r="T212" i="6"/>
  <c r="AM65" i="6"/>
  <c r="AM57" i="6"/>
  <c r="AM198" i="6"/>
  <c r="AM171" i="6"/>
  <c r="AM186" i="6"/>
  <c r="AM22" i="6"/>
  <c r="AM131" i="6"/>
  <c r="I5" i="7"/>
  <c r="T64" i="6"/>
  <c r="W27" i="6"/>
  <c r="BA27" i="6"/>
  <c r="BB27" i="6" s="1"/>
  <c r="U27" i="6"/>
  <c r="V25" i="6"/>
  <c r="S25" i="6"/>
  <c r="W109" i="6"/>
  <c r="BA109" i="6"/>
  <c r="BB109" i="6" s="1"/>
  <c r="U109" i="6"/>
  <c r="AG9" i="7"/>
  <c r="AF9" i="7"/>
  <c r="AM165" i="6"/>
  <c r="BA5" i="6"/>
  <c r="W5" i="6"/>
  <c r="U5" i="6"/>
  <c r="J5" i="7"/>
  <c r="K10" i="7"/>
  <c r="BA107" i="6"/>
  <c r="BB107" i="6" s="1"/>
  <c r="W107" i="6"/>
  <c r="U107" i="6"/>
  <c r="V173" i="6"/>
  <c r="S173" i="6"/>
  <c r="T173" i="6"/>
  <c r="S35" i="6"/>
  <c r="V35" i="6"/>
  <c r="T35" i="6"/>
  <c r="W153" i="6"/>
  <c r="BA153" i="6"/>
  <c r="BB153" i="6" s="1"/>
  <c r="U153" i="6"/>
  <c r="BA14" i="6"/>
  <c r="BB14" i="6" s="1"/>
  <c r="W14" i="6"/>
  <c r="V14" i="6"/>
  <c r="U14" i="6"/>
  <c r="S109" i="6"/>
  <c r="V109" i="6"/>
  <c r="T109" i="6"/>
  <c r="S56" i="6"/>
  <c r="V56" i="6"/>
  <c r="T56" i="6"/>
  <c r="AA9" i="7"/>
  <c r="E9" i="7"/>
  <c r="Y9" i="7"/>
  <c r="BA41" i="6"/>
  <c r="BB41" i="6" s="1"/>
  <c r="W41" i="6"/>
  <c r="U41" i="6"/>
  <c r="AM39" i="6"/>
  <c r="W112" i="6"/>
  <c r="BA112" i="6"/>
  <c r="BB112" i="6" s="1"/>
  <c r="U112" i="6"/>
  <c r="V112" i="6"/>
  <c r="V86" i="6"/>
  <c r="S86" i="6"/>
  <c r="S152" i="6"/>
  <c r="V152" i="6"/>
  <c r="AM34" i="6"/>
  <c r="W190" i="6"/>
  <c r="BA190" i="6"/>
  <c r="BB190" i="6" s="1"/>
  <c r="U190" i="6"/>
  <c r="AM208" i="6"/>
  <c r="S204" i="6"/>
  <c r="V204" i="6"/>
  <c r="T204" i="6"/>
  <c r="W111" i="6"/>
  <c r="BA111" i="6"/>
  <c r="BB111" i="6" s="1"/>
  <c r="U111" i="6"/>
  <c r="V156" i="6"/>
  <c r="S156" i="6"/>
  <c r="T156" i="6"/>
  <c r="BA70" i="6"/>
  <c r="BB70" i="6" s="1"/>
  <c r="W70" i="6"/>
  <c r="BA159" i="6"/>
  <c r="BB159" i="6" s="1"/>
  <c r="W159" i="6"/>
  <c r="U159" i="6"/>
  <c r="P8" i="7"/>
  <c r="AG8" i="7"/>
  <c r="AF8" i="7"/>
  <c r="U70" i="6"/>
  <c r="BA46" i="6"/>
  <c r="BB46" i="6" s="1"/>
  <c r="W46" i="6"/>
  <c r="U46" i="6"/>
  <c r="V54" i="6"/>
  <c r="S54" i="6"/>
  <c r="V142" i="6"/>
  <c r="S142" i="6"/>
  <c r="T142" i="6"/>
  <c r="W59" i="6"/>
  <c r="BA59" i="6"/>
  <c r="BB59" i="6" s="1"/>
  <c r="U59" i="6"/>
  <c r="K9" i="7"/>
  <c r="P9" i="7" s="1"/>
  <c r="W193" i="6"/>
  <c r="BA193" i="6"/>
  <c r="BB193" i="6" s="1"/>
  <c r="U193" i="6"/>
  <c r="S198" i="6"/>
  <c r="V198" i="6"/>
  <c r="T198" i="6"/>
  <c r="V159" i="6"/>
  <c r="S159" i="6"/>
  <c r="T159" i="6"/>
  <c r="V52" i="6"/>
  <c r="S52" i="6"/>
  <c r="T52" i="6"/>
  <c r="W151" i="6"/>
  <c r="BA151" i="6"/>
  <c r="BB151" i="6" s="1"/>
  <c r="BA121" i="6"/>
  <c r="BB121" i="6" s="1"/>
  <c r="W121" i="6"/>
  <c r="U121" i="6"/>
  <c r="J9" i="7"/>
  <c r="V209" i="6"/>
  <c r="S209" i="6"/>
  <c r="T209" i="6"/>
  <c r="BA28" i="6"/>
  <c r="BB28" i="6" s="1"/>
  <c r="W28" i="6"/>
  <c r="U28" i="6"/>
  <c r="W63" i="6"/>
  <c r="BA63" i="6"/>
  <c r="BB63" i="6" s="1"/>
  <c r="U63" i="6"/>
  <c r="V171" i="6"/>
  <c r="S171" i="6"/>
  <c r="T171" i="6"/>
  <c r="BA127" i="6"/>
  <c r="BB127" i="6" s="1"/>
  <c r="W127" i="6"/>
  <c r="U127" i="6"/>
  <c r="W6" i="6"/>
  <c r="BA6" i="6"/>
  <c r="BB6" i="6" s="1"/>
  <c r="U6" i="6"/>
  <c r="S98" i="6"/>
  <c r="V98" i="6"/>
  <c r="W207" i="6"/>
  <c r="BA207" i="6"/>
  <c r="BB207" i="6" s="1"/>
  <c r="U207" i="6"/>
  <c r="BA19" i="6"/>
  <c r="BB19" i="6" s="1"/>
  <c r="W19" i="6"/>
  <c r="U19" i="6"/>
  <c r="BA101" i="6"/>
  <c r="BB101" i="6" s="1"/>
  <c r="W101" i="6"/>
  <c r="BA206" i="6"/>
  <c r="BB206" i="6" s="1"/>
  <c r="W206" i="6"/>
  <c r="X199" i="6" s="1"/>
  <c r="U206" i="6"/>
  <c r="W182" i="6"/>
  <c r="BA182" i="6"/>
  <c r="BB182" i="6" s="1"/>
  <c r="K6" i="7"/>
  <c r="V190" i="6"/>
  <c r="V96" i="6"/>
  <c r="S96" i="6"/>
  <c r="I8" i="7"/>
  <c r="AM117" i="6"/>
  <c r="BA156" i="6"/>
  <c r="BB156" i="6" s="1"/>
  <c r="W156" i="6"/>
  <c r="U156" i="6"/>
  <c r="AG5" i="7"/>
  <c r="AF5" i="7"/>
  <c r="S38" i="6"/>
  <c r="V38" i="6"/>
  <c r="T38" i="6"/>
  <c r="V46" i="6"/>
  <c r="S46" i="6"/>
  <c r="W88" i="6"/>
  <c r="BA88" i="6"/>
  <c r="BB88" i="6" s="1"/>
  <c r="U88" i="6"/>
  <c r="N7" i="7" s="1"/>
  <c r="J7" i="7"/>
  <c r="S181" i="6"/>
  <c r="V181" i="6"/>
  <c r="AM18" i="6"/>
  <c r="S125" i="6"/>
  <c r="V125" i="6"/>
  <c r="BA36" i="6"/>
  <c r="BB36" i="6" s="1"/>
  <c r="W36" i="6"/>
  <c r="U36" i="6"/>
  <c r="V111" i="6"/>
  <c r="S111" i="6"/>
  <c r="T111" i="6"/>
  <c r="BA22" i="6"/>
  <c r="BB22" i="6" s="1"/>
  <c r="W22" i="6"/>
  <c r="BA10" i="6"/>
  <c r="BB10" i="6" s="1"/>
  <c r="W10" i="6"/>
  <c r="U10" i="6"/>
  <c r="S106" i="6"/>
  <c r="V106" i="6"/>
  <c r="T106" i="6"/>
  <c r="BA75" i="6"/>
  <c r="BB75" i="6" s="1"/>
  <c r="W75" i="6"/>
  <c r="BA142" i="6"/>
  <c r="BB142" i="6" s="1"/>
  <c r="W142" i="6"/>
  <c r="U142" i="6"/>
  <c r="W52" i="6"/>
  <c r="BA52" i="6"/>
  <c r="BB52" i="6" s="1"/>
  <c r="U52" i="6"/>
  <c r="S107" i="6"/>
  <c r="V107" i="6"/>
  <c r="T107" i="6"/>
  <c r="V5" i="6"/>
  <c r="S5" i="6"/>
  <c r="T5" i="6"/>
  <c r="AF6" i="7"/>
  <c r="AG6" i="7"/>
  <c r="P6" i="7"/>
  <c r="W20" i="6"/>
  <c r="BA20" i="6"/>
  <c r="BB20" i="6" s="1"/>
  <c r="U20" i="6"/>
  <c r="K5" i="7"/>
  <c r="P5" i="7" s="1"/>
  <c r="V7" i="6"/>
  <c r="S7" i="6"/>
  <c r="T7" i="6"/>
  <c r="BA64" i="6"/>
  <c r="BB64" i="6" s="1"/>
  <c r="W64" i="6"/>
  <c r="U64" i="6"/>
  <c r="V64" i="6"/>
  <c r="BA61" i="6"/>
  <c r="BB61" i="6" s="1"/>
  <c r="W61" i="6"/>
  <c r="S61" i="6"/>
  <c r="V61" i="6"/>
  <c r="V158" i="6"/>
  <c r="S158" i="6"/>
  <c r="T158" i="6"/>
  <c r="W24" i="6"/>
  <c r="BA24" i="6"/>
  <c r="BB24" i="6" s="1"/>
  <c r="U24" i="6"/>
  <c r="S172" i="6"/>
  <c r="V172" i="6"/>
  <c r="T172" i="6"/>
  <c r="W188" i="6"/>
  <c r="BA188" i="6"/>
  <c r="BB188" i="6" s="1"/>
  <c r="U188" i="6"/>
  <c r="S83" i="6"/>
  <c r="V83" i="6"/>
  <c r="T83" i="6"/>
  <c r="BA40" i="6"/>
  <c r="BB40" i="6" s="1"/>
  <c r="W40" i="6"/>
  <c r="U40" i="6"/>
  <c r="V40" i="6"/>
  <c r="S115" i="6"/>
  <c r="V115" i="6"/>
  <c r="J8" i="7"/>
  <c r="S101" i="6"/>
  <c r="V101" i="6"/>
  <c r="BA86" i="6"/>
  <c r="BB86" i="6" s="1"/>
  <c r="W86" i="6"/>
  <c r="BA79" i="6"/>
  <c r="BB79" i="6" s="1"/>
  <c r="U79" i="6"/>
  <c r="W79" i="6"/>
  <c r="T125" i="6"/>
  <c r="T98" i="6"/>
  <c r="W209" i="6"/>
  <c r="BA209" i="6"/>
  <c r="BB209" i="6" s="1"/>
  <c r="U209" i="6"/>
  <c r="V188" i="6"/>
  <c r="S188" i="6"/>
  <c r="T188" i="6"/>
  <c r="S59" i="6"/>
  <c r="V59" i="6"/>
  <c r="T59" i="6"/>
  <c r="BA167" i="6"/>
  <c r="BB167" i="6" s="1"/>
  <c r="W167" i="6"/>
  <c r="U167" i="6"/>
  <c r="V44" i="6"/>
  <c r="S44" i="6"/>
  <c r="T44" i="6"/>
  <c r="V175" i="6"/>
  <c r="S175" i="6"/>
  <c r="T175" i="6"/>
  <c r="V81" i="6"/>
  <c r="S81" i="6"/>
  <c r="S53" i="6"/>
  <c r="V53" i="6"/>
  <c r="T53" i="6"/>
  <c r="V180" i="6"/>
  <c r="S180" i="6"/>
  <c r="T180" i="6"/>
  <c r="AM181" i="6"/>
  <c r="T54" i="6"/>
  <c r="AA10" i="7"/>
  <c r="E10" i="7"/>
  <c r="Y10" i="7"/>
  <c r="V43" i="6"/>
  <c r="S43" i="6"/>
  <c r="T43" i="6"/>
  <c r="S202" i="6"/>
  <c r="V202" i="6"/>
  <c r="T202" i="6"/>
  <c r="AM76" i="6"/>
  <c r="G10" i="7"/>
  <c r="AB10" i="7"/>
  <c r="F10" i="7"/>
  <c r="Z10" i="7"/>
  <c r="V163" i="6"/>
  <c r="S163" i="6"/>
  <c r="W81" i="6"/>
  <c r="BA81" i="6"/>
  <c r="BB81" i="6" s="1"/>
  <c r="W9" i="6"/>
  <c r="BA9" i="6"/>
  <c r="BB9" i="6" s="1"/>
  <c r="V9" i="6"/>
  <c r="BA134" i="6"/>
  <c r="BB134" i="6" s="1"/>
  <c r="W134" i="6"/>
  <c r="U134" i="6"/>
  <c r="V154" i="6"/>
  <c r="S154" i="6"/>
  <c r="T154" i="6"/>
  <c r="AM147" i="6"/>
  <c r="V65" i="6"/>
  <c r="S65" i="6"/>
  <c r="V88" i="6"/>
  <c r="S88" i="6"/>
  <c r="T88" i="6"/>
  <c r="M7" i="7" s="1"/>
  <c r="I7" i="7"/>
  <c r="AB9" i="7"/>
  <c r="Z9" i="7"/>
  <c r="F9" i="7"/>
  <c r="G9" i="7" s="1"/>
  <c r="W117" i="6"/>
  <c r="BA117" i="6"/>
  <c r="BB117" i="6" s="1"/>
  <c r="U117" i="6"/>
  <c r="V30" i="6"/>
  <c r="S30" i="6"/>
  <c r="W72" i="6"/>
  <c r="BA72" i="6"/>
  <c r="BB72" i="6" s="1"/>
  <c r="W35" i="6"/>
  <c r="BA35" i="6"/>
  <c r="BB35" i="6" s="1"/>
  <c r="U35" i="6"/>
  <c r="BA32" i="6"/>
  <c r="BB32" i="6" s="1"/>
  <c r="W32" i="6"/>
  <c r="BA149" i="6"/>
  <c r="BB149" i="6" s="1"/>
  <c r="W149" i="6"/>
  <c r="AM23" i="6"/>
  <c r="V179" i="6"/>
  <c r="S179" i="6"/>
  <c r="V211" i="6"/>
  <c r="S211" i="6"/>
  <c r="T211" i="6"/>
  <c r="V21" i="6"/>
  <c r="S21" i="6"/>
  <c r="S41" i="6"/>
  <c r="V41" i="6"/>
  <c r="AM124" i="6"/>
  <c r="W76" i="6"/>
  <c r="BA76" i="6"/>
  <c r="BB76" i="6" s="1"/>
  <c r="U76" i="6"/>
  <c r="V76" i="6"/>
  <c r="AM191" i="6"/>
  <c r="W200" i="6"/>
  <c r="BA200" i="6"/>
  <c r="BB200" i="6" s="1"/>
  <c r="U200" i="6"/>
  <c r="V200" i="6"/>
  <c r="V26" i="6"/>
  <c r="S26" i="6"/>
  <c r="T26" i="6"/>
  <c r="BA129" i="6"/>
  <c r="BB129" i="6" s="1"/>
  <c r="W129" i="6"/>
  <c r="U129" i="6"/>
  <c r="B5" i="1"/>
  <c r="AM59" i="6"/>
  <c r="W23" i="6"/>
  <c r="BA23" i="6"/>
  <c r="BB23" i="6" s="1"/>
  <c r="V23" i="6"/>
  <c r="BA67" i="6"/>
  <c r="BB67" i="6" s="1"/>
  <c r="W67" i="6"/>
  <c r="U67" i="6"/>
  <c r="V67" i="6"/>
  <c r="V20" i="6"/>
  <c r="S20" i="6"/>
  <c r="T20" i="6"/>
  <c r="AM67" i="6"/>
  <c r="V75" i="6"/>
  <c r="S75" i="6"/>
  <c r="AM120" i="6"/>
  <c r="W196" i="6"/>
  <c r="BA196" i="6"/>
  <c r="BB196" i="6" s="1"/>
  <c r="W89" i="6"/>
  <c r="BA89" i="6"/>
  <c r="BB89" i="6" s="1"/>
  <c r="W189" i="6"/>
  <c r="BA189" i="6"/>
  <c r="BB189" i="6" s="1"/>
  <c r="U189" i="6"/>
  <c r="U72" i="6"/>
  <c r="AM63" i="6"/>
  <c r="W163" i="6"/>
  <c r="BA163" i="6"/>
  <c r="BB163" i="6" s="1"/>
  <c r="U163" i="6"/>
  <c r="Y8" i="7"/>
  <c r="AA8" i="7"/>
  <c r="E8" i="7"/>
  <c r="G8" i="7" s="1"/>
  <c r="S169" i="6"/>
  <c r="V169" i="6"/>
  <c r="V143" i="6"/>
  <c r="S143" i="6"/>
  <c r="V49" i="6"/>
  <c r="S49" i="6"/>
  <c r="T49" i="6"/>
  <c r="S137" i="6"/>
  <c r="V137" i="6"/>
  <c r="T137" i="6"/>
  <c r="U9" i="6"/>
  <c r="AM105" i="6"/>
  <c r="BA191" i="6"/>
  <c r="BB191" i="6" s="1"/>
  <c r="W191" i="6"/>
  <c r="U191" i="6"/>
  <c r="BA42" i="6"/>
  <c r="BB42" i="6" s="1"/>
  <c r="W42" i="6"/>
  <c r="BA105" i="6"/>
  <c r="BB105" i="6" s="1"/>
  <c r="W105" i="6"/>
  <c r="U105" i="6"/>
  <c r="W137" i="6"/>
  <c r="BA137" i="6"/>
  <c r="BB137" i="6" s="1"/>
  <c r="U137" i="6"/>
  <c r="BA152" i="6"/>
  <c r="BB152" i="6" s="1"/>
  <c r="W152" i="6"/>
  <c r="W8" i="6"/>
  <c r="BA8" i="6"/>
  <c r="BB8" i="6" s="1"/>
  <c r="V34" i="6"/>
  <c r="S34" i="6"/>
  <c r="BA90" i="6"/>
  <c r="BB90" i="6" s="1"/>
  <c r="W90" i="6"/>
  <c r="BA186" i="6"/>
  <c r="BB186" i="6" s="1"/>
  <c r="W186" i="6"/>
  <c r="U186" i="6"/>
  <c r="S11" i="6"/>
  <c r="V11" i="6"/>
  <c r="V97" i="6"/>
  <c r="S97" i="6"/>
  <c r="T97" i="6"/>
  <c r="BA84" i="6"/>
  <c r="BB84" i="6" s="1"/>
  <c r="W84" i="6"/>
  <c r="V84" i="6"/>
  <c r="U84" i="6"/>
  <c r="AM77" i="6"/>
  <c r="AG11" i="7"/>
  <c r="AF11" i="7"/>
  <c r="V77" i="6"/>
  <c r="S77" i="6"/>
  <c r="S73" i="6"/>
  <c r="V73" i="6"/>
  <c r="T73" i="6"/>
  <c r="S92" i="6"/>
  <c r="V92" i="6"/>
  <c r="BA125" i="6"/>
  <c r="BB125" i="6" s="1"/>
  <c r="W125" i="6"/>
  <c r="AM16" i="6"/>
  <c r="W21" i="6"/>
  <c r="BA21" i="6"/>
  <c r="BB21" i="6" s="1"/>
  <c r="Z8" i="7"/>
  <c r="F8" i="7"/>
  <c r="AB8" i="7"/>
  <c r="BA15" i="6"/>
  <c r="BB15" i="6" s="1"/>
  <c r="W15" i="6"/>
  <c r="V15" i="6"/>
  <c r="BN68" i="6"/>
  <c r="AW68" i="6"/>
  <c r="BM68" i="6"/>
  <c r="V32" i="6"/>
  <c r="S32" i="6"/>
  <c r="T32" i="6"/>
  <c r="S157" i="6"/>
  <c r="V157" i="6"/>
  <c r="V153" i="6"/>
  <c r="S153" i="6"/>
  <c r="T153" i="6"/>
  <c r="S39" i="6"/>
  <c r="V39" i="6"/>
  <c r="T39" i="6"/>
  <c r="AM118" i="6"/>
  <c r="T79" i="6"/>
  <c r="S79" i="6"/>
  <c r="V79" i="6"/>
  <c r="BO93" i="6"/>
  <c r="BP93" i="6"/>
  <c r="W147" i="6"/>
  <c r="BA147" i="6"/>
  <c r="BB147" i="6" s="1"/>
  <c r="U147" i="6"/>
  <c r="AM183" i="6"/>
  <c r="S36" i="6"/>
  <c r="V36" i="6"/>
  <c r="U149" i="6"/>
  <c r="W184" i="6"/>
  <c r="BA184" i="6"/>
  <c r="BB184" i="6" s="1"/>
  <c r="U184" i="6"/>
  <c r="V16" i="6"/>
  <c r="S16" i="6"/>
  <c r="T16" i="6"/>
  <c r="W119" i="6"/>
  <c r="BA119" i="6"/>
  <c r="BB119" i="6" s="1"/>
  <c r="V119" i="6"/>
  <c r="V207" i="6"/>
  <c r="S207" i="6"/>
  <c r="T207" i="6"/>
  <c r="AM164" i="6"/>
  <c r="V89" i="6"/>
  <c r="S89" i="6"/>
  <c r="W164" i="6"/>
  <c r="BA164" i="6"/>
  <c r="BB164" i="6" s="1"/>
  <c r="U164" i="6"/>
  <c r="BA198" i="6"/>
  <c r="BB198" i="6" s="1"/>
  <c r="W198" i="6"/>
  <c r="U198" i="6"/>
  <c r="BA165" i="6"/>
  <c r="BB165" i="6" s="1"/>
  <c r="W165" i="6"/>
  <c r="AM174" i="6"/>
  <c r="AM52" i="6"/>
  <c r="V68" i="6"/>
  <c r="S68" i="6"/>
  <c r="BA179" i="6"/>
  <c r="BB179" i="6" s="1"/>
  <c r="W179" i="6"/>
  <c r="AM36" i="6"/>
  <c r="AM135" i="6"/>
  <c r="W13" i="6"/>
  <c r="BA13" i="6"/>
  <c r="BB13" i="6" s="1"/>
  <c r="U13" i="6"/>
  <c r="W56" i="6"/>
  <c r="BA56" i="6"/>
  <c r="BB56" i="6" s="1"/>
  <c r="V138" i="6"/>
  <c r="S138" i="6"/>
  <c r="W77" i="6"/>
  <c r="BA77" i="6"/>
  <c r="BB77" i="6" s="1"/>
  <c r="W161" i="6"/>
  <c r="BA161" i="6"/>
  <c r="BB161" i="6" s="1"/>
  <c r="AM133" i="6"/>
  <c r="S214" i="6"/>
  <c r="V214" i="6"/>
  <c r="T214" i="6"/>
  <c r="W54" i="6"/>
  <c r="BA54" i="6"/>
  <c r="BB54" i="6" s="1"/>
  <c r="V29" i="6"/>
  <c r="S29" i="6"/>
  <c r="T29" i="6"/>
  <c r="V63" i="6"/>
  <c r="S63" i="6"/>
  <c r="AM84" i="6"/>
  <c r="V215" i="6"/>
  <c r="S215" i="6"/>
  <c r="T215" i="6"/>
  <c r="BA108" i="6"/>
  <c r="BB108" i="6" s="1"/>
  <c r="W108" i="6"/>
  <c r="U108" i="6"/>
  <c r="W118" i="6"/>
  <c r="BA118" i="6"/>
  <c r="BB118" i="6" s="1"/>
  <c r="AM138" i="6"/>
  <c r="S114" i="6"/>
  <c r="V114" i="6"/>
  <c r="T143" i="6"/>
  <c r="AA11" i="7"/>
  <c r="E11" i="7"/>
  <c r="Y11" i="7"/>
  <c r="BA175" i="6"/>
  <c r="BB175" i="6" s="1"/>
  <c r="W175" i="6"/>
  <c r="AM97" i="6"/>
  <c r="V149" i="6"/>
  <c r="S149" i="6"/>
  <c r="V144" i="6"/>
  <c r="S144" i="6"/>
  <c r="V213" i="6"/>
  <c r="S213" i="6"/>
  <c r="T213" i="6"/>
  <c r="V193" i="6"/>
  <c r="S193" i="6"/>
  <c r="AA7" i="7"/>
  <c r="E7" i="7"/>
  <c r="G7" i="7" s="1"/>
  <c r="Y7" i="7"/>
  <c r="S90" i="6"/>
  <c r="V90" i="6"/>
  <c r="BA91" i="6"/>
  <c r="BB91" i="6" s="1"/>
  <c r="W91" i="6"/>
  <c r="V91" i="6"/>
  <c r="S189" i="6"/>
  <c r="V189" i="6"/>
  <c r="T189" i="6"/>
  <c r="S19" i="6"/>
  <c r="V19" i="6"/>
  <c r="T163" i="6"/>
  <c r="AM112" i="6"/>
  <c r="S178" i="6"/>
  <c r="V178" i="6"/>
  <c r="W192" i="6"/>
  <c r="BA192" i="6"/>
  <c r="BB192" i="6" s="1"/>
  <c r="V147" i="6"/>
  <c r="AB7" i="7"/>
  <c r="F7" i="7"/>
  <c r="Z7" i="7"/>
  <c r="T30" i="6"/>
  <c r="S58" i="6"/>
  <c r="V58" i="6"/>
  <c r="T58" i="6"/>
  <c r="BA177" i="6"/>
  <c r="BB177" i="6" s="1"/>
  <c r="W177" i="6"/>
  <c r="U177" i="6"/>
  <c r="S6" i="6"/>
  <c r="V6" i="6"/>
  <c r="AM88" i="6"/>
  <c r="W43" i="6"/>
  <c r="BA43" i="6"/>
  <c r="BB43" i="6" s="1"/>
  <c r="W141" i="6"/>
  <c r="BA141" i="6"/>
  <c r="BB141" i="6" s="1"/>
  <c r="W115" i="6"/>
  <c r="BA115" i="6"/>
  <c r="BB115" i="6" s="1"/>
  <c r="U115" i="6"/>
  <c r="S192" i="6"/>
  <c r="V192" i="6"/>
  <c r="S27" i="6"/>
  <c r="V27" i="6"/>
  <c r="BA39" i="6"/>
  <c r="BB39" i="6" s="1"/>
  <c r="W39" i="6"/>
  <c r="U39" i="6"/>
  <c r="W62" i="6"/>
  <c r="BA62" i="6"/>
  <c r="BB62" i="6" s="1"/>
  <c r="U62" i="6"/>
  <c r="V62" i="6"/>
  <c r="AM7" i="6"/>
  <c r="W34" i="6"/>
  <c r="BA34" i="6"/>
  <c r="BB34" i="6" s="1"/>
  <c r="S141" i="6"/>
  <c r="V141" i="6"/>
  <c r="T141" i="6"/>
  <c r="AG10" i="7"/>
  <c r="AF10" i="7"/>
  <c r="P10" i="7"/>
  <c r="W97" i="6"/>
  <c r="BA97" i="6"/>
  <c r="BB97" i="6" s="1"/>
  <c r="V177" i="6"/>
  <c r="S177" i="6"/>
  <c r="T177" i="6"/>
  <c r="W12" i="6"/>
  <c r="BA12" i="6"/>
  <c r="BB12" i="6" s="1"/>
  <c r="U12" i="6"/>
  <c r="BA208" i="6"/>
  <c r="BB208" i="6" s="1"/>
  <c r="W208" i="6"/>
  <c r="U208" i="6"/>
  <c r="AM19" i="6"/>
  <c r="V182" i="6"/>
  <c r="S182" i="6"/>
  <c r="W16" i="6"/>
  <c r="BA16" i="6"/>
  <c r="BB16" i="6" s="1"/>
  <c r="U16" i="6"/>
  <c r="W143" i="6"/>
  <c r="BA143" i="6"/>
  <c r="BB143" i="6" s="1"/>
  <c r="AM42" i="6"/>
  <c r="S168" i="6"/>
  <c r="V168" i="6"/>
  <c r="T168" i="6"/>
  <c r="W57" i="6"/>
  <c r="BA57" i="6"/>
  <c r="BB57" i="6" s="1"/>
  <c r="V57" i="6"/>
  <c r="U57" i="6"/>
  <c r="F6" i="7"/>
  <c r="AB6" i="7"/>
  <c r="Z6" i="7"/>
  <c r="W136" i="6"/>
  <c r="BA136" i="6"/>
  <c r="BB136" i="6" s="1"/>
  <c r="U136" i="6"/>
  <c r="BA124" i="6"/>
  <c r="BB124" i="6" s="1"/>
  <c r="W124" i="6"/>
  <c r="U124" i="6"/>
  <c r="BA123" i="6"/>
  <c r="BB123" i="6" s="1"/>
  <c r="W123" i="6"/>
  <c r="V123" i="6"/>
  <c r="U123" i="6"/>
  <c r="V69" i="6"/>
  <c r="S69" i="6"/>
  <c r="T69" i="6"/>
  <c r="U8" i="6"/>
  <c r="Y6" i="7"/>
  <c r="AA6" i="7"/>
  <c r="E6" i="7"/>
  <c r="AM15" i="6"/>
  <c r="BA157" i="6"/>
  <c r="BB157" i="6" s="1"/>
  <c r="W157" i="6"/>
  <c r="S110" i="6"/>
  <c r="V110" i="6"/>
  <c r="V124" i="6"/>
  <c r="S124" i="6"/>
  <c r="T124" i="6"/>
  <c r="AM50" i="6"/>
  <c r="W170" i="6"/>
  <c r="BA170" i="6"/>
  <c r="BB170" i="6" s="1"/>
  <c r="V170" i="6"/>
  <c r="U170" i="6"/>
  <c r="W51" i="6"/>
  <c r="BA51" i="6"/>
  <c r="BB51" i="6" s="1"/>
  <c r="J6" i="7"/>
  <c r="U51" i="6"/>
  <c r="BA174" i="6"/>
  <c r="BB174" i="6" s="1"/>
  <c r="W174" i="6"/>
  <c r="U174" i="6"/>
  <c r="S74" i="6"/>
  <c r="V74" i="6"/>
  <c r="T74" i="6"/>
  <c r="V22" i="6"/>
  <c r="S22" i="6"/>
  <c r="AM5" i="6"/>
  <c r="W11" i="6"/>
  <c r="BA11" i="6"/>
  <c r="BB11" i="6" s="1"/>
  <c r="AM190" i="6"/>
  <c r="W120" i="6"/>
  <c r="BA120" i="6"/>
  <c r="BB120" i="6" s="1"/>
  <c r="S162" i="6"/>
  <c r="V162" i="6"/>
  <c r="T162" i="6"/>
  <c r="AM51" i="6"/>
  <c r="BA116" i="6"/>
  <c r="BB116" i="6" s="1"/>
  <c r="W116" i="6"/>
  <c r="V116" i="6"/>
  <c r="W204" i="6"/>
  <c r="BA204" i="6"/>
  <c r="BB204" i="6" s="1"/>
  <c r="V186" i="6"/>
  <c r="S186" i="6"/>
  <c r="T186" i="6"/>
  <c r="V71" i="6"/>
  <c r="T71" i="6"/>
  <c r="S71" i="6"/>
  <c r="BA162" i="6"/>
  <c r="BB162" i="6" s="1"/>
  <c r="W162" i="6"/>
  <c r="U162" i="6"/>
  <c r="W128" i="6"/>
  <c r="BA128" i="6"/>
  <c r="BB128" i="6" s="1"/>
  <c r="AM108" i="6"/>
  <c r="AM109" i="6"/>
  <c r="V24" i="6"/>
  <c r="S24" i="6"/>
  <c r="BA110" i="6"/>
  <c r="BB110" i="6" s="1"/>
  <c r="W110" i="6"/>
  <c r="S28" i="6"/>
  <c r="V28" i="6"/>
  <c r="T28" i="6"/>
  <c r="W38" i="6"/>
  <c r="BA38" i="6"/>
  <c r="BB38" i="6" s="1"/>
  <c r="S129" i="6"/>
  <c r="V129" i="6"/>
  <c r="S104" i="6"/>
  <c r="V104" i="6"/>
  <c r="AM8" i="6"/>
  <c r="V13" i="6"/>
  <c r="S13" i="6"/>
  <c r="V120" i="6"/>
  <c r="S120" i="6"/>
  <c r="S139" i="6"/>
  <c r="V139" i="6"/>
  <c r="W30" i="6"/>
  <c r="BA30" i="6"/>
  <c r="BB30" i="6" s="1"/>
  <c r="T104" i="6"/>
  <c r="BA173" i="6"/>
  <c r="BB173" i="6" s="1"/>
  <c r="W173" i="6"/>
  <c r="U173" i="6"/>
  <c r="V134" i="6"/>
  <c r="S134" i="6"/>
  <c r="T134" i="6"/>
  <c r="V185" i="6"/>
  <c r="S185" i="6"/>
  <c r="T185" i="6"/>
  <c r="BN179" i="6"/>
  <c r="AW179" i="6"/>
  <c r="BM179" i="6"/>
  <c r="AM193" i="6"/>
  <c r="V203" i="6"/>
  <c r="S203" i="6"/>
  <c r="T203" i="6"/>
  <c r="S151" i="6"/>
  <c r="V151" i="6"/>
  <c r="W213" i="6"/>
  <c r="BA213" i="6"/>
  <c r="BB213" i="6" s="1"/>
  <c r="BA96" i="6"/>
  <c r="BB96" i="6" s="1"/>
  <c r="W96" i="6"/>
  <c r="AM103" i="6"/>
  <c r="AM196" i="6"/>
  <c r="W171" i="6"/>
  <c r="BA171" i="6"/>
  <c r="BB171" i="6" s="1"/>
  <c r="AM161" i="6"/>
  <c r="BK93" i="6"/>
  <c r="BJ93" i="6"/>
  <c r="S42" i="6"/>
  <c r="V42" i="6"/>
  <c r="BA7" i="6"/>
  <c r="BB7" i="6" s="1"/>
  <c r="W7" i="6"/>
  <c r="AM185" i="6"/>
  <c r="V205" i="6"/>
  <c r="S205" i="6"/>
  <c r="BA18" i="6"/>
  <c r="BB18" i="6" s="1"/>
  <c r="W18" i="6"/>
  <c r="V18" i="6"/>
  <c r="U18" i="6"/>
  <c r="AM69" i="6"/>
  <c r="AB11" i="7"/>
  <c r="F11" i="7"/>
  <c r="Z11" i="7"/>
  <c r="V51" i="6"/>
  <c r="S51" i="6"/>
  <c r="S126" i="6"/>
  <c r="V126" i="6"/>
  <c r="W140" i="6"/>
  <c r="BA140" i="6"/>
  <c r="BB140" i="6" s="1"/>
  <c r="S121" i="6"/>
  <c r="V121" i="6"/>
  <c r="U140" i="6"/>
  <c r="W122" i="6"/>
  <c r="BA122" i="6"/>
  <c r="BB122" i="6" s="1"/>
  <c r="U122" i="6"/>
  <c r="AM159" i="6"/>
  <c r="W132" i="6"/>
  <c r="BA132" i="6"/>
  <c r="BB132" i="6" s="1"/>
  <c r="U132" i="6"/>
  <c r="AM128" i="6"/>
  <c r="AM155" i="6"/>
  <c r="S103" i="6"/>
  <c r="V103" i="6"/>
  <c r="V105" i="6"/>
  <c r="S105" i="6"/>
  <c r="AM41" i="6"/>
  <c r="V161" i="6"/>
  <c r="S161" i="6"/>
  <c r="W69" i="6"/>
  <c r="BA69" i="6"/>
  <c r="BB69" i="6" s="1"/>
  <c r="AM162" i="6"/>
  <c r="AM12" i="6"/>
  <c r="S183" i="6"/>
  <c r="V183" i="6"/>
  <c r="BA187" i="6"/>
  <c r="BB187" i="6" s="1"/>
  <c r="W187" i="6"/>
  <c r="BA160" i="6"/>
  <c r="BB160" i="6" s="1"/>
  <c r="W160" i="6"/>
  <c r="BA53" i="6"/>
  <c r="BB53" i="6" s="1"/>
  <c r="W53" i="6"/>
  <c r="X71" i="6" s="1"/>
  <c r="U53" i="6"/>
  <c r="AM140" i="6"/>
  <c r="V184" i="6"/>
  <c r="S184" i="6"/>
  <c r="T184" i="6"/>
  <c r="W178" i="6"/>
  <c r="BA178" i="6"/>
  <c r="BB178" i="6" s="1"/>
  <c r="S31" i="6"/>
  <c r="V31" i="6"/>
  <c r="AM24" i="6"/>
  <c r="S45" i="6"/>
  <c r="V45" i="6"/>
  <c r="AM194" i="6"/>
  <c r="BA44" i="6"/>
  <c r="BB44" i="6" s="1"/>
  <c r="W44" i="6"/>
  <c r="W65" i="6"/>
  <c r="BA65" i="6"/>
  <c r="BB65" i="6" s="1"/>
  <c r="V208" i="6"/>
  <c r="S208" i="6"/>
  <c r="BA26" i="6"/>
  <c r="BB26" i="6" s="1"/>
  <c r="W26" i="6"/>
  <c r="U26" i="6"/>
  <c r="AM68" i="6"/>
  <c r="AM30" i="6"/>
  <c r="V122" i="6"/>
  <c r="BA83" i="6"/>
  <c r="BB83" i="6" s="1"/>
  <c r="W83" i="6"/>
  <c r="B60" i="1"/>
  <c r="B59" i="1"/>
  <c r="B58" i="1"/>
  <c r="B57" i="1"/>
  <c r="AM153" i="6"/>
  <c r="V8" i="6"/>
  <c r="S8" i="6"/>
  <c r="W205" i="6"/>
  <c r="BA205" i="6"/>
  <c r="BB205" i="6" s="1"/>
  <c r="T13" i="6"/>
  <c r="BA106" i="6"/>
  <c r="BB106" i="6" s="1"/>
  <c r="W106" i="6"/>
  <c r="U106" i="6"/>
  <c r="S145" i="6"/>
  <c r="V145" i="6"/>
  <c r="AM96" i="6"/>
  <c r="BA169" i="6"/>
  <c r="BB169" i="6" s="1"/>
  <c r="W169" i="6"/>
  <c r="X172" i="6" s="1"/>
  <c r="AM10" i="6"/>
  <c r="AM44" i="6"/>
  <c r="AM205" i="6"/>
  <c r="U120" i="6"/>
  <c r="AM62" i="6"/>
  <c r="AM35" i="6"/>
  <c r="AB5" i="7"/>
  <c r="F5" i="7"/>
  <c r="Z5" i="7"/>
  <c r="W180" i="6"/>
  <c r="BA180" i="6"/>
  <c r="BB180" i="6" s="1"/>
  <c r="S165" i="6"/>
  <c r="V165" i="6"/>
  <c r="W31" i="6"/>
  <c r="BA31" i="6"/>
  <c r="BB31" i="6" s="1"/>
  <c r="BA58" i="6"/>
  <c r="BB58" i="6" s="1"/>
  <c r="W58" i="6"/>
  <c r="V133" i="6"/>
  <c r="S133" i="6"/>
  <c r="AM168" i="6"/>
  <c r="AM163" i="6"/>
  <c r="AM148" i="6"/>
  <c r="AM134" i="6"/>
  <c r="W78" i="6"/>
  <c r="BA78" i="6"/>
  <c r="BB78" i="6" s="1"/>
  <c r="BA98" i="6"/>
  <c r="BB98" i="6" s="1"/>
  <c r="W98" i="6"/>
  <c r="S140" i="6"/>
  <c r="V140" i="6"/>
  <c r="Y5" i="7"/>
  <c r="E5" i="7"/>
  <c r="G5" i="7" s="1"/>
  <c r="AA5" i="7"/>
  <c r="V70" i="6"/>
  <c r="S70" i="6"/>
  <c r="AM70" i="6"/>
  <c r="V108" i="6"/>
  <c r="S108" i="6"/>
  <c r="V130" i="6"/>
  <c r="S130" i="6"/>
  <c r="S7" i="7"/>
  <c r="AG7" i="7"/>
  <c r="AF7" i="7"/>
  <c r="P7" i="7"/>
  <c r="BA68" i="6"/>
  <c r="BB68" i="6" s="1"/>
  <c r="W68" i="6"/>
  <c r="W93" i="6"/>
  <c r="BA93" i="6"/>
  <c r="BB93" i="6" s="1"/>
  <c r="V93" i="6"/>
  <c r="BA130" i="6"/>
  <c r="BB130" i="6" s="1"/>
  <c r="W130" i="6"/>
  <c r="BA114" i="6"/>
  <c r="BB114" i="6" s="1"/>
  <c r="W114" i="6"/>
  <c r="V127" i="6"/>
  <c r="S127" i="6"/>
  <c r="T145" i="6"/>
  <c r="AM137" i="6"/>
  <c r="W73" i="6"/>
  <c r="BA73" i="6"/>
  <c r="BB73" i="6" s="1"/>
  <c r="AM157" i="6"/>
  <c r="V78" i="6"/>
  <c r="S78" i="6"/>
  <c r="T127" i="6"/>
  <c r="W144" i="6"/>
  <c r="BA144" i="6"/>
  <c r="BB144" i="6" s="1"/>
  <c r="W126" i="6"/>
  <c r="BA126" i="6"/>
  <c r="BB126" i="6" s="1"/>
  <c r="S72" i="6"/>
  <c r="V72" i="6"/>
  <c r="S174" i="6"/>
  <c r="V174" i="6"/>
  <c r="T174" i="6"/>
  <c r="AM46" i="6"/>
  <c r="V206" i="6"/>
  <c r="S206" i="6"/>
  <c r="V128" i="6"/>
  <c r="S128" i="6"/>
  <c r="BA103" i="6"/>
  <c r="BB103" i="6" s="1"/>
  <c r="W103" i="6"/>
  <c r="V167" i="6"/>
  <c r="S167" i="6"/>
  <c r="M11" i="7" l="1"/>
  <c r="R11" i="7" s="1"/>
  <c r="X29" i="6"/>
  <c r="X146" i="6"/>
  <c r="X13" i="6"/>
  <c r="R7" i="7"/>
  <c r="X175" i="6"/>
  <c r="N5" i="7"/>
  <c r="S5" i="7" s="1"/>
  <c r="N8" i="7"/>
  <c r="S8" i="7" s="1"/>
  <c r="X114" i="6"/>
  <c r="X50" i="6"/>
  <c r="X168" i="6"/>
  <c r="N6" i="7"/>
  <c r="S6" i="7" s="1"/>
  <c r="X89" i="6"/>
  <c r="G11" i="7"/>
  <c r="M8" i="7"/>
  <c r="R8" i="7" s="1"/>
  <c r="O6" i="7"/>
  <c r="T6" i="7" s="1"/>
  <c r="X137" i="6"/>
  <c r="X205" i="6"/>
  <c r="X54" i="6"/>
  <c r="G6" i="7"/>
  <c r="X147" i="6"/>
  <c r="M6" i="7"/>
  <c r="R6" i="7" s="1"/>
  <c r="X117" i="6"/>
  <c r="X193" i="6"/>
  <c r="X211" i="6"/>
  <c r="X171" i="6"/>
  <c r="L6" i="7"/>
  <c r="Q6" i="7" s="1"/>
  <c r="X24" i="6"/>
  <c r="BK179" i="6"/>
  <c r="BJ179" i="6"/>
  <c r="BP179" i="6"/>
  <c r="BO179" i="6"/>
  <c r="X33" i="6"/>
  <c r="X119" i="6"/>
  <c r="X15" i="6"/>
  <c r="X78" i="6"/>
  <c r="X150" i="6"/>
  <c r="X96" i="6"/>
  <c r="X104" i="6"/>
  <c r="X102" i="6"/>
  <c r="X100" i="6"/>
  <c r="X99" i="6"/>
  <c r="X95" i="6"/>
  <c r="X136" i="6"/>
  <c r="X105" i="6"/>
  <c r="X196" i="6"/>
  <c r="X75" i="6"/>
  <c r="X176" i="6"/>
  <c r="X91" i="6"/>
  <c r="X177" i="6"/>
  <c r="X156" i="6"/>
  <c r="X57" i="6"/>
  <c r="X53" i="6"/>
  <c r="X125" i="6"/>
  <c r="X38" i="6"/>
  <c r="X52" i="6"/>
  <c r="O11" i="7"/>
  <c r="T11" i="7" s="1"/>
  <c r="X142" i="6"/>
  <c r="X18" i="6"/>
  <c r="X186" i="6"/>
  <c r="X198" i="6"/>
  <c r="X214" i="6"/>
  <c r="X120" i="6"/>
  <c r="N11" i="7"/>
  <c r="S11" i="7" s="1"/>
  <c r="X35" i="6"/>
  <c r="X112" i="6"/>
  <c r="O10" i="7"/>
  <c r="T10" i="7" s="1"/>
  <c r="M9" i="7"/>
  <c r="R9" i="7" s="1"/>
  <c r="X181" i="6"/>
  <c r="X161" i="6"/>
  <c r="X183" i="6"/>
  <c r="X166" i="6"/>
  <c r="X185" i="6"/>
  <c r="N10" i="7"/>
  <c r="S10" i="7" s="1"/>
  <c r="X109" i="6"/>
  <c r="X184" i="6"/>
  <c r="X154" i="6"/>
  <c r="M10" i="7"/>
  <c r="R10" i="7" s="1"/>
  <c r="X207" i="6"/>
  <c r="X113" i="6"/>
  <c r="X200" i="6"/>
  <c r="X208" i="6"/>
  <c r="X34" i="6"/>
  <c r="X212" i="6"/>
  <c r="O9" i="7"/>
  <c r="T9" i="7" s="1"/>
  <c r="X164" i="6"/>
  <c r="X87" i="6"/>
  <c r="X7" i="6"/>
  <c r="X17" i="6"/>
  <c r="X68" i="6"/>
  <c r="X173" i="6"/>
  <c r="X31" i="6"/>
  <c r="X202" i="6"/>
  <c r="L11" i="7"/>
  <c r="Q11" i="7" s="1"/>
  <c r="U11" i="7" s="1"/>
  <c r="V11" i="7" s="1"/>
  <c r="X169" i="6"/>
  <c r="X32" i="6"/>
  <c r="X170" i="6"/>
  <c r="X42" i="6"/>
  <c r="X115" i="6"/>
  <c r="L9" i="7"/>
  <c r="Q9" i="7" s="1"/>
  <c r="X97" i="6"/>
  <c r="X84" i="6"/>
  <c r="X14" i="6"/>
  <c r="X106" i="6"/>
  <c r="X116" i="6"/>
  <c r="X22" i="6"/>
  <c r="X30" i="6"/>
  <c r="X45" i="6"/>
  <c r="X118" i="6"/>
  <c r="X70" i="6"/>
  <c r="X67" i="6"/>
  <c r="X51" i="6"/>
  <c r="X82" i="6"/>
  <c r="X74" i="6"/>
  <c r="X85" i="6"/>
  <c r="X49" i="6"/>
  <c r="X66" i="6"/>
  <c r="X60" i="6"/>
  <c r="X80" i="6"/>
  <c r="X55" i="6"/>
  <c r="X127" i="6"/>
  <c r="X149" i="6"/>
  <c r="X180" i="6"/>
  <c r="X9" i="6"/>
  <c r="U6" i="7"/>
  <c r="V6" i="7" s="1"/>
  <c r="X90" i="6"/>
  <c r="X143" i="6"/>
  <c r="X81" i="6"/>
  <c r="X73" i="6"/>
  <c r="X26" i="6"/>
  <c r="X122" i="6"/>
  <c r="X138" i="6"/>
  <c r="X155" i="6"/>
  <c r="X158" i="6"/>
  <c r="X93" i="6"/>
  <c r="X141" i="6"/>
  <c r="X88" i="6"/>
  <c r="X94" i="6"/>
  <c r="X92" i="6"/>
  <c r="X151" i="6"/>
  <c r="X83" i="6"/>
  <c r="X140" i="6"/>
  <c r="X37" i="6"/>
  <c r="X148" i="6"/>
  <c r="X174" i="6"/>
  <c r="X157" i="6"/>
  <c r="X62" i="6"/>
  <c r="X56" i="6"/>
  <c r="X209" i="6"/>
  <c r="X182" i="6"/>
  <c r="X134" i="6"/>
  <c r="X19" i="6"/>
  <c r="X6" i="6"/>
  <c r="X43" i="6"/>
  <c r="X179" i="6"/>
  <c r="X86" i="6"/>
  <c r="X20" i="6"/>
  <c r="X36" i="6"/>
  <c r="BK68" i="6"/>
  <c r="BJ68" i="6"/>
  <c r="X189" i="6"/>
  <c r="X10" i="6"/>
  <c r="X159" i="6"/>
  <c r="BP68" i="6"/>
  <c r="BO68" i="6"/>
  <c r="X23" i="6"/>
  <c r="X167" i="6"/>
  <c r="X25" i="6"/>
  <c r="X47" i="6"/>
  <c r="X5" i="6"/>
  <c r="X48" i="6"/>
  <c r="X61" i="6"/>
  <c r="X59" i="6"/>
  <c r="X111" i="6"/>
  <c r="B9" i="1"/>
  <c r="BB5" i="6"/>
  <c r="B10" i="1" s="1"/>
  <c r="X206" i="6"/>
  <c r="X128" i="6"/>
  <c r="X123" i="6"/>
  <c r="X192" i="6"/>
  <c r="X165" i="6"/>
  <c r="X194" i="6"/>
  <c r="X195" i="6"/>
  <c r="X197" i="6"/>
  <c r="X215" i="6"/>
  <c r="X216" i="6"/>
  <c r="X191" i="6"/>
  <c r="AH11" i="7" s="1"/>
  <c r="L7" i="7"/>
  <c r="Q7" i="7" s="1"/>
  <c r="U7" i="7" s="1"/>
  <c r="V7" i="7" s="1"/>
  <c r="X188" i="6"/>
  <c r="X210" i="6"/>
  <c r="X46" i="6"/>
  <c r="X190" i="6"/>
  <c r="O7" i="7"/>
  <c r="T7" i="7" s="1"/>
  <c r="M5" i="7"/>
  <c r="R5" i="7" s="1"/>
  <c r="L8" i="7"/>
  <c r="Q8" i="7" s="1"/>
  <c r="U8" i="7" s="1"/>
  <c r="V8" i="7" s="1"/>
  <c r="X63" i="6"/>
  <c r="X27" i="6"/>
  <c r="X21" i="6"/>
  <c r="X79" i="6"/>
  <c r="L5" i="7"/>
  <c r="Q5" i="7" s="1"/>
  <c r="X44" i="6"/>
  <c r="X132" i="6"/>
  <c r="X153" i="6"/>
  <c r="X213" i="6"/>
  <c r="N9" i="7"/>
  <c r="S9" i="7" s="1"/>
  <c r="X107" i="6"/>
  <c r="X103" i="6"/>
  <c r="X98" i="6"/>
  <c r="X69" i="6"/>
  <c r="X12" i="6"/>
  <c r="X39" i="6"/>
  <c r="X108" i="6"/>
  <c r="X152" i="6"/>
  <c r="X76" i="6"/>
  <c r="X40" i="6"/>
  <c r="X64" i="6"/>
  <c r="X77" i="6"/>
  <c r="O8" i="7"/>
  <c r="T8" i="7" s="1"/>
  <c r="X124" i="6"/>
  <c r="X8" i="6"/>
  <c r="O5" i="7"/>
  <c r="T5" i="7" s="1"/>
  <c r="X126" i="6"/>
  <c r="X72" i="6"/>
  <c r="X101" i="6"/>
  <c r="X58" i="6"/>
  <c r="X187" i="6"/>
  <c r="L10" i="7"/>
  <c r="Q10" i="7" s="1"/>
  <c r="U10" i="7" s="1"/>
  <c r="V10" i="7" s="1"/>
  <c r="X110" i="6"/>
  <c r="X129" i="6"/>
  <c r="X133" i="6"/>
  <c r="X121" i="6"/>
  <c r="X145" i="6"/>
  <c r="X135" i="6"/>
  <c r="X131" i="6"/>
  <c r="X139" i="6"/>
  <c r="X65" i="6"/>
  <c r="X11" i="6"/>
  <c r="X16" i="6"/>
  <c r="X41" i="6"/>
  <c r="X160" i="6"/>
  <c r="X130" i="6"/>
  <c r="X203" i="6"/>
  <c r="X144" i="6"/>
  <c r="X178" i="6"/>
  <c r="X162" i="6"/>
  <c r="X204" i="6"/>
  <c r="X163" i="6"/>
  <c r="X28" i="6"/>
  <c r="X201" i="6"/>
  <c r="B8" i="1" l="1"/>
  <c r="AH5" i="7"/>
  <c r="Y46" i="6" s="1"/>
  <c r="AH6" i="7"/>
  <c r="Y59" i="6" s="1"/>
  <c r="AH9" i="7"/>
  <c r="Y160" i="6" s="1"/>
  <c r="AH8" i="7"/>
  <c r="Y102" i="6" s="1"/>
  <c r="U9" i="7"/>
  <c r="V9" i="7" s="1"/>
  <c r="AH7" i="7"/>
  <c r="AH10" i="7"/>
  <c r="Y164" i="6" s="1"/>
  <c r="U5" i="7"/>
  <c r="V5" i="7" s="1"/>
  <c r="W9" i="7"/>
  <c r="X9" i="7"/>
  <c r="AC9" i="7" s="1"/>
  <c r="AD9" i="7" s="1"/>
  <c r="AE9" i="7" s="1"/>
  <c r="AI9" i="7" s="1"/>
  <c r="Y204" i="6"/>
  <c r="Y203" i="6"/>
  <c r="Y200" i="6"/>
  <c r="Y208" i="6"/>
  <c r="Y211" i="6"/>
  <c r="Y214" i="6"/>
  <c r="Y199" i="6"/>
  <c r="Y212" i="6"/>
  <c r="Y193" i="6"/>
  <c r="Y198" i="6"/>
  <c r="Y206" i="6"/>
  <c r="Y194" i="6"/>
  <c r="Y209" i="6"/>
  <c r="Y202" i="6"/>
  <c r="Y207" i="6"/>
  <c r="Y213" i="6"/>
  <c r="Y196" i="6"/>
  <c r="Y205" i="6"/>
  <c r="Y195" i="6"/>
  <c r="Y210" i="6"/>
  <c r="Y192" i="6"/>
  <c r="Y197" i="6"/>
  <c r="Y191" i="6"/>
  <c r="Y216" i="6"/>
  <c r="Y201" i="6"/>
  <c r="Y215" i="6"/>
  <c r="Y71" i="6"/>
  <c r="Y52" i="6"/>
  <c r="Y56" i="6"/>
  <c r="Y79" i="6"/>
  <c r="Y60" i="6"/>
  <c r="Y73" i="6"/>
  <c r="Y49" i="6"/>
  <c r="Y64" i="6"/>
  <c r="Y62" i="6"/>
  <c r="Y69" i="6"/>
  <c r="Y54" i="6"/>
  <c r="Y61" i="6"/>
  <c r="Y75" i="6"/>
  <c r="Y72" i="6"/>
  <c r="Y68" i="6"/>
  <c r="Y67" i="6"/>
  <c r="Y74" i="6"/>
  <c r="Y86" i="6"/>
  <c r="Y57" i="6"/>
  <c r="Y50" i="6"/>
  <c r="Y84" i="6"/>
  <c r="Y82" i="6"/>
  <c r="Y70" i="6"/>
  <c r="Y81" i="6"/>
  <c r="Y58" i="6"/>
  <c r="Y66" i="6"/>
  <c r="Y65" i="6"/>
  <c r="Y53" i="6"/>
  <c r="Y77" i="6"/>
  <c r="Y85" i="6"/>
  <c r="Y80" i="6"/>
  <c r="X7" i="7"/>
  <c r="W7" i="7"/>
  <c r="AC7" i="7" s="1"/>
  <c r="AD7" i="7" s="1"/>
  <c r="AE7" i="7" s="1"/>
  <c r="AI7" i="7" s="1"/>
  <c r="X11" i="7"/>
  <c r="W11" i="7"/>
  <c r="AC11" i="7" s="1"/>
  <c r="AD11" i="7" s="1"/>
  <c r="AE11" i="7" s="1"/>
  <c r="AI11" i="7" s="1"/>
  <c r="Y94" i="6"/>
  <c r="Y92" i="6"/>
  <c r="Y87" i="6"/>
  <c r="Y89" i="6"/>
  <c r="Y91" i="6"/>
  <c r="Y88" i="6"/>
  <c r="Y90" i="6"/>
  <c r="Y93" i="6"/>
  <c r="Y170" i="6"/>
  <c r="Y166" i="6"/>
  <c r="Y173" i="6"/>
  <c r="Y190" i="6"/>
  <c r="Y169" i="6"/>
  <c r="Y168" i="6"/>
  <c r="Y179" i="6"/>
  <c r="Y187" i="6"/>
  <c r="Y175" i="6"/>
  <c r="Y177" i="6"/>
  <c r="Y188" i="6"/>
  <c r="Y182" i="6"/>
  <c r="Y161" i="6"/>
  <c r="Y183" i="6"/>
  <c r="Y189" i="6"/>
  <c r="Y186" i="6"/>
  <c r="Y162" i="6"/>
  <c r="Y165" i="6"/>
  <c r="Y95" i="6"/>
  <c r="Y99" i="6"/>
  <c r="Y105" i="6"/>
  <c r="Y110" i="6"/>
  <c r="Y111" i="6"/>
  <c r="Y114" i="6"/>
  <c r="Y106" i="6"/>
  <c r="Y100" i="6"/>
  <c r="Y117" i="6"/>
  <c r="Y96" i="6"/>
  <c r="Y119" i="6"/>
  <c r="Y116" i="6"/>
  <c r="Y120" i="6"/>
  <c r="Y112" i="6"/>
  <c r="Y107" i="6"/>
  <c r="Y103" i="6"/>
  <c r="Y115" i="6"/>
  <c r="Y97" i="6"/>
  <c r="Y109" i="6"/>
  <c r="Y104" i="6"/>
  <c r="Y118" i="6"/>
  <c r="Y113" i="6"/>
  <c r="Y101" i="6"/>
  <c r="Y98" i="6"/>
  <c r="Y108" i="6"/>
  <c r="X5" i="7"/>
  <c r="W5" i="7"/>
  <c r="AC5" i="7"/>
  <c r="AD5" i="7" s="1"/>
  <c r="AE5" i="7" s="1"/>
  <c r="AI5" i="7" s="1"/>
  <c r="Y44" i="6"/>
  <c r="Y17" i="6"/>
  <c r="Z17" i="6" s="1"/>
  <c r="Y9" i="6"/>
  <c r="Z9" i="6" s="1"/>
  <c r="Y18" i="6"/>
  <c r="Z18" i="6" s="1"/>
  <c r="Y34" i="6"/>
  <c r="Z34" i="6" s="1"/>
  <c r="Y27" i="6"/>
  <c r="Z27" i="6" s="1"/>
  <c r="Y14" i="6"/>
  <c r="Y39" i="6"/>
  <c r="Y15" i="6"/>
  <c r="Y37" i="6"/>
  <c r="Y28" i="6"/>
  <c r="Y45" i="6"/>
  <c r="Y29" i="6"/>
  <c r="Y19" i="6"/>
  <c r="Y24" i="6"/>
  <c r="Y41" i="6"/>
  <c r="Y13" i="6"/>
  <c r="Y42" i="6"/>
  <c r="Y30" i="6"/>
  <c r="Z30" i="6" s="1"/>
  <c r="Y21" i="6"/>
  <c r="Z21" i="6" s="1"/>
  <c r="Y25" i="6"/>
  <c r="Z25" i="6" s="1"/>
  <c r="Y35" i="6"/>
  <c r="Z35" i="6" s="1"/>
  <c r="Y38" i="6"/>
  <c r="Z38" i="6" s="1"/>
  <c r="Y16" i="6"/>
  <c r="Y6" i="6"/>
  <c r="Y10" i="6"/>
  <c r="Y8" i="6"/>
  <c r="Y47" i="6"/>
  <c r="Y36" i="6"/>
  <c r="Y33" i="6"/>
  <c r="Y32" i="6"/>
  <c r="Y22" i="6"/>
  <c r="Y20" i="6"/>
  <c r="Y43" i="6"/>
  <c r="Y23" i="6"/>
  <c r="Y12" i="6"/>
  <c r="W8" i="7"/>
  <c r="X8" i="7"/>
  <c r="AC8" i="7" s="1"/>
  <c r="AD8" i="7" s="1"/>
  <c r="AE8" i="7" s="1"/>
  <c r="AI8" i="7" s="1"/>
  <c r="X10" i="7"/>
  <c r="W10" i="7"/>
  <c r="AC10" i="7" s="1"/>
  <c r="AD10" i="7" s="1"/>
  <c r="AE10" i="7" s="1"/>
  <c r="AI10" i="7" s="1"/>
  <c r="X6" i="7"/>
  <c r="W6" i="7"/>
  <c r="AC6" i="7" s="1"/>
  <c r="AD6" i="7" s="1"/>
  <c r="AE6" i="7" s="1"/>
  <c r="AI6" i="7" s="1"/>
  <c r="Y133" i="6" l="1"/>
  <c r="Z133" i="6" s="1"/>
  <c r="Y144" i="6"/>
  <c r="Z144" i="6" s="1"/>
  <c r="Y122" i="6"/>
  <c r="Y131" i="6"/>
  <c r="Y123" i="6"/>
  <c r="Y129" i="6"/>
  <c r="Y148" i="6"/>
  <c r="Y26" i="6"/>
  <c r="Y40" i="6"/>
  <c r="Y124" i="6"/>
  <c r="Y125" i="6"/>
  <c r="Z125" i="6" s="1"/>
  <c r="Y180" i="6"/>
  <c r="Z180" i="6" s="1"/>
  <c r="Y83" i="6"/>
  <c r="Z83" i="6" s="1"/>
  <c r="Y78" i="6"/>
  <c r="Z78" i="6" s="1"/>
  <c r="Z91" i="6"/>
  <c r="Z42" i="6"/>
  <c r="AA42" i="6" s="1"/>
  <c r="Z44" i="6"/>
  <c r="AA44" i="6" s="1"/>
  <c r="Y142" i="6"/>
  <c r="Z142" i="6" s="1"/>
  <c r="Y185" i="6"/>
  <c r="Z185" i="6" s="1"/>
  <c r="Y55" i="6"/>
  <c r="Z55" i="6" s="1"/>
  <c r="Z87" i="6"/>
  <c r="Y158" i="6"/>
  <c r="Y147" i="6"/>
  <c r="Z147" i="6" s="1"/>
  <c r="Y126" i="6"/>
  <c r="Z126" i="6" s="1"/>
  <c r="Y171" i="6"/>
  <c r="Y11" i="6"/>
  <c r="Y7" i="6"/>
  <c r="Y138" i="6"/>
  <c r="Y174" i="6"/>
  <c r="Y76" i="6"/>
  <c r="Y51" i="6"/>
  <c r="Z89" i="6"/>
  <c r="Y146" i="6"/>
  <c r="Y121" i="6"/>
  <c r="Z121" i="6" s="1"/>
  <c r="Y127" i="6"/>
  <c r="Z92" i="6"/>
  <c r="AA92" i="6" s="1"/>
  <c r="Y137" i="6"/>
  <c r="Z137" i="6" s="1"/>
  <c r="Y134" i="6"/>
  <c r="Z12" i="6"/>
  <c r="AB12" i="6" s="1"/>
  <c r="AC12" i="6" s="1"/>
  <c r="Y135" i="6"/>
  <c r="Z135" i="6" s="1"/>
  <c r="Y48" i="6"/>
  <c r="Z48" i="6" s="1"/>
  <c r="Y143" i="6"/>
  <c r="Z143" i="6" s="1"/>
  <c r="Y149" i="6"/>
  <c r="Z149" i="6" s="1"/>
  <c r="Y178" i="6"/>
  <c r="Z178" i="6" s="1"/>
  <c r="Y163" i="6"/>
  <c r="Z163" i="6" s="1"/>
  <c r="Y136" i="6"/>
  <c r="Z136" i="6" s="1"/>
  <c r="Y151" i="6"/>
  <c r="Y5" i="6"/>
  <c r="Y31" i="6"/>
  <c r="Y130" i="6"/>
  <c r="Y145" i="6"/>
  <c r="Y172" i="6"/>
  <c r="Y184" i="6"/>
  <c r="Y63" i="6"/>
  <c r="Y155" i="6"/>
  <c r="Z155" i="6" s="1"/>
  <c r="Y157" i="6"/>
  <c r="Z157" i="6" s="1"/>
  <c r="Y140" i="6"/>
  <c r="Y128" i="6"/>
  <c r="Z128" i="6" s="1"/>
  <c r="Z13" i="6"/>
  <c r="AB13" i="6" s="1"/>
  <c r="AC13" i="6" s="1"/>
  <c r="Y159" i="6"/>
  <c r="Z159" i="6" s="1"/>
  <c r="Y156" i="6"/>
  <c r="Y167" i="6"/>
  <c r="Y176" i="6"/>
  <c r="Z88" i="6"/>
  <c r="AA88" i="6" s="1"/>
  <c r="Y150" i="6"/>
  <c r="Y132" i="6"/>
  <c r="Y153" i="6"/>
  <c r="Z153" i="6" s="1"/>
  <c r="Y141" i="6"/>
  <c r="Z141" i="6" s="1"/>
  <c r="Y154" i="6"/>
  <c r="Y181" i="6"/>
  <c r="Z181" i="6" s="1"/>
  <c r="Y152" i="6"/>
  <c r="Y139" i="6"/>
  <c r="Z94" i="6"/>
  <c r="Z54" i="6"/>
  <c r="Z213" i="6"/>
  <c r="AB35" i="6"/>
  <c r="AC35" i="6" s="1"/>
  <c r="AA35" i="6"/>
  <c r="AB34" i="6"/>
  <c r="AC34" i="6" s="1"/>
  <c r="AA34" i="6"/>
  <c r="Z160" i="6"/>
  <c r="Z96" i="6"/>
  <c r="Z182" i="6"/>
  <c r="AA91" i="6"/>
  <c r="AB91" i="6"/>
  <c r="AC91" i="6" s="1"/>
  <c r="Z53" i="6"/>
  <c r="Z69" i="6"/>
  <c r="Z207" i="6"/>
  <c r="Z202" i="6"/>
  <c r="AA30" i="6"/>
  <c r="Z212" i="6"/>
  <c r="Z127" i="6"/>
  <c r="AA25" i="6"/>
  <c r="AB25" i="6"/>
  <c r="AC25" i="6" s="1"/>
  <c r="AA21" i="6"/>
  <c r="Z66" i="6"/>
  <c r="Z175" i="6"/>
  <c r="Z81" i="6"/>
  <c r="Z168" i="6"/>
  <c r="Z108" i="6"/>
  <c r="Z98" i="6"/>
  <c r="Z101" i="6"/>
  <c r="Z31" i="6"/>
  <c r="Z211" i="6"/>
  <c r="Z118" i="6"/>
  <c r="Z208" i="6"/>
  <c r="Z32" i="6"/>
  <c r="Z29" i="6"/>
  <c r="Z104" i="6"/>
  <c r="Z74" i="6"/>
  <c r="Z201" i="6"/>
  <c r="Z200" i="6"/>
  <c r="Z65" i="6"/>
  <c r="Z194" i="6"/>
  <c r="Z11" i="6"/>
  <c r="Z84" i="6"/>
  <c r="Z95" i="6"/>
  <c r="Z138" i="6"/>
  <c r="Z184" i="6"/>
  <c r="AA27" i="6"/>
  <c r="AB27" i="6"/>
  <c r="AC27" i="6" s="1"/>
  <c r="AB18" i="6"/>
  <c r="AC18" i="6" s="1"/>
  <c r="AA18" i="6"/>
  <c r="Z177" i="6"/>
  <c r="Z206" i="6"/>
  <c r="Z23" i="6"/>
  <c r="Z193" i="6"/>
  <c r="Z102" i="6"/>
  <c r="Z19" i="6"/>
  <c r="Z215" i="6"/>
  <c r="Z109" i="6"/>
  <c r="Z216" i="6"/>
  <c r="Z45" i="6"/>
  <c r="Z156" i="6"/>
  <c r="Z167" i="6"/>
  <c r="Z176" i="6"/>
  <c r="Z191" i="6"/>
  <c r="Z204" i="6"/>
  <c r="Z77" i="6"/>
  <c r="AA89" i="6"/>
  <c r="AB89" i="6"/>
  <c r="AC89" i="6" s="1"/>
  <c r="Z64" i="6"/>
  <c r="Z73" i="6"/>
  <c r="Z132" i="6"/>
  <c r="Z7" i="6"/>
  <c r="Z43" i="6"/>
  <c r="Z56" i="6"/>
  <c r="Z52" i="6"/>
  <c r="Z57" i="6"/>
  <c r="Z86" i="6"/>
  <c r="Z130" i="6"/>
  <c r="Z203" i="6"/>
  <c r="Z36" i="6"/>
  <c r="Z97" i="6"/>
  <c r="Z47" i="6"/>
  <c r="Z28" i="6"/>
  <c r="Z122" i="6"/>
  <c r="Z115" i="6"/>
  <c r="Z162" i="6"/>
  <c r="Z173" i="6"/>
  <c r="Z68" i="6"/>
  <c r="Z197" i="6"/>
  <c r="Z117" i="6"/>
  <c r="AA87" i="6"/>
  <c r="Z106" i="6"/>
  <c r="AB94" i="6"/>
  <c r="AC94" i="6" s="1"/>
  <c r="AA94" i="6"/>
  <c r="Z179" i="6"/>
  <c r="Z134" i="6"/>
  <c r="Z105" i="6"/>
  <c r="Z99" i="6"/>
  <c r="Z214" i="6"/>
  <c r="Z22" i="6"/>
  <c r="Z190" i="6"/>
  <c r="Z172" i="6"/>
  <c r="Z26" i="6"/>
  <c r="Z40" i="6"/>
  <c r="Z154" i="6"/>
  <c r="Z103" i="6"/>
  <c r="Z164" i="6"/>
  <c r="Z72" i="6"/>
  <c r="Z192" i="6"/>
  <c r="Z119" i="6"/>
  <c r="Z62" i="6"/>
  <c r="Z100" i="6"/>
  <c r="Z49" i="6"/>
  <c r="Z187" i="6"/>
  <c r="Z111" i="6"/>
  <c r="Z110" i="6"/>
  <c r="Z82" i="6"/>
  <c r="Z169" i="6"/>
  <c r="Z171" i="6"/>
  <c r="Z71" i="6"/>
  <c r="Z165" i="6"/>
  <c r="Z145" i="6"/>
  <c r="Z107" i="6"/>
  <c r="Z186" i="6"/>
  <c r="Z166" i="6"/>
  <c r="Z76" i="6"/>
  <c r="Z51" i="6"/>
  <c r="Z210" i="6"/>
  <c r="AB9" i="6"/>
  <c r="AC9" i="6" s="1"/>
  <c r="AA9" i="6"/>
  <c r="AA17" i="6"/>
  <c r="Z114" i="6"/>
  <c r="Z198" i="6"/>
  <c r="Z79" i="6"/>
  <c r="Z5" i="6"/>
  <c r="Z151" i="6"/>
  <c r="Z46" i="6"/>
  <c r="Z8" i="6"/>
  <c r="Z148" i="6"/>
  <c r="Z170" i="6"/>
  <c r="Z75" i="6"/>
  <c r="Z195" i="6"/>
  <c r="Z161" i="6"/>
  <c r="Z188" i="6"/>
  <c r="Z209" i="6"/>
  <c r="Z58" i="6"/>
  <c r="Z41" i="6"/>
  <c r="Z70" i="6"/>
  <c r="Z24" i="6"/>
  <c r="Z20" i="6"/>
  <c r="Z50" i="6"/>
  <c r="Z113" i="6"/>
  <c r="Z33" i="6"/>
  <c r="Z67" i="6"/>
  <c r="Z37" i="6"/>
  <c r="Z131" i="6"/>
  <c r="Z123" i="6"/>
  <c r="Z10" i="6"/>
  <c r="Z15" i="6"/>
  <c r="Z129" i="6"/>
  <c r="Z112" i="6"/>
  <c r="Z189" i="6"/>
  <c r="Z80" i="6"/>
  <c r="Z6" i="6"/>
  <c r="Z39" i="6"/>
  <c r="Z124" i="6"/>
  <c r="Z120" i="6"/>
  <c r="Z93" i="6"/>
  <c r="Z85" i="6"/>
  <c r="Z61" i="6"/>
  <c r="Z205" i="6"/>
  <c r="AB38" i="6"/>
  <c r="AC38" i="6" s="1"/>
  <c r="AA38" i="6"/>
  <c r="Z139" i="6"/>
  <c r="Z140" i="6"/>
  <c r="Z146" i="6"/>
  <c r="Z158" i="6"/>
  <c r="Z150" i="6"/>
  <c r="Z60" i="6"/>
  <c r="Z199" i="6"/>
  <c r="Z174" i="6"/>
  <c r="Z16" i="6"/>
  <c r="Z14" i="6"/>
  <c r="Z152" i="6"/>
  <c r="Z116" i="6"/>
  <c r="Z183" i="6"/>
  <c r="Z90" i="6"/>
  <c r="Z63" i="6"/>
  <c r="Z59" i="6"/>
  <c r="Z196" i="6"/>
  <c r="AA13" i="6" l="1"/>
  <c r="AA12" i="6"/>
  <c r="AB92" i="6"/>
  <c r="AC92" i="6" s="1"/>
  <c r="AB44" i="6"/>
  <c r="AC44" i="6" s="1"/>
  <c r="AB5" i="6"/>
  <c r="AC5" i="6" s="1"/>
  <c r="AA5" i="6"/>
  <c r="AB176" i="6"/>
  <c r="AC176" i="6" s="1"/>
  <c r="AA176" i="6"/>
  <c r="AA208" i="6"/>
  <c r="AB208" i="6"/>
  <c r="AC208" i="6" s="1"/>
  <c r="AA211" i="6"/>
  <c r="AA33" i="6"/>
  <c r="AB33" i="6"/>
  <c r="AC33" i="6" s="1"/>
  <c r="AB110" i="6"/>
  <c r="AC110" i="6" s="1"/>
  <c r="AA110" i="6"/>
  <c r="AA134" i="6"/>
  <c r="AA203" i="6"/>
  <c r="BG38" i="6"/>
  <c r="AE38" i="6"/>
  <c r="BH38" i="6"/>
  <c r="AD38" i="6"/>
  <c r="AA48" i="6"/>
  <c r="AB48" i="6"/>
  <c r="AC48" i="6" s="1"/>
  <c r="AA111" i="6"/>
  <c r="AB111" i="6"/>
  <c r="AC111" i="6" s="1"/>
  <c r="AA179" i="6"/>
  <c r="AA130" i="6"/>
  <c r="AB130" i="6"/>
  <c r="AC130" i="6" s="1"/>
  <c r="AB167" i="6"/>
  <c r="AC167" i="6" s="1"/>
  <c r="AA167" i="6"/>
  <c r="AB184" i="6"/>
  <c r="AC184" i="6" s="1"/>
  <c r="AA184" i="6"/>
  <c r="AB118" i="6"/>
  <c r="AC118" i="6" s="1"/>
  <c r="AA118" i="6"/>
  <c r="AB202" i="6"/>
  <c r="AC202" i="6" s="1"/>
  <c r="AA202" i="6"/>
  <c r="AB196" i="6"/>
  <c r="AC196" i="6" s="1"/>
  <c r="AA196" i="6"/>
  <c r="AB31" i="6"/>
  <c r="AC31" i="6" s="1"/>
  <c r="AA31" i="6"/>
  <c r="AA53" i="6"/>
  <c r="AB53" i="6"/>
  <c r="AC53" i="6" s="1"/>
  <c r="AA24" i="6"/>
  <c r="AB24" i="6"/>
  <c r="AC24" i="6" s="1"/>
  <c r="AB90" i="6"/>
  <c r="AC90" i="6" s="1"/>
  <c r="AA90" i="6"/>
  <c r="AA215" i="6"/>
  <c r="AB7" i="6"/>
  <c r="AC7" i="6" s="1"/>
  <c r="AA7" i="6"/>
  <c r="AA194" i="6"/>
  <c r="AB194" i="6"/>
  <c r="AC194" i="6" s="1"/>
  <c r="AA157" i="6"/>
  <c r="AB157" i="6"/>
  <c r="AC157" i="6" s="1"/>
  <c r="AA83" i="6"/>
  <c r="AB83" i="6"/>
  <c r="AC83" i="6" s="1"/>
  <c r="AB210" i="6"/>
  <c r="AC210" i="6" s="1"/>
  <c r="AA210" i="6"/>
  <c r="AB181" i="6"/>
  <c r="AC181" i="6" s="1"/>
  <c r="AA181" i="6"/>
  <c r="AA197" i="6"/>
  <c r="AB197" i="6"/>
  <c r="AC197" i="6" s="1"/>
  <c r="AB135" i="6"/>
  <c r="AC135" i="6" s="1"/>
  <c r="AA135" i="6"/>
  <c r="AA65" i="6"/>
  <c r="AB133" i="6"/>
  <c r="AC133" i="6" s="1"/>
  <c r="AA133" i="6"/>
  <c r="AB113" i="6"/>
  <c r="AC113" i="6" s="1"/>
  <c r="AA113" i="6"/>
  <c r="AB61" i="6"/>
  <c r="AC61" i="6" s="1"/>
  <c r="AA61" i="6"/>
  <c r="BG94" i="6"/>
  <c r="BH94" i="6"/>
  <c r="AD94" i="6"/>
  <c r="AE94" i="6" s="1"/>
  <c r="AA20" i="6"/>
  <c r="AB101" i="6"/>
  <c r="AC101" i="6" s="1"/>
  <c r="AA101" i="6"/>
  <c r="AB109" i="6"/>
  <c r="AC109" i="6" s="1"/>
  <c r="AA109" i="6"/>
  <c r="AA43" i="6"/>
  <c r="AA182" i="6"/>
  <c r="AB182" i="6"/>
  <c r="AC182" i="6" s="1"/>
  <c r="BG9" i="6"/>
  <c r="BH9" i="6"/>
  <c r="AD9" i="6"/>
  <c r="AE9" i="6" s="1"/>
  <c r="AA136" i="6"/>
  <c r="AB144" i="6"/>
  <c r="AC144" i="6" s="1"/>
  <c r="AA144" i="6"/>
  <c r="AA137" i="6"/>
  <c r="BG34" i="6"/>
  <c r="BH34" i="6"/>
  <c r="AD34" i="6"/>
  <c r="AA121" i="6"/>
  <c r="AB121" i="6"/>
  <c r="AC121" i="6" s="1"/>
  <c r="AA189" i="6"/>
  <c r="AB189" i="6"/>
  <c r="AC189" i="6" s="1"/>
  <c r="AB188" i="6"/>
  <c r="AC188" i="6" s="1"/>
  <c r="AA188" i="6"/>
  <c r="AA166" i="6"/>
  <c r="AB141" i="6"/>
  <c r="AC141" i="6" s="1"/>
  <c r="AA141" i="6"/>
  <c r="AA162" i="6"/>
  <c r="AB162" i="6"/>
  <c r="AC162" i="6" s="1"/>
  <c r="BH92" i="6"/>
  <c r="BG92" i="6"/>
  <c r="AD92" i="6"/>
  <c r="AB23" i="6"/>
  <c r="AC23" i="6" s="1"/>
  <c r="AA23" i="6"/>
  <c r="AA201" i="6"/>
  <c r="AA175" i="6"/>
  <c r="AB175" i="6"/>
  <c r="AC175" i="6" s="1"/>
  <c r="AA79" i="6"/>
  <c r="AB50" i="6"/>
  <c r="AC50" i="6" s="1"/>
  <c r="AA50" i="6"/>
  <c r="AA69" i="6"/>
  <c r="AA100" i="6"/>
  <c r="AB100" i="6"/>
  <c r="AC100" i="6" s="1"/>
  <c r="AB63" i="6"/>
  <c r="AC63" i="6" s="1"/>
  <c r="AA63" i="6"/>
  <c r="AB11" i="6"/>
  <c r="AC11" i="6" s="1"/>
  <c r="AA11" i="6"/>
  <c r="AA70" i="6"/>
  <c r="AA125" i="6"/>
  <c r="AB125" i="6"/>
  <c r="AC125" i="6" s="1"/>
  <c r="AA102" i="6"/>
  <c r="AB102" i="6"/>
  <c r="AC102" i="6" s="1"/>
  <c r="AA160" i="6"/>
  <c r="AB160" i="6"/>
  <c r="AC160" i="6" s="1"/>
  <c r="AA51" i="6"/>
  <c r="AB51" i="6"/>
  <c r="AC51" i="6" s="1"/>
  <c r="AA173" i="6"/>
  <c r="AB186" i="6"/>
  <c r="AC186" i="6" s="1"/>
  <c r="AA186" i="6"/>
  <c r="AB74" i="6"/>
  <c r="AC74" i="6" s="1"/>
  <c r="AA74" i="6"/>
  <c r="AA195" i="6"/>
  <c r="AB107" i="6"/>
  <c r="AC107" i="6" s="1"/>
  <c r="AA107" i="6"/>
  <c r="AA26" i="6"/>
  <c r="AB26" i="6"/>
  <c r="AC26" i="6" s="1"/>
  <c r="AB153" i="6"/>
  <c r="AC153" i="6" s="1"/>
  <c r="AA153" i="6"/>
  <c r="AA64" i="6"/>
  <c r="BH44" i="6"/>
  <c r="BG44" i="6"/>
  <c r="AD44" i="6"/>
  <c r="AB163" i="6"/>
  <c r="AC163" i="6" s="1"/>
  <c r="AA163" i="6"/>
  <c r="AB213" i="6"/>
  <c r="AC213" i="6" s="1"/>
  <c r="AA213" i="6"/>
  <c r="AB207" i="6"/>
  <c r="AC207" i="6" s="1"/>
  <c r="AA207" i="6"/>
  <c r="AB49" i="6"/>
  <c r="AC49" i="6" s="1"/>
  <c r="AA49" i="6"/>
  <c r="AA106" i="6"/>
  <c r="AB106" i="6"/>
  <c r="AC106" i="6" s="1"/>
  <c r="AA78" i="6"/>
  <c r="AA73" i="6"/>
  <c r="BH12" i="6"/>
  <c r="BG12" i="6"/>
  <c r="AD12" i="6"/>
  <c r="AE12" i="6" s="1"/>
  <c r="AB209" i="6"/>
  <c r="AC209" i="6" s="1"/>
  <c r="AA209" i="6"/>
  <c r="AA174" i="6"/>
  <c r="AB145" i="6"/>
  <c r="AC145" i="6" s="1"/>
  <c r="AA145" i="6"/>
  <c r="AA178" i="6"/>
  <c r="AB54" i="6"/>
  <c r="AC54" i="6" s="1"/>
  <c r="AA54" i="6"/>
  <c r="AA205" i="6"/>
  <c r="AB205" i="6"/>
  <c r="AC205" i="6" s="1"/>
  <c r="AB119" i="6"/>
  <c r="AC119" i="6" s="1"/>
  <c r="AA119" i="6"/>
  <c r="AA19" i="6"/>
  <c r="AB96" i="6"/>
  <c r="AC96" i="6" s="1"/>
  <c r="AA96" i="6"/>
  <c r="AB147" i="6"/>
  <c r="AC147" i="6" s="1"/>
  <c r="AA147" i="6"/>
  <c r="AA152" i="6"/>
  <c r="AB152" i="6"/>
  <c r="AC152" i="6" s="1"/>
  <c r="AA58" i="6"/>
  <c r="AA142" i="6"/>
  <c r="AB142" i="6"/>
  <c r="AC142" i="6" s="1"/>
  <c r="AA154" i="6"/>
  <c r="AA112" i="6"/>
  <c r="AB112" i="6"/>
  <c r="AC112" i="6" s="1"/>
  <c r="AA40" i="6"/>
  <c r="AB40" i="6"/>
  <c r="AC40" i="6" s="1"/>
  <c r="AA206" i="6"/>
  <c r="AB206" i="6"/>
  <c r="AC206" i="6" s="1"/>
  <c r="AA199" i="6"/>
  <c r="AB199" i="6"/>
  <c r="AC199" i="6" s="1"/>
  <c r="AA75" i="6"/>
  <c r="AA122" i="6"/>
  <c r="AB122" i="6"/>
  <c r="AC122" i="6" s="1"/>
  <c r="BH89" i="6"/>
  <c r="BG89" i="6"/>
  <c r="AD89" i="6"/>
  <c r="AB150" i="6"/>
  <c r="AC150" i="6" s="1"/>
  <c r="AA150" i="6"/>
  <c r="AA10" i="6"/>
  <c r="AB10" i="6"/>
  <c r="AC10" i="6" s="1"/>
  <c r="AA170" i="6"/>
  <c r="AB170" i="6"/>
  <c r="AC170" i="6" s="1"/>
  <c r="AA165" i="6"/>
  <c r="AB165" i="6"/>
  <c r="AC165" i="6" s="1"/>
  <c r="AA190" i="6"/>
  <c r="AB28" i="6"/>
  <c r="AC28" i="6" s="1"/>
  <c r="AA28" i="6"/>
  <c r="AA128" i="6"/>
  <c r="AA104" i="6"/>
  <c r="AB104" i="6"/>
  <c r="AC104" i="6" s="1"/>
  <c r="BG25" i="6"/>
  <c r="BH25" i="6"/>
  <c r="AD25" i="6"/>
  <c r="AB187" i="6"/>
  <c r="AC187" i="6" s="1"/>
  <c r="AA187" i="6"/>
  <c r="AB57" i="6"/>
  <c r="AC57" i="6" s="1"/>
  <c r="AA57" i="6"/>
  <c r="AB114" i="6"/>
  <c r="AC114" i="6" s="1"/>
  <c r="AA114" i="6"/>
  <c r="BG91" i="6"/>
  <c r="BH91" i="6"/>
  <c r="AD91" i="6"/>
  <c r="AA183" i="6"/>
  <c r="AB183" i="6"/>
  <c r="AC183" i="6" s="1"/>
  <c r="AB116" i="6"/>
  <c r="AC116" i="6" s="1"/>
  <c r="AA116" i="6"/>
  <c r="AA126" i="6"/>
  <c r="AB126" i="6"/>
  <c r="AC126" i="6" s="1"/>
  <c r="AA14" i="6"/>
  <c r="AB14" i="6"/>
  <c r="AC14" i="6" s="1"/>
  <c r="AB80" i="6"/>
  <c r="AC80" i="6" s="1"/>
  <c r="AA80" i="6"/>
  <c r="AA123" i="6"/>
  <c r="AB123" i="6"/>
  <c r="AC123" i="6" s="1"/>
  <c r="AB149" i="6"/>
  <c r="AC149" i="6" s="1"/>
  <c r="AA149" i="6"/>
  <c r="AA138" i="6"/>
  <c r="AB95" i="6"/>
  <c r="AC95" i="6" s="1"/>
  <c r="AA95" i="6"/>
  <c r="AA85" i="6"/>
  <c r="AB85" i="6"/>
  <c r="AC85" i="6" s="1"/>
  <c r="AB216" i="6"/>
  <c r="AC216" i="6" s="1"/>
  <c r="AA216" i="6"/>
  <c r="AA98" i="6"/>
  <c r="AB98" i="6"/>
  <c r="AC98" i="6" s="1"/>
  <c r="AA180" i="6"/>
  <c r="AB120" i="6"/>
  <c r="AC120" i="6" s="1"/>
  <c r="AA120" i="6"/>
  <c r="AB168" i="6"/>
  <c r="AC168" i="6" s="1"/>
  <c r="AA168" i="6"/>
  <c r="AB72" i="6"/>
  <c r="AC72" i="6" s="1"/>
  <c r="AA72" i="6"/>
  <c r="AB124" i="6"/>
  <c r="AC124" i="6" s="1"/>
  <c r="AA124" i="6"/>
  <c r="BH13" i="6"/>
  <c r="BG13" i="6"/>
  <c r="AD13" i="6"/>
  <c r="AB6" i="6"/>
  <c r="AC6" i="6" s="1"/>
  <c r="AA6" i="6"/>
  <c r="AA155" i="6"/>
  <c r="AB155" i="6"/>
  <c r="AC155" i="6" s="1"/>
  <c r="AA193" i="6"/>
  <c r="AA161" i="6"/>
  <c r="AA66" i="6"/>
  <c r="AB66" i="6"/>
  <c r="AC66" i="6" s="1"/>
  <c r="AA129" i="6"/>
  <c r="AB15" i="6"/>
  <c r="AC15" i="6" s="1"/>
  <c r="AA15" i="6"/>
  <c r="AA158" i="6"/>
  <c r="AB158" i="6"/>
  <c r="AC158" i="6" s="1"/>
  <c r="AB71" i="6"/>
  <c r="AC71" i="6" s="1"/>
  <c r="AA71" i="6"/>
  <c r="AA47" i="6"/>
  <c r="AB47" i="6"/>
  <c r="AC47" i="6" s="1"/>
  <c r="AA177" i="6"/>
  <c r="AA146" i="6"/>
  <c r="AA131" i="6"/>
  <c r="AB131" i="6"/>
  <c r="AC131" i="6" s="1"/>
  <c r="AB8" i="6"/>
  <c r="AC8" i="6" s="1"/>
  <c r="AA8" i="6"/>
  <c r="AB171" i="6"/>
  <c r="AC171" i="6" s="1"/>
  <c r="AA171" i="6"/>
  <c r="AB214" i="6"/>
  <c r="AC214" i="6" s="1"/>
  <c r="AA214" i="6"/>
  <c r="AB97" i="6"/>
  <c r="AC97" i="6" s="1"/>
  <c r="AA97" i="6"/>
  <c r="AA204" i="6"/>
  <c r="AB204" i="6"/>
  <c r="AC204" i="6" s="1"/>
  <c r="AA143" i="6"/>
  <c r="AA127" i="6"/>
  <c r="AB156" i="6"/>
  <c r="AC156" i="6" s="1"/>
  <c r="AA156" i="6"/>
  <c r="AB45" i="6"/>
  <c r="AC45" i="6" s="1"/>
  <c r="AA45" i="6"/>
  <c r="AA59" i="6"/>
  <c r="AB59" i="6"/>
  <c r="AC59" i="6" s="1"/>
  <c r="AB52" i="6"/>
  <c r="AC52" i="6" s="1"/>
  <c r="AA52" i="6"/>
  <c r="AA93" i="6"/>
  <c r="AJ7" i="7" s="1"/>
  <c r="AB93" i="6"/>
  <c r="AC93" i="6" s="1"/>
  <c r="AA56" i="6"/>
  <c r="AB56" i="6"/>
  <c r="AC56" i="6" s="1"/>
  <c r="AA108" i="6"/>
  <c r="AB108" i="6"/>
  <c r="AC108" i="6" s="1"/>
  <c r="AA117" i="6"/>
  <c r="AB117" i="6"/>
  <c r="AC117" i="6" s="1"/>
  <c r="AB41" i="6"/>
  <c r="AC41" i="6" s="1"/>
  <c r="AA41" i="6"/>
  <c r="AA81" i="6"/>
  <c r="AA164" i="6"/>
  <c r="AB164" i="6"/>
  <c r="AC164" i="6" s="1"/>
  <c r="AB39" i="6"/>
  <c r="AC39" i="6" s="1"/>
  <c r="AA39" i="6"/>
  <c r="AB103" i="6"/>
  <c r="AC103" i="6" s="1"/>
  <c r="AA103" i="6"/>
  <c r="AB16" i="6"/>
  <c r="AC16" i="6" s="1"/>
  <c r="AA16" i="6"/>
  <c r="AB200" i="6"/>
  <c r="AC200" i="6" s="1"/>
  <c r="AA200" i="6"/>
  <c r="AA115" i="6"/>
  <c r="AB115" i="6"/>
  <c r="AC115" i="6" s="1"/>
  <c r="BH35" i="6"/>
  <c r="BG35" i="6"/>
  <c r="AD35" i="6"/>
  <c r="AE35" i="6" s="1"/>
  <c r="AA60" i="6"/>
  <c r="AB172" i="6"/>
  <c r="AC172" i="6" s="1"/>
  <c r="AA172" i="6"/>
  <c r="AA148" i="6"/>
  <c r="AA22" i="6"/>
  <c r="AB22" i="6"/>
  <c r="AC22" i="6" s="1"/>
  <c r="AB77" i="6"/>
  <c r="AC77" i="6" s="1"/>
  <c r="AA77" i="6"/>
  <c r="AA140" i="6"/>
  <c r="AB140" i="6"/>
  <c r="AC140" i="6" s="1"/>
  <c r="AA37" i="6"/>
  <c r="AB37" i="6"/>
  <c r="AC37" i="6" s="1"/>
  <c r="AB46" i="6"/>
  <c r="AC46" i="6" s="1"/>
  <c r="AA46" i="6"/>
  <c r="AA169" i="6"/>
  <c r="AA99" i="6"/>
  <c r="AB99" i="6"/>
  <c r="AC99" i="6" s="1"/>
  <c r="AA159" i="6"/>
  <c r="AA191" i="6"/>
  <c r="BH18" i="6"/>
  <c r="BG18" i="6"/>
  <c r="AD18" i="6"/>
  <c r="AB29" i="6"/>
  <c r="AC29" i="6" s="1"/>
  <c r="AA29" i="6"/>
  <c r="AB212" i="6"/>
  <c r="AC212" i="6" s="1"/>
  <c r="AA212" i="6"/>
  <c r="AB86" i="6"/>
  <c r="AC86" i="6" s="1"/>
  <c r="AA86" i="6"/>
  <c r="AB198" i="6"/>
  <c r="AC198" i="6" s="1"/>
  <c r="AA198" i="6"/>
  <c r="AB84" i="6"/>
  <c r="AC84" i="6" s="1"/>
  <c r="AA84" i="6"/>
  <c r="AA62" i="6"/>
  <c r="AB62" i="6"/>
  <c r="AC62" i="6" s="1"/>
  <c r="AA185" i="6"/>
  <c r="AB185" i="6"/>
  <c r="AC185" i="6" s="1"/>
  <c r="AB192" i="6"/>
  <c r="AC192" i="6" s="1"/>
  <c r="AA192" i="6"/>
  <c r="AB132" i="6"/>
  <c r="AC132" i="6" s="1"/>
  <c r="AA132" i="6"/>
  <c r="AB68" i="6"/>
  <c r="AC68" i="6" s="1"/>
  <c r="AA68" i="6"/>
  <c r="AA76" i="6"/>
  <c r="AB139" i="6"/>
  <c r="AC139" i="6" s="1"/>
  <c r="AA139" i="6"/>
  <c r="AA67" i="6"/>
  <c r="AB151" i="6"/>
  <c r="AC151" i="6" s="1"/>
  <c r="AA151" i="6"/>
  <c r="AA82" i="6"/>
  <c r="AB82" i="6"/>
  <c r="AC82" i="6" s="1"/>
  <c r="AA105" i="6"/>
  <c r="AB105" i="6"/>
  <c r="AC105" i="6" s="1"/>
  <c r="AA36" i="6"/>
  <c r="AB36" i="6"/>
  <c r="AC36" i="6" s="1"/>
  <c r="AB55" i="6"/>
  <c r="AC55" i="6" s="1"/>
  <c r="AA55" i="6"/>
  <c r="BG27" i="6"/>
  <c r="BH27" i="6"/>
  <c r="AD27" i="6"/>
  <c r="AA32" i="6"/>
  <c r="AB180" i="6" l="1"/>
  <c r="AC180" i="6" s="1"/>
  <c r="BG180" i="6" s="1"/>
  <c r="AJ10" i="7"/>
  <c r="AQ10" i="7" s="1"/>
  <c r="AB148" i="6"/>
  <c r="AC148" i="6" s="1"/>
  <c r="AB193" i="6"/>
  <c r="AC193" i="6" s="1"/>
  <c r="AQ7" i="7"/>
  <c r="AB87" i="6"/>
  <c r="AC87" i="6" s="1"/>
  <c r="AB88" i="6"/>
  <c r="AC88" i="6" s="1"/>
  <c r="AB146" i="6"/>
  <c r="AC146" i="6" s="1"/>
  <c r="AB32" i="6"/>
  <c r="AC32" i="6" s="1"/>
  <c r="BH99" i="6"/>
  <c r="BG99" i="6"/>
  <c r="AD99" i="6"/>
  <c r="AI27" i="6"/>
  <c r="AJ27" i="6" s="1"/>
  <c r="BC27" i="6"/>
  <c r="BD27" i="6" s="1"/>
  <c r="BI27" i="6" s="1"/>
  <c r="BT27" i="6"/>
  <c r="AQ27" i="6"/>
  <c r="AP27" i="6"/>
  <c r="AS27" i="6"/>
  <c r="AU27" i="6"/>
  <c r="BN27" i="6"/>
  <c r="BM27" i="6"/>
  <c r="AN27" i="6"/>
  <c r="BT35" i="6"/>
  <c r="AS35" i="6"/>
  <c r="BC35" i="6"/>
  <c r="BD35" i="6" s="1"/>
  <c r="BI35" i="6" s="1"/>
  <c r="AQ35" i="6"/>
  <c r="AI35" i="6"/>
  <c r="AJ35" i="6" s="1"/>
  <c r="AP35" i="6"/>
  <c r="AU35" i="6"/>
  <c r="BM35" i="6"/>
  <c r="BN35" i="6"/>
  <c r="AN35" i="6"/>
  <c r="BH108" i="6"/>
  <c r="BG108" i="6"/>
  <c r="AD108" i="6"/>
  <c r="AE108" i="6" s="1"/>
  <c r="BG66" i="6"/>
  <c r="BH66" i="6"/>
  <c r="AD66" i="6"/>
  <c r="AE66" i="6" s="1"/>
  <c r="BG206" i="6"/>
  <c r="BH206" i="6"/>
  <c r="AD206" i="6"/>
  <c r="AE206" i="6" s="1"/>
  <c r="BH135" i="6"/>
  <c r="BG135" i="6"/>
  <c r="AD135" i="6"/>
  <c r="BG49" i="6"/>
  <c r="BH49" i="6"/>
  <c r="AD49" i="6"/>
  <c r="BH192" i="6"/>
  <c r="BG192" i="6"/>
  <c r="AD192" i="6"/>
  <c r="AE192" i="6" s="1"/>
  <c r="BH214" i="6"/>
  <c r="BG214" i="6"/>
  <c r="AD214" i="6"/>
  <c r="AE214" i="6" s="1"/>
  <c r="BH116" i="6"/>
  <c r="BG116" i="6"/>
  <c r="AD116" i="6"/>
  <c r="AE116" i="6" s="1"/>
  <c r="BH28" i="6"/>
  <c r="BG28" i="6"/>
  <c r="AE28" i="6"/>
  <c r="AD28" i="6"/>
  <c r="BG205" i="6"/>
  <c r="BH205" i="6"/>
  <c r="AD205" i="6"/>
  <c r="AJ6" i="7"/>
  <c r="AB76" i="6" s="1"/>
  <c r="AC76" i="6" s="1"/>
  <c r="BG197" i="6"/>
  <c r="BH197" i="6"/>
  <c r="AD197" i="6"/>
  <c r="BG40" i="6"/>
  <c r="BH40" i="6"/>
  <c r="AD40" i="6"/>
  <c r="AB161" i="6"/>
  <c r="AC161" i="6" s="1"/>
  <c r="AS91" i="6"/>
  <c r="AQ91" i="6"/>
  <c r="AI91" i="6"/>
  <c r="AJ91" i="6" s="1"/>
  <c r="BQ91" i="6"/>
  <c r="BR91" i="6" s="1"/>
  <c r="BC91" i="6"/>
  <c r="BD91" i="6" s="1"/>
  <c r="BI91" i="6" s="1"/>
  <c r="BT91" i="6"/>
  <c r="AP91" i="6"/>
  <c r="BM91" i="6"/>
  <c r="BN91" i="6"/>
  <c r="AU91" i="6"/>
  <c r="AN91" i="6"/>
  <c r="BH8" i="6"/>
  <c r="BG8" i="6"/>
  <c r="AD8" i="6"/>
  <c r="BH85" i="6"/>
  <c r="BG85" i="6"/>
  <c r="AD85" i="6"/>
  <c r="BG175" i="6"/>
  <c r="BH175" i="6"/>
  <c r="AD175" i="6"/>
  <c r="BG82" i="6"/>
  <c r="BH82" i="6"/>
  <c r="AD82" i="6"/>
  <c r="AE82" i="6" s="1"/>
  <c r="BH142" i="6"/>
  <c r="BG142" i="6"/>
  <c r="AD142" i="6"/>
  <c r="BG198" i="6"/>
  <c r="BH198" i="6"/>
  <c r="AD198" i="6"/>
  <c r="AS13" i="6"/>
  <c r="BC13" i="6"/>
  <c r="BD13" i="6" s="1"/>
  <c r="BI13" i="6" s="1"/>
  <c r="AP13" i="6"/>
  <c r="AI13" i="6"/>
  <c r="AJ13" i="6" s="1"/>
  <c r="BT13" i="6"/>
  <c r="AQ13" i="6"/>
  <c r="BM13" i="6"/>
  <c r="AN13" i="6"/>
  <c r="BN13" i="6"/>
  <c r="AU13" i="6"/>
  <c r="BH184" i="6"/>
  <c r="BG184" i="6"/>
  <c r="AD184" i="6"/>
  <c r="AE184" i="6" s="1"/>
  <c r="BH189" i="6"/>
  <c r="BG189" i="6"/>
  <c r="AD189" i="6"/>
  <c r="BH62" i="6"/>
  <c r="BG62" i="6"/>
  <c r="AD62" i="6"/>
  <c r="AE62" i="6" s="1"/>
  <c r="BH165" i="6"/>
  <c r="BG165" i="6"/>
  <c r="AD165" i="6"/>
  <c r="BH50" i="6"/>
  <c r="BG50" i="6"/>
  <c r="AD50" i="6"/>
  <c r="AE50" i="6" s="1"/>
  <c r="BH170" i="6"/>
  <c r="AE170" i="6"/>
  <c r="BG170" i="6"/>
  <c r="AD170" i="6"/>
  <c r="BG202" i="6"/>
  <c r="BH202" i="6"/>
  <c r="AD202" i="6"/>
  <c r="AP34" i="6"/>
  <c r="AS34" i="6"/>
  <c r="AQ34" i="6"/>
  <c r="BC34" i="6"/>
  <c r="BD34" i="6" s="1"/>
  <c r="BI34" i="6" s="1"/>
  <c r="AI34" i="6"/>
  <c r="AJ34" i="6" s="1"/>
  <c r="BT34" i="6"/>
  <c r="AU34" i="6"/>
  <c r="BM34" i="6"/>
  <c r="BN34" i="6"/>
  <c r="AN34" i="6"/>
  <c r="AR34" i="6" s="1"/>
  <c r="BH10" i="6"/>
  <c r="BG10" i="6"/>
  <c r="AE10" i="6"/>
  <c r="AD10" i="6"/>
  <c r="BG114" i="6"/>
  <c r="BH114" i="6"/>
  <c r="AD114" i="6"/>
  <c r="AI44" i="6"/>
  <c r="AJ44" i="6" s="1"/>
  <c r="BT44" i="6"/>
  <c r="AS44" i="6"/>
  <c r="AQ44" i="6"/>
  <c r="BC44" i="6"/>
  <c r="BD44" i="6" s="1"/>
  <c r="BI44" i="6" s="1"/>
  <c r="AP44" i="6"/>
  <c r="BM44" i="6"/>
  <c r="BN44" i="6"/>
  <c r="AU44" i="6"/>
  <c r="AN44" i="6"/>
  <c r="AR44" i="6" s="1"/>
  <c r="BH33" i="6"/>
  <c r="BG33" i="6"/>
  <c r="AD33" i="6"/>
  <c r="AE33" i="6" s="1"/>
  <c r="AE86" i="6"/>
  <c r="BH86" i="6"/>
  <c r="BG86" i="6"/>
  <c r="AD86" i="6"/>
  <c r="BH47" i="6"/>
  <c r="BG47" i="6"/>
  <c r="AD47" i="6"/>
  <c r="AE47" i="6" s="1"/>
  <c r="BT89" i="6"/>
  <c r="AS89" i="6"/>
  <c r="AQ89" i="6"/>
  <c r="BC89" i="6"/>
  <c r="BD89" i="6" s="1"/>
  <c r="BI89" i="6" s="1"/>
  <c r="AP89" i="6"/>
  <c r="AI89" i="6"/>
  <c r="AJ89" i="6" s="1"/>
  <c r="BN89" i="6"/>
  <c r="BQ89" i="6" s="1"/>
  <c r="BR89" i="6" s="1"/>
  <c r="BS89" i="6" s="1"/>
  <c r="AU89" i="6"/>
  <c r="BM89" i="6"/>
  <c r="AN89" i="6"/>
  <c r="AR89" i="6" s="1"/>
  <c r="BG152" i="6"/>
  <c r="BH152" i="6"/>
  <c r="AD152" i="6"/>
  <c r="AE152" i="6" s="1"/>
  <c r="BH209" i="6"/>
  <c r="BG209" i="6"/>
  <c r="AD209" i="6"/>
  <c r="AE209" i="6" s="1"/>
  <c r="AE44" i="6"/>
  <c r="BG23" i="6"/>
  <c r="BH23" i="6"/>
  <c r="AD23" i="6"/>
  <c r="BG167" i="6"/>
  <c r="BH167" i="6"/>
  <c r="AD167" i="6"/>
  <c r="AE167" i="6" s="1"/>
  <c r="BG212" i="6"/>
  <c r="BH212" i="6"/>
  <c r="AD212" i="6"/>
  <c r="BG77" i="6"/>
  <c r="AE77" i="6"/>
  <c r="BH77" i="6"/>
  <c r="AD77" i="6"/>
  <c r="BG39" i="6"/>
  <c r="BH39" i="6"/>
  <c r="AD39" i="6"/>
  <c r="BH156" i="6"/>
  <c r="BG156" i="6"/>
  <c r="AD156" i="6"/>
  <c r="AE156" i="6" s="1"/>
  <c r="BG149" i="6"/>
  <c r="BH149" i="6"/>
  <c r="AE149" i="6"/>
  <c r="AD149" i="6"/>
  <c r="BG187" i="6"/>
  <c r="BH187" i="6"/>
  <c r="AD187" i="6"/>
  <c r="AE89" i="6"/>
  <c r="AQ12" i="6"/>
  <c r="BT12" i="6"/>
  <c r="BC12" i="6"/>
  <c r="BD12" i="6" s="1"/>
  <c r="BI12" i="6" s="1"/>
  <c r="AS12" i="6"/>
  <c r="AI12" i="6"/>
  <c r="AJ12" i="6" s="1"/>
  <c r="AP12" i="6"/>
  <c r="BM12" i="6"/>
  <c r="BN12" i="6"/>
  <c r="BQ12" i="6" s="1"/>
  <c r="BR12" i="6" s="1"/>
  <c r="BS12" i="6" s="1"/>
  <c r="AU12" i="6"/>
  <c r="AN12" i="6"/>
  <c r="BG125" i="6"/>
  <c r="AE125" i="6"/>
  <c r="BH125" i="6"/>
  <c r="AD125" i="6"/>
  <c r="AI92" i="6"/>
  <c r="AJ92" i="6" s="1"/>
  <c r="BT92" i="6"/>
  <c r="BC92" i="6"/>
  <c r="BD92" i="6" s="1"/>
  <c r="BI92" i="6" s="1"/>
  <c r="AS92" i="6"/>
  <c r="AQ92" i="6"/>
  <c r="AP92" i="6"/>
  <c r="AU92" i="6"/>
  <c r="AN92" i="6"/>
  <c r="BM92" i="6"/>
  <c r="BN92" i="6"/>
  <c r="BQ92" i="6" s="1"/>
  <c r="BR92" i="6" s="1"/>
  <c r="BS92" i="6" s="1"/>
  <c r="BG130" i="6"/>
  <c r="BH130" i="6"/>
  <c r="AD130" i="6"/>
  <c r="BG208" i="6"/>
  <c r="BH208" i="6"/>
  <c r="AD208" i="6"/>
  <c r="BG115" i="6"/>
  <c r="BH115" i="6"/>
  <c r="AD115" i="6"/>
  <c r="AE115" i="6" s="1"/>
  <c r="BG186" i="6"/>
  <c r="BH186" i="6"/>
  <c r="AD186" i="6"/>
  <c r="AE186" i="6" s="1"/>
  <c r="BH109" i="6"/>
  <c r="BG109" i="6"/>
  <c r="AD109" i="6"/>
  <c r="BH105" i="6"/>
  <c r="BG105" i="6"/>
  <c r="AD105" i="6"/>
  <c r="AE105" i="6" s="1"/>
  <c r="BG131" i="6"/>
  <c r="BH131" i="6"/>
  <c r="AD131" i="6"/>
  <c r="AE131" i="6" s="1"/>
  <c r="AE91" i="6"/>
  <c r="BH213" i="6"/>
  <c r="BG213" i="6"/>
  <c r="AD213" i="6"/>
  <c r="AE213" i="6" s="1"/>
  <c r="BH210" i="6"/>
  <c r="BG210" i="6"/>
  <c r="AD210" i="6"/>
  <c r="BH52" i="6"/>
  <c r="BG52" i="6"/>
  <c r="AD52" i="6"/>
  <c r="AE52" i="6" s="1"/>
  <c r="BH51" i="6"/>
  <c r="BG51" i="6"/>
  <c r="AD51" i="6"/>
  <c r="AE51" i="6" s="1"/>
  <c r="BG83" i="6"/>
  <c r="AE83" i="6"/>
  <c r="BH83" i="6"/>
  <c r="AD83" i="6"/>
  <c r="BH59" i="6"/>
  <c r="BG59" i="6"/>
  <c r="AD59" i="6"/>
  <c r="AE59" i="6" s="1"/>
  <c r="BG145" i="6"/>
  <c r="BH145" i="6"/>
  <c r="AD145" i="6"/>
  <c r="BH110" i="6"/>
  <c r="BG110" i="6"/>
  <c r="AD110" i="6"/>
  <c r="AE110" i="6" s="1"/>
  <c r="BH6" i="6"/>
  <c r="BG6" i="6"/>
  <c r="AD6" i="6"/>
  <c r="BG160" i="6"/>
  <c r="BH160" i="6"/>
  <c r="AD160" i="6"/>
  <c r="AE160" i="6" s="1"/>
  <c r="BG140" i="6"/>
  <c r="BH140" i="6"/>
  <c r="AD140" i="6"/>
  <c r="AE140" i="6" s="1"/>
  <c r="BH151" i="6"/>
  <c r="BG151" i="6"/>
  <c r="AD151" i="6"/>
  <c r="AE151" i="6" s="1"/>
  <c r="BH45" i="6"/>
  <c r="BG45" i="6"/>
  <c r="AD45" i="6"/>
  <c r="AE45" i="6" s="1"/>
  <c r="BG57" i="6"/>
  <c r="BH57" i="6"/>
  <c r="AD57" i="6"/>
  <c r="AE57" i="6" s="1"/>
  <c r="BG194" i="6"/>
  <c r="BH194" i="6"/>
  <c r="AD194" i="6"/>
  <c r="BG164" i="6"/>
  <c r="BH164" i="6"/>
  <c r="AD164" i="6"/>
  <c r="AE164" i="6" s="1"/>
  <c r="BT25" i="6"/>
  <c r="AS25" i="6"/>
  <c r="BC25" i="6"/>
  <c r="BD25" i="6" s="1"/>
  <c r="BI25" i="6" s="1"/>
  <c r="AQ25" i="6"/>
  <c r="AI25" i="6"/>
  <c r="AJ25" i="6" s="1"/>
  <c r="AP25" i="6"/>
  <c r="AU25" i="6"/>
  <c r="BN25" i="6"/>
  <c r="BM25" i="6"/>
  <c r="AN25" i="6"/>
  <c r="BH144" i="6"/>
  <c r="BG144" i="6"/>
  <c r="AD144" i="6"/>
  <c r="BG61" i="6"/>
  <c r="BH61" i="6"/>
  <c r="AD61" i="6"/>
  <c r="BG7" i="6"/>
  <c r="BH7" i="6"/>
  <c r="AD7" i="6"/>
  <c r="AE7" i="6" s="1"/>
  <c r="BG139" i="6"/>
  <c r="BH139" i="6"/>
  <c r="AD139" i="6"/>
  <c r="AE139" i="6" s="1"/>
  <c r="BH29" i="6"/>
  <c r="BG29" i="6"/>
  <c r="AD29" i="6"/>
  <c r="AE71" i="6"/>
  <c r="BG71" i="6"/>
  <c r="BH71" i="6"/>
  <c r="AD71" i="6"/>
  <c r="BG124" i="6"/>
  <c r="BH124" i="6"/>
  <c r="AD124" i="6"/>
  <c r="AE124" i="6" s="1"/>
  <c r="AE25" i="6"/>
  <c r="BH147" i="6"/>
  <c r="BG147" i="6"/>
  <c r="AD147" i="6"/>
  <c r="AE92" i="6"/>
  <c r="BH185" i="6"/>
  <c r="BG185" i="6"/>
  <c r="AD185" i="6"/>
  <c r="AE185" i="6" s="1"/>
  <c r="BH207" i="6"/>
  <c r="BG207" i="6"/>
  <c r="AD207" i="6"/>
  <c r="AB178" i="6"/>
  <c r="AC178" i="6" s="1"/>
  <c r="BH84" i="6"/>
  <c r="BG84" i="6"/>
  <c r="AD84" i="6"/>
  <c r="BH118" i="6"/>
  <c r="BG118" i="6"/>
  <c r="AD118" i="6"/>
  <c r="BH176" i="6"/>
  <c r="BG176" i="6"/>
  <c r="AD176" i="6"/>
  <c r="AE176" i="6" s="1"/>
  <c r="BG171" i="6"/>
  <c r="BH171" i="6"/>
  <c r="AD171" i="6"/>
  <c r="AB169" i="6"/>
  <c r="AC169" i="6" s="1"/>
  <c r="BG112" i="6"/>
  <c r="BH112" i="6"/>
  <c r="AD112" i="6"/>
  <c r="BG196" i="6"/>
  <c r="AE196" i="6"/>
  <c r="BH196" i="6"/>
  <c r="AD196" i="6"/>
  <c r="BH121" i="6"/>
  <c r="BG121" i="6"/>
  <c r="AD121" i="6"/>
  <c r="BG155" i="6"/>
  <c r="BH155" i="6"/>
  <c r="AD155" i="6"/>
  <c r="AE155" i="6" s="1"/>
  <c r="AJ8" i="7"/>
  <c r="AQ8" i="7" s="1"/>
  <c r="BG16" i="6"/>
  <c r="BH16" i="6"/>
  <c r="AD16" i="6"/>
  <c r="AE16" i="6" s="1"/>
  <c r="BG157" i="6"/>
  <c r="BH157" i="6"/>
  <c r="AD157" i="6"/>
  <c r="BG22" i="6"/>
  <c r="BH22" i="6"/>
  <c r="AD22" i="6"/>
  <c r="AE22" i="6" s="1"/>
  <c r="BH158" i="6"/>
  <c r="BG158" i="6"/>
  <c r="AD158" i="6"/>
  <c r="AE153" i="6"/>
  <c r="BG153" i="6"/>
  <c r="BH153" i="6"/>
  <c r="AD153" i="6"/>
  <c r="BH72" i="6"/>
  <c r="BG72" i="6"/>
  <c r="AE72" i="6"/>
  <c r="AD72" i="6"/>
  <c r="BH162" i="6"/>
  <c r="BG162" i="6"/>
  <c r="AD162" i="6"/>
  <c r="AE162" i="6" s="1"/>
  <c r="AQ9" i="6"/>
  <c r="AP9" i="6"/>
  <c r="AS9" i="6"/>
  <c r="BC9" i="6"/>
  <c r="BD9" i="6" s="1"/>
  <c r="BI9" i="6" s="1"/>
  <c r="AI9" i="6"/>
  <c r="AJ9" i="6" s="1"/>
  <c r="BT9" i="6"/>
  <c r="AN9" i="6"/>
  <c r="AU9" i="6"/>
  <c r="BM9" i="6"/>
  <c r="BN9" i="6"/>
  <c r="BQ9" i="6" s="1"/>
  <c r="BR9" i="6" s="1"/>
  <c r="BS9" i="6" s="1"/>
  <c r="BG111" i="6"/>
  <c r="BH111" i="6"/>
  <c r="AD111" i="6"/>
  <c r="AJ5" i="7"/>
  <c r="BG183" i="6"/>
  <c r="BH183" i="6"/>
  <c r="AD183" i="6"/>
  <c r="AE183" i="6" s="1"/>
  <c r="BG188" i="6"/>
  <c r="BH188" i="6"/>
  <c r="AD188" i="6"/>
  <c r="AE188" i="6" s="1"/>
  <c r="AJ9" i="7"/>
  <c r="AB128" i="6" s="1"/>
  <c r="AC128" i="6" s="1"/>
  <c r="BH46" i="6"/>
  <c r="BG46" i="6"/>
  <c r="AD46" i="6"/>
  <c r="BG37" i="6"/>
  <c r="BH37" i="6"/>
  <c r="AD37" i="6"/>
  <c r="BG163" i="6"/>
  <c r="BH163" i="6"/>
  <c r="AD163" i="6"/>
  <c r="AE163" i="6" s="1"/>
  <c r="BH95" i="6"/>
  <c r="BG95" i="6"/>
  <c r="AD95" i="6"/>
  <c r="AE95" i="6" s="1"/>
  <c r="AB177" i="6"/>
  <c r="AC177" i="6" s="1"/>
  <c r="BH150" i="6"/>
  <c r="BG150" i="6"/>
  <c r="AD150" i="6"/>
  <c r="AE150" i="6" s="1"/>
  <c r="AE102" i="6"/>
  <c r="BH102" i="6"/>
  <c r="BG102" i="6"/>
  <c r="AD102" i="6"/>
  <c r="BH123" i="6"/>
  <c r="BG123" i="6"/>
  <c r="AD123" i="6"/>
  <c r="AE123" i="6" s="1"/>
  <c r="AI18" i="6"/>
  <c r="AJ18" i="6" s="1"/>
  <c r="AS18" i="6"/>
  <c r="BT18" i="6"/>
  <c r="AQ18" i="6"/>
  <c r="AP18" i="6"/>
  <c r="BC18" i="6"/>
  <c r="BD18" i="6" s="1"/>
  <c r="BI18" i="6" s="1"/>
  <c r="BM18" i="6"/>
  <c r="AU18" i="6"/>
  <c r="BN18" i="6"/>
  <c r="BQ18" i="6" s="1"/>
  <c r="BR18" i="6" s="1"/>
  <c r="AN18" i="6"/>
  <c r="BG113" i="6"/>
  <c r="BH113" i="6"/>
  <c r="AD113" i="6"/>
  <c r="AE113" i="6" s="1"/>
  <c r="BH80" i="6"/>
  <c r="BG80" i="6"/>
  <c r="AD80" i="6"/>
  <c r="BH96" i="6"/>
  <c r="BG96" i="6"/>
  <c r="AD96" i="6"/>
  <c r="AE96" i="6" s="1"/>
  <c r="BH26" i="6"/>
  <c r="BG26" i="6"/>
  <c r="AD26" i="6"/>
  <c r="BH204" i="6"/>
  <c r="BG204" i="6"/>
  <c r="AD204" i="6"/>
  <c r="AE204" i="6" s="1"/>
  <c r="AE14" i="6"/>
  <c r="BG14" i="6"/>
  <c r="BH14" i="6"/>
  <c r="AD14" i="6"/>
  <c r="BG104" i="6"/>
  <c r="AD104" i="6"/>
  <c r="BH104" i="6"/>
  <c r="BG11" i="6"/>
  <c r="AE11" i="6"/>
  <c r="BH11" i="6"/>
  <c r="AD11" i="6"/>
  <c r="BH133" i="6"/>
  <c r="BG133" i="6"/>
  <c r="AD133" i="6"/>
  <c r="BH90" i="6"/>
  <c r="BG90" i="6"/>
  <c r="AD90" i="6"/>
  <c r="AE90" i="6" s="1"/>
  <c r="BH5" i="6"/>
  <c r="BG5" i="6"/>
  <c r="AD5" i="6"/>
  <c r="AE5" i="6" s="1"/>
  <c r="BG56" i="6"/>
  <c r="BH56" i="6"/>
  <c r="AD56" i="6"/>
  <c r="BG31" i="6"/>
  <c r="BH31" i="6"/>
  <c r="AD31" i="6"/>
  <c r="AE31" i="6" s="1"/>
  <c r="BH55" i="6"/>
  <c r="BG55" i="6"/>
  <c r="AD55" i="6"/>
  <c r="BH36" i="6"/>
  <c r="BG36" i="6"/>
  <c r="AD36" i="6"/>
  <c r="BH54" i="6"/>
  <c r="BG54" i="6"/>
  <c r="AD54" i="6"/>
  <c r="BH181" i="6"/>
  <c r="AE181" i="6"/>
  <c r="BG181" i="6"/>
  <c r="AD181" i="6"/>
  <c r="BH216" i="6"/>
  <c r="BG216" i="6"/>
  <c r="AD216" i="6"/>
  <c r="BG101" i="6"/>
  <c r="BH101" i="6"/>
  <c r="AD101" i="6"/>
  <c r="BG200" i="6"/>
  <c r="BH200" i="6"/>
  <c r="AD200" i="6"/>
  <c r="AE200" i="6" s="1"/>
  <c r="AE34" i="6"/>
  <c r="BT94" i="6"/>
  <c r="BC94" i="6"/>
  <c r="BD94" i="6" s="1"/>
  <c r="BI94" i="6" s="1"/>
  <c r="AS94" i="6"/>
  <c r="AQ94" i="6"/>
  <c r="AP94" i="6"/>
  <c r="AI94" i="6"/>
  <c r="AJ94" i="6" s="1"/>
  <c r="AU94" i="6"/>
  <c r="BM94" i="6"/>
  <c r="BN94" i="6"/>
  <c r="BQ94" i="6" s="1"/>
  <c r="BR94" i="6" s="1"/>
  <c r="BS94" i="6" s="1"/>
  <c r="AN94" i="6"/>
  <c r="BG103" i="6"/>
  <c r="BH103" i="6"/>
  <c r="AD103" i="6"/>
  <c r="AE13" i="6"/>
  <c r="BG122" i="6"/>
  <c r="BH122" i="6"/>
  <c r="AD122" i="6"/>
  <c r="AE122" i="6" s="1"/>
  <c r="BG68" i="6"/>
  <c r="BH68" i="6"/>
  <c r="AD68" i="6"/>
  <c r="AE68" i="6" s="1"/>
  <c r="AE18" i="6"/>
  <c r="BG172" i="6"/>
  <c r="AE172" i="6"/>
  <c r="BH172" i="6"/>
  <c r="AD172" i="6"/>
  <c r="BH41" i="6"/>
  <c r="BG41" i="6"/>
  <c r="AD41" i="6"/>
  <c r="BH15" i="6"/>
  <c r="BG15" i="6"/>
  <c r="AD15" i="6"/>
  <c r="BG168" i="6"/>
  <c r="BH168" i="6"/>
  <c r="AD168" i="6"/>
  <c r="BH24" i="6"/>
  <c r="BG24" i="6"/>
  <c r="AD24" i="6"/>
  <c r="AE24" i="6" s="1"/>
  <c r="BH48" i="6"/>
  <c r="BG48" i="6"/>
  <c r="AD48" i="6"/>
  <c r="BH98" i="6"/>
  <c r="AE98" i="6"/>
  <c r="BG98" i="6"/>
  <c r="AD98" i="6"/>
  <c r="BH74" i="6"/>
  <c r="BG74" i="6"/>
  <c r="AD74" i="6"/>
  <c r="BG93" i="6"/>
  <c r="BH93" i="6"/>
  <c r="AD93" i="6"/>
  <c r="AE93" i="6" s="1"/>
  <c r="AJ11" i="7"/>
  <c r="AB201" i="6" s="1"/>
  <c r="AC201" i="6" s="1"/>
  <c r="BG117" i="6"/>
  <c r="BH117" i="6"/>
  <c r="AD117" i="6"/>
  <c r="BH126" i="6"/>
  <c r="BG126" i="6"/>
  <c r="AD126" i="6"/>
  <c r="AE126" i="6" s="1"/>
  <c r="BH199" i="6"/>
  <c r="BG199" i="6"/>
  <c r="AD199" i="6"/>
  <c r="AE199" i="6" s="1"/>
  <c r="BH107" i="6"/>
  <c r="BG107" i="6"/>
  <c r="AD107" i="6"/>
  <c r="BH63" i="6"/>
  <c r="BG63" i="6"/>
  <c r="AE63" i="6"/>
  <c r="AD63" i="6"/>
  <c r="BG141" i="6"/>
  <c r="BH141" i="6"/>
  <c r="AD141" i="6"/>
  <c r="AE141" i="6" s="1"/>
  <c r="AE27" i="6"/>
  <c r="BH132" i="6"/>
  <c r="BG132" i="6"/>
  <c r="AD132" i="6"/>
  <c r="AE132" i="6" s="1"/>
  <c r="AB191" i="6"/>
  <c r="AC191" i="6" s="1"/>
  <c r="BH97" i="6"/>
  <c r="BG97" i="6"/>
  <c r="AD97" i="6"/>
  <c r="AE97" i="6" s="1"/>
  <c r="BG120" i="6"/>
  <c r="BH120" i="6"/>
  <c r="AD120" i="6"/>
  <c r="BG119" i="6"/>
  <c r="AE119" i="6"/>
  <c r="BH119" i="6"/>
  <c r="AD119" i="6"/>
  <c r="BH106" i="6"/>
  <c r="BG106" i="6"/>
  <c r="AE106" i="6"/>
  <c r="AD106" i="6"/>
  <c r="BG100" i="6"/>
  <c r="BH100" i="6"/>
  <c r="AD100" i="6"/>
  <c r="BG182" i="6"/>
  <c r="BH182" i="6"/>
  <c r="AD182" i="6"/>
  <c r="AE182" i="6" s="1"/>
  <c r="BG53" i="6"/>
  <c r="BH53" i="6"/>
  <c r="AD53" i="6"/>
  <c r="AS38" i="6"/>
  <c r="AQ38" i="6"/>
  <c r="AP38" i="6"/>
  <c r="AI38" i="6"/>
  <c r="AJ38" i="6" s="1"/>
  <c r="BT38" i="6"/>
  <c r="BC38" i="6"/>
  <c r="BD38" i="6" s="1"/>
  <c r="BI38" i="6" s="1"/>
  <c r="AU38" i="6"/>
  <c r="AN38" i="6"/>
  <c r="BN38" i="6"/>
  <c r="BQ38" i="6" s="1"/>
  <c r="BR38" i="6" s="1"/>
  <c r="BS38" i="6" s="1"/>
  <c r="BM38" i="6"/>
  <c r="AR18" i="6" l="1"/>
  <c r="BS18" i="6"/>
  <c r="AB203" i="6"/>
  <c r="AC203" i="6" s="1"/>
  <c r="AD180" i="6"/>
  <c r="AE180" i="6" s="1"/>
  <c r="BH180" i="6"/>
  <c r="AR13" i="6"/>
  <c r="AB179" i="6"/>
  <c r="AC179" i="6" s="1"/>
  <c r="AR27" i="6"/>
  <c r="AB166" i="6"/>
  <c r="AC166" i="6" s="1"/>
  <c r="BS91" i="6"/>
  <c r="AR38" i="6"/>
  <c r="AB174" i="6"/>
  <c r="AC174" i="6" s="1"/>
  <c r="AB190" i="6"/>
  <c r="AC190" i="6" s="1"/>
  <c r="AB173" i="6"/>
  <c r="AC173" i="6" s="1"/>
  <c r="BH76" i="6"/>
  <c r="BG76" i="6"/>
  <c r="AD76" i="6"/>
  <c r="BG201" i="6"/>
  <c r="BH201" i="6"/>
  <c r="AD201" i="6"/>
  <c r="BH191" i="6"/>
  <c r="BG191" i="6"/>
  <c r="AD191" i="6"/>
  <c r="AE191" i="6" s="1"/>
  <c r="BC157" i="6"/>
  <c r="BD157" i="6" s="1"/>
  <c r="BI157" i="6" s="1"/>
  <c r="AI157" i="6"/>
  <c r="AJ157" i="6" s="1"/>
  <c r="BT157" i="6"/>
  <c r="AQ157" i="6"/>
  <c r="AS157" i="6"/>
  <c r="AP157" i="6"/>
  <c r="AU157" i="6"/>
  <c r="BN157" i="6"/>
  <c r="BQ157" i="6" s="1"/>
  <c r="BR157" i="6" s="1"/>
  <c r="BS157" i="6" s="1"/>
  <c r="BM157" i="6"/>
  <c r="AN157" i="6"/>
  <c r="AS100" i="6"/>
  <c r="BT100" i="6"/>
  <c r="BC100" i="6"/>
  <c r="BD100" i="6" s="1"/>
  <c r="BI100" i="6" s="1"/>
  <c r="AQ100" i="6"/>
  <c r="AI100" i="6"/>
  <c r="AJ100" i="6" s="1"/>
  <c r="AP100" i="6"/>
  <c r="BM100" i="6"/>
  <c r="BN100" i="6"/>
  <c r="BQ100" i="6" s="1"/>
  <c r="BR100" i="6" s="1"/>
  <c r="BS100" i="6" s="1"/>
  <c r="AN100" i="6"/>
  <c r="AU100" i="6"/>
  <c r="AQ187" i="6"/>
  <c r="BT187" i="6"/>
  <c r="AS187" i="6"/>
  <c r="AI187" i="6"/>
  <c r="AJ187" i="6" s="1"/>
  <c r="BC187" i="6"/>
  <c r="BD187" i="6" s="1"/>
  <c r="BI187" i="6" s="1"/>
  <c r="AP187" i="6"/>
  <c r="BN187" i="6"/>
  <c r="BQ187" i="6" s="1"/>
  <c r="BR187" i="6" s="1"/>
  <c r="BS187" i="6" s="1"/>
  <c r="BM187" i="6"/>
  <c r="AN187" i="6"/>
  <c r="AU187" i="6"/>
  <c r="AI117" i="6"/>
  <c r="AJ117" i="6" s="1"/>
  <c r="BT117" i="6"/>
  <c r="AS117" i="6"/>
  <c r="AP117" i="6"/>
  <c r="BC117" i="6"/>
  <c r="BD117" i="6" s="1"/>
  <c r="BI117" i="6" s="1"/>
  <c r="AQ117" i="6"/>
  <c r="AU117" i="6"/>
  <c r="BM117" i="6"/>
  <c r="BN117" i="6"/>
  <c r="BQ117" i="6" s="1"/>
  <c r="BR117" i="6" s="1"/>
  <c r="BS117" i="6" s="1"/>
  <c r="AN117" i="6"/>
  <c r="AS171" i="6"/>
  <c r="AI171" i="6"/>
  <c r="AJ171" i="6" s="1"/>
  <c r="BT171" i="6"/>
  <c r="AP171" i="6"/>
  <c r="AQ171" i="6"/>
  <c r="BC171" i="6"/>
  <c r="BD171" i="6" s="1"/>
  <c r="BI171" i="6" s="1"/>
  <c r="BN171" i="6"/>
  <c r="AN171" i="6"/>
  <c r="BM171" i="6"/>
  <c r="AU171" i="6"/>
  <c r="AQ23" i="6"/>
  <c r="BC23" i="6"/>
  <c r="BD23" i="6" s="1"/>
  <c r="BI23" i="6" s="1"/>
  <c r="AS23" i="6"/>
  <c r="AP23" i="6"/>
  <c r="AI23" i="6"/>
  <c r="AJ23" i="6" s="1"/>
  <c r="BT23" i="6"/>
  <c r="BN23" i="6"/>
  <c r="BQ23" i="6" s="1"/>
  <c r="BR23" i="6" s="1"/>
  <c r="BM23" i="6"/>
  <c r="AU23" i="6"/>
  <c r="AN23" i="6"/>
  <c r="BT172" i="6"/>
  <c r="AQ172" i="6"/>
  <c r="BC172" i="6"/>
  <c r="BD172" i="6" s="1"/>
  <c r="BI172" i="6" s="1"/>
  <c r="AS172" i="6"/>
  <c r="AI172" i="6"/>
  <c r="AJ172" i="6" s="1"/>
  <c r="AP172" i="6"/>
  <c r="AN172" i="6"/>
  <c r="BN172" i="6"/>
  <c r="BQ172" i="6" s="1"/>
  <c r="BR172" i="6" s="1"/>
  <c r="BS172" i="6" s="1"/>
  <c r="BM172" i="6"/>
  <c r="AU172" i="6"/>
  <c r="AQ181" i="6"/>
  <c r="BT181" i="6"/>
  <c r="BC181" i="6"/>
  <c r="BD181" i="6" s="1"/>
  <c r="BI181" i="6" s="1"/>
  <c r="AI181" i="6"/>
  <c r="AJ181" i="6" s="1"/>
  <c r="AS181" i="6"/>
  <c r="AP181" i="6"/>
  <c r="BN181" i="6"/>
  <c r="BQ181" i="6" s="1"/>
  <c r="BR181" i="6" s="1"/>
  <c r="BM181" i="6"/>
  <c r="AU181" i="6"/>
  <c r="AN181" i="6"/>
  <c r="AI14" i="6"/>
  <c r="AJ14" i="6" s="1"/>
  <c r="BC14" i="6"/>
  <c r="BD14" i="6" s="1"/>
  <c r="BI14" i="6" s="1"/>
  <c r="AS14" i="6"/>
  <c r="AQ14" i="6"/>
  <c r="BT14" i="6"/>
  <c r="AP14" i="6"/>
  <c r="BN14" i="6"/>
  <c r="BM14" i="6"/>
  <c r="AU14" i="6"/>
  <c r="AN14" i="6"/>
  <c r="AR14" i="6" s="1"/>
  <c r="AQ9" i="7"/>
  <c r="AB129" i="6"/>
  <c r="AC129" i="6" s="1"/>
  <c r="AB127" i="6"/>
  <c r="AC127" i="6" s="1"/>
  <c r="AB136" i="6"/>
  <c r="AC136" i="6" s="1"/>
  <c r="AB159" i="6"/>
  <c r="AC159" i="6" s="1"/>
  <c r="AR25" i="6"/>
  <c r="AT25" i="6" s="1"/>
  <c r="AV25" i="6" s="1"/>
  <c r="AW25" i="6" s="1"/>
  <c r="BT10" i="6"/>
  <c r="BC10" i="6"/>
  <c r="BD10" i="6" s="1"/>
  <c r="BI10" i="6" s="1"/>
  <c r="AS10" i="6"/>
  <c r="AI10" i="6"/>
  <c r="AJ10" i="6" s="1"/>
  <c r="AQ10" i="6"/>
  <c r="AP10" i="6"/>
  <c r="BN10" i="6"/>
  <c r="BM10" i="6"/>
  <c r="AU10" i="6"/>
  <c r="AN10" i="6"/>
  <c r="BC82" i="6"/>
  <c r="BD82" i="6" s="1"/>
  <c r="BI82" i="6" s="1"/>
  <c r="BT82" i="6"/>
  <c r="AI82" i="6"/>
  <c r="AJ82" i="6" s="1"/>
  <c r="AQ82" i="6"/>
  <c r="AS82" i="6"/>
  <c r="AP82" i="6"/>
  <c r="AN82" i="6"/>
  <c r="AR82" i="6" s="1"/>
  <c r="BM82" i="6"/>
  <c r="BN82" i="6"/>
  <c r="BQ82" i="6" s="1"/>
  <c r="BR82" i="6" s="1"/>
  <c r="BS82" i="6" s="1"/>
  <c r="AU82" i="6"/>
  <c r="AB70" i="6"/>
  <c r="AC70" i="6" s="1"/>
  <c r="BP34" i="6"/>
  <c r="BO34" i="6"/>
  <c r="BC165" i="6"/>
  <c r="BD165" i="6" s="1"/>
  <c r="BI165" i="6" s="1"/>
  <c r="BT165" i="6"/>
  <c r="AI165" i="6"/>
  <c r="AJ165" i="6" s="1"/>
  <c r="AS165" i="6"/>
  <c r="AQ165" i="6"/>
  <c r="AP165" i="6"/>
  <c r="AU165" i="6"/>
  <c r="BM165" i="6"/>
  <c r="BN165" i="6"/>
  <c r="BQ165" i="6" s="1"/>
  <c r="BR165" i="6" s="1"/>
  <c r="BS165" i="6" s="1"/>
  <c r="AN165" i="6"/>
  <c r="AR165" i="6" s="1"/>
  <c r="AS182" i="6"/>
  <c r="BT182" i="6"/>
  <c r="BQ182" i="6"/>
  <c r="BR182" i="6" s="1"/>
  <c r="AQ182" i="6"/>
  <c r="AI182" i="6"/>
  <c r="AJ182" i="6" s="1"/>
  <c r="BC182" i="6"/>
  <c r="BD182" i="6" s="1"/>
  <c r="BI182" i="6" s="1"/>
  <c r="AP182" i="6"/>
  <c r="AU182" i="6"/>
  <c r="AN182" i="6"/>
  <c r="BM182" i="6"/>
  <c r="BN182" i="6"/>
  <c r="BT150" i="6"/>
  <c r="AI150" i="6"/>
  <c r="AJ150" i="6" s="1"/>
  <c r="BC150" i="6"/>
  <c r="BD150" i="6" s="1"/>
  <c r="BI150" i="6" s="1"/>
  <c r="AS150" i="6"/>
  <c r="AP150" i="6"/>
  <c r="AQ150" i="6"/>
  <c r="BM150" i="6"/>
  <c r="BN150" i="6"/>
  <c r="AN150" i="6"/>
  <c r="AR150" i="6" s="1"/>
  <c r="AU150" i="6"/>
  <c r="AI188" i="6"/>
  <c r="AJ188" i="6" s="1"/>
  <c r="BC188" i="6"/>
  <c r="BD188" i="6" s="1"/>
  <c r="BI188" i="6" s="1"/>
  <c r="AS188" i="6"/>
  <c r="AQ188" i="6"/>
  <c r="BQ188" i="6"/>
  <c r="BR188" i="6" s="1"/>
  <c r="BS188" i="6" s="1"/>
  <c r="BT188" i="6"/>
  <c r="AP188" i="6"/>
  <c r="BM188" i="6"/>
  <c r="AN188" i="6"/>
  <c r="BN188" i="6"/>
  <c r="AU188" i="6"/>
  <c r="BH178" i="6"/>
  <c r="BG178" i="6"/>
  <c r="AD178" i="6"/>
  <c r="AI110" i="6"/>
  <c r="AJ110" i="6" s="1"/>
  <c r="BT110" i="6"/>
  <c r="AQ110" i="6"/>
  <c r="BC110" i="6"/>
  <c r="BD110" i="6" s="1"/>
  <c r="BI110" i="6" s="1"/>
  <c r="AS110" i="6"/>
  <c r="AP110" i="6"/>
  <c r="AU110" i="6"/>
  <c r="BM110" i="6"/>
  <c r="BN110" i="6"/>
  <c r="BQ110" i="6" s="1"/>
  <c r="BR110" i="6" s="1"/>
  <c r="BS110" i="6" s="1"/>
  <c r="AN110" i="6"/>
  <c r="AI33" i="6"/>
  <c r="AJ33" i="6" s="1"/>
  <c r="BC33" i="6"/>
  <c r="BD33" i="6" s="1"/>
  <c r="BI33" i="6" s="1"/>
  <c r="BT33" i="6"/>
  <c r="AS33" i="6"/>
  <c r="AQ33" i="6"/>
  <c r="AP33" i="6"/>
  <c r="BM33" i="6"/>
  <c r="BN33" i="6"/>
  <c r="BQ33" i="6" s="1"/>
  <c r="BR33" i="6" s="1"/>
  <c r="AN33" i="6"/>
  <c r="AU33" i="6"/>
  <c r="AI206" i="6"/>
  <c r="AJ206" i="6" s="1"/>
  <c r="BT206" i="6"/>
  <c r="AS206" i="6"/>
  <c r="AQ206" i="6"/>
  <c r="BC206" i="6"/>
  <c r="BD206" i="6" s="1"/>
  <c r="BI206" i="6" s="1"/>
  <c r="AP206" i="6"/>
  <c r="AU206" i="6"/>
  <c r="BN206" i="6"/>
  <c r="BQ206" i="6" s="1"/>
  <c r="BR206" i="6" s="1"/>
  <c r="BS206" i="6" s="1"/>
  <c r="AN206" i="6"/>
  <c r="BM206" i="6"/>
  <c r="AB134" i="6"/>
  <c r="AC134" i="6" s="1"/>
  <c r="AI175" i="6"/>
  <c r="AJ175" i="6" s="1"/>
  <c r="BC175" i="6"/>
  <c r="BD175" i="6" s="1"/>
  <c r="BI175" i="6" s="1"/>
  <c r="AQ175" i="6"/>
  <c r="AS175" i="6"/>
  <c r="AP175" i="6"/>
  <c r="BT175" i="6"/>
  <c r="AU175" i="6"/>
  <c r="AN175" i="6"/>
  <c r="AR175" i="6" s="1"/>
  <c r="BM175" i="6"/>
  <c r="BN175" i="6"/>
  <c r="BQ175" i="6" s="1"/>
  <c r="BR175" i="6" s="1"/>
  <c r="BS175" i="6" s="1"/>
  <c r="BQ145" i="6"/>
  <c r="BR145" i="6" s="1"/>
  <c r="BS145" i="6" s="1"/>
  <c r="AQ145" i="6"/>
  <c r="AS145" i="6"/>
  <c r="BT145" i="6"/>
  <c r="BC145" i="6"/>
  <c r="BD145" i="6" s="1"/>
  <c r="BI145" i="6" s="1"/>
  <c r="AI145" i="6"/>
  <c r="AJ145" i="6" s="1"/>
  <c r="AP145" i="6"/>
  <c r="AU145" i="6"/>
  <c r="AN145" i="6"/>
  <c r="BN145" i="6"/>
  <c r="BM145" i="6"/>
  <c r="BH169" i="6"/>
  <c r="BG169" i="6"/>
  <c r="AD169" i="6"/>
  <c r="AE169" i="6" s="1"/>
  <c r="BO27" i="6"/>
  <c r="BP27" i="6"/>
  <c r="BP44" i="6"/>
  <c r="BO44" i="6"/>
  <c r="BC36" i="6"/>
  <c r="BD36" i="6" s="1"/>
  <c r="BI36" i="6" s="1"/>
  <c r="BT36" i="6"/>
  <c r="AS36" i="6"/>
  <c r="AI36" i="6"/>
  <c r="AJ36" i="6" s="1"/>
  <c r="AQ36" i="6"/>
  <c r="AP36" i="6"/>
  <c r="AU36" i="6"/>
  <c r="BN36" i="6"/>
  <c r="BM36" i="6"/>
  <c r="AN36" i="6"/>
  <c r="BC26" i="6"/>
  <c r="BD26" i="6" s="1"/>
  <c r="BI26" i="6" s="1"/>
  <c r="BT26" i="6"/>
  <c r="AS26" i="6"/>
  <c r="AQ26" i="6"/>
  <c r="AI26" i="6"/>
  <c r="AJ26" i="6" s="1"/>
  <c r="AP26" i="6"/>
  <c r="BM26" i="6"/>
  <c r="BN26" i="6"/>
  <c r="AU26" i="6"/>
  <c r="AN26" i="6"/>
  <c r="AE171" i="6"/>
  <c r="AE187" i="6"/>
  <c r="BQ34" i="6"/>
  <c r="BR34" i="6" s="1"/>
  <c r="BS34" i="6" s="1"/>
  <c r="BT85" i="6"/>
  <c r="AI85" i="6"/>
  <c r="AJ85" i="6" s="1"/>
  <c r="BC85" i="6"/>
  <c r="BD85" i="6" s="1"/>
  <c r="BI85" i="6" s="1"/>
  <c r="AQ85" i="6"/>
  <c r="AS85" i="6"/>
  <c r="AP85" i="6"/>
  <c r="BM85" i="6"/>
  <c r="BN85" i="6"/>
  <c r="BQ85" i="6" s="1"/>
  <c r="BR85" i="6" s="1"/>
  <c r="AU85" i="6"/>
  <c r="AN85" i="6"/>
  <c r="AP40" i="6"/>
  <c r="AI40" i="6"/>
  <c r="AJ40" i="6" s="1"/>
  <c r="BT40" i="6"/>
  <c r="AS40" i="6"/>
  <c r="BC40" i="6"/>
  <c r="BD40" i="6" s="1"/>
  <c r="BI40" i="6" s="1"/>
  <c r="AQ40" i="6"/>
  <c r="AU40" i="6"/>
  <c r="AN40" i="6"/>
  <c r="BM40" i="6"/>
  <c r="BN40" i="6"/>
  <c r="BQ40" i="6" s="1"/>
  <c r="BR40" i="6" s="1"/>
  <c r="BS40" i="6" s="1"/>
  <c r="AT27" i="6"/>
  <c r="AV27" i="6" s="1"/>
  <c r="AW27" i="6" s="1"/>
  <c r="AB211" i="6"/>
  <c r="AC211" i="6" s="1"/>
  <c r="BT106" i="6"/>
  <c r="AS106" i="6"/>
  <c r="AQ106" i="6"/>
  <c r="AP106" i="6"/>
  <c r="BC106" i="6"/>
  <c r="BD106" i="6" s="1"/>
  <c r="BI106" i="6" s="1"/>
  <c r="AI106" i="6"/>
  <c r="AJ106" i="6" s="1"/>
  <c r="AU106" i="6"/>
  <c r="BN106" i="6"/>
  <c r="BQ106" i="6" s="1"/>
  <c r="BR106" i="6" s="1"/>
  <c r="BM106" i="6"/>
  <c r="AN106" i="6"/>
  <c r="AQ141" i="6"/>
  <c r="AI141" i="6"/>
  <c r="AJ141" i="6" s="1"/>
  <c r="BC141" i="6"/>
  <c r="BD141" i="6" s="1"/>
  <c r="BI141" i="6" s="1"/>
  <c r="AP141" i="6"/>
  <c r="BT141" i="6"/>
  <c r="AS141" i="6"/>
  <c r="BN141" i="6"/>
  <c r="AU141" i="6"/>
  <c r="BM141" i="6"/>
  <c r="AN141" i="6"/>
  <c r="AR141" i="6" s="1"/>
  <c r="AE117" i="6"/>
  <c r="AI122" i="6"/>
  <c r="AJ122" i="6" s="1"/>
  <c r="BQ122" i="6"/>
  <c r="BR122" i="6" s="1"/>
  <c r="AS122" i="6"/>
  <c r="AQ122" i="6"/>
  <c r="BT122" i="6"/>
  <c r="AP122" i="6"/>
  <c r="BC122" i="6"/>
  <c r="BD122" i="6" s="1"/>
  <c r="BI122" i="6" s="1"/>
  <c r="BN122" i="6"/>
  <c r="BM122" i="6"/>
  <c r="AN122" i="6"/>
  <c r="AU122" i="6"/>
  <c r="AE26" i="6"/>
  <c r="AQ5" i="7"/>
  <c r="AB21" i="6"/>
  <c r="AC21" i="6" s="1"/>
  <c r="AB17" i="6"/>
  <c r="AC17" i="6" s="1"/>
  <c r="AB42" i="6"/>
  <c r="AC42" i="6" s="1"/>
  <c r="AB30" i="6"/>
  <c r="AC30" i="6" s="1"/>
  <c r="AB19" i="6"/>
  <c r="AC19" i="6" s="1"/>
  <c r="AB20" i="6"/>
  <c r="AC20" i="6" s="1"/>
  <c r="BQ72" i="6"/>
  <c r="BR72" i="6" s="1"/>
  <c r="BT72" i="6"/>
  <c r="AS72" i="6"/>
  <c r="AQ72" i="6"/>
  <c r="AI72" i="6"/>
  <c r="AJ72" i="6" s="1"/>
  <c r="BC72" i="6"/>
  <c r="BD72" i="6" s="1"/>
  <c r="BI72" i="6" s="1"/>
  <c r="AP72" i="6"/>
  <c r="AU72" i="6"/>
  <c r="AN72" i="6"/>
  <c r="BM72" i="6"/>
  <c r="BN72" i="6"/>
  <c r="AQ59" i="6"/>
  <c r="AI59" i="6"/>
  <c r="AJ59" i="6" s="1"/>
  <c r="BC59" i="6"/>
  <c r="BD59" i="6" s="1"/>
  <c r="BI59" i="6" s="1"/>
  <c r="AS59" i="6"/>
  <c r="BT59" i="6"/>
  <c r="AP59" i="6"/>
  <c r="BM59" i="6"/>
  <c r="BN59" i="6"/>
  <c r="AU59" i="6"/>
  <c r="AN59" i="6"/>
  <c r="AI125" i="6"/>
  <c r="AJ125" i="6" s="1"/>
  <c r="AQ125" i="6"/>
  <c r="AS125" i="6"/>
  <c r="AP125" i="6"/>
  <c r="BT125" i="6"/>
  <c r="BC125" i="6"/>
  <c r="BD125" i="6" s="1"/>
  <c r="BI125" i="6" s="1"/>
  <c r="AN125" i="6"/>
  <c r="BN125" i="6"/>
  <c r="AU125" i="6"/>
  <c r="BM125" i="6"/>
  <c r="BT149" i="6"/>
  <c r="AS149" i="6"/>
  <c r="AI149" i="6"/>
  <c r="AJ149" i="6" s="1"/>
  <c r="BC149" i="6"/>
  <c r="BD149" i="6" s="1"/>
  <c r="BI149" i="6" s="1"/>
  <c r="AQ149" i="6"/>
  <c r="AP149" i="6"/>
  <c r="BN149" i="6"/>
  <c r="BQ149" i="6" s="1"/>
  <c r="BR149" i="6" s="1"/>
  <c r="BS149" i="6" s="1"/>
  <c r="AU149" i="6"/>
  <c r="BM149" i="6"/>
  <c r="AN149" i="6"/>
  <c r="AR149" i="6" s="1"/>
  <c r="AE40" i="6"/>
  <c r="BT108" i="6"/>
  <c r="BC108" i="6"/>
  <c r="BD108" i="6" s="1"/>
  <c r="BI108" i="6" s="1"/>
  <c r="AQ108" i="6"/>
  <c r="AS108" i="6"/>
  <c r="AI108" i="6"/>
  <c r="AJ108" i="6" s="1"/>
  <c r="AP108" i="6"/>
  <c r="AU108" i="6"/>
  <c r="BN108" i="6"/>
  <c r="BQ108" i="6" s="1"/>
  <c r="BR108" i="6" s="1"/>
  <c r="BS108" i="6" s="1"/>
  <c r="BM108" i="6"/>
  <c r="AN108" i="6"/>
  <c r="AR108" i="6" s="1"/>
  <c r="AQ48" i="6"/>
  <c r="AI48" i="6"/>
  <c r="AJ48" i="6" s="1"/>
  <c r="AS48" i="6"/>
  <c r="BC48" i="6"/>
  <c r="BD48" i="6" s="1"/>
  <c r="BI48" i="6" s="1"/>
  <c r="BT48" i="6"/>
  <c r="AP48" i="6"/>
  <c r="BN48" i="6"/>
  <c r="BM48" i="6"/>
  <c r="AN48" i="6"/>
  <c r="AR48" i="6" s="1"/>
  <c r="AU48" i="6"/>
  <c r="AI207" i="6"/>
  <c r="AJ207" i="6" s="1"/>
  <c r="BC207" i="6"/>
  <c r="BD207" i="6" s="1"/>
  <c r="BI207" i="6" s="1"/>
  <c r="AQ207" i="6"/>
  <c r="AS207" i="6"/>
  <c r="BT207" i="6"/>
  <c r="AP207" i="6"/>
  <c r="BM207" i="6"/>
  <c r="AU207" i="6"/>
  <c r="BN207" i="6"/>
  <c r="AN207" i="6"/>
  <c r="BP13" i="6"/>
  <c r="BO13" i="6"/>
  <c r="BC151" i="6"/>
  <c r="BD151" i="6" s="1"/>
  <c r="BI151" i="6" s="1"/>
  <c r="BT151" i="6"/>
  <c r="AQ151" i="6"/>
  <c r="AS151" i="6"/>
  <c r="AP151" i="6"/>
  <c r="AI151" i="6"/>
  <c r="AJ151" i="6" s="1"/>
  <c r="AN151" i="6"/>
  <c r="AR151" i="6" s="1"/>
  <c r="AU151" i="6"/>
  <c r="BM151" i="6"/>
  <c r="BN151" i="6"/>
  <c r="BQ151" i="6" s="1"/>
  <c r="BR151" i="6" s="1"/>
  <c r="BS151" i="6" s="1"/>
  <c r="AE175" i="6"/>
  <c r="BT168" i="6"/>
  <c r="AI168" i="6"/>
  <c r="AJ168" i="6" s="1"/>
  <c r="AQ168" i="6"/>
  <c r="BC168" i="6"/>
  <c r="BD168" i="6" s="1"/>
  <c r="BI168" i="6" s="1"/>
  <c r="AS168" i="6"/>
  <c r="AP168" i="6"/>
  <c r="BN168" i="6"/>
  <c r="BQ168" i="6" s="1"/>
  <c r="BR168" i="6" s="1"/>
  <c r="BS168" i="6" s="1"/>
  <c r="BM168" i="6"/>
  <c r="AU168" i="6"/>
  <c r="AN168" i="6"/>
  <c r="AR168" i="6" s="1"/>
  <c r="AI200" i="6"/>
  <c r="AJ200" i="6" s="1"/>
  <c r="BT200" i="6"/>
  <c r="AS200" i="6"/>
  <c r="BC200" i="6"/>
  <c r="BD200" i="6" s="1"/>
  <c r="BI200" i="6" s="1"/>
  <c r="AQ200" i="6"/>
  <c r="AP200" i="6"/>
  <c r="BM200" i="6"/>
  <c r="BN200" i="6"/>
  <c r="BQ200" i="6" s="1"/>
  <c r="BR200" i="6" s="1"/>
  <c r="BS200" i="6" s="1"/>
  <c r="AN200" i="6"/>
  <c r="AU200" i="6"/>
  <c r="AE36" i="6"/>
  <c r="AQ133" i="6"/>
  <c r="BC133" i="6"/>
  <c r="BD133" i="6" s="1"/>
  <c r="BI133" i="6" s="1"/>
  <c r="BT133" i="6"/>
  <c r="AS133" i="6"/>
  <c r="AI133" i="6"/>
  <c r="AJ133" i="6" s="1"/>
  <c r="AP133" i="6"/>
  <c r="AU133" i="6"/>
  <c r="BM133" i="6"/>
  <c r="BN133" i="6"/>
  <c r="BQ133" i="6" s="1"/>
  <c r="BR133" i="6" s="1"/>
  <c r="BS133" i="6" s="1"/>
  <c r="AN133" i="6"/>
  <c r="AQ163" i="6"/>
  <c r="AS163" i="6"/>
  <c r="BT163" i="6"/>
  <c r="BC163" i="6"/>
  <c r="BD163" i="6" s="1"/>
  <c r="BI163" i="6" s="1"/>
  <c r="AI163" i="6"/>
  <c r="AJ163" i="6" s="1"/>
  <c r="AP163" i="6"/>
  <c r="AU163" i="6"/>
  <c r="BM163" i="6"/>
  <c r="BN163" i="6"/>
  <c r="BQ163" i="6" s="1"/>
  <c r="BR163" i="6" s="1"/>
  <c r="BS163" i="6" s="1"/>
  <c r="AN163" i="6"/>
  <c r="BC111" i="6"/>
  <c r="BD111" i="6" s="1"/>
  <c r="BI111" i="6" s="1"/>
  <c r="BQ111" i="6"/>
  <c r="BR111" i="6" s="1"/>
  <c r="BS111" i="6" s="1"/>
  <c r="AS111" i="6"/>
  <c r="AQ111" i="6"/>
  <c r="AI111" i="6"/>
  <c r="AJ111" i="6" s="1"/>
  <c r="BT111" i="6"/>
  <c r="AP111" i="6"/>
  <c r="AN111" i="6"/>
  <c r="AR111" i="6" s="1"/>
  <c r="BM111" i="6"/>
  <c r="AU111" i="6"/>
  <c r="BN111" i="6"/>
  <c r="BC7" i="6"/>
  <c r="BD7" i="6" s="1"/>
  <c r="BI7" i="6" s="1"/>
  <c r="AS7" i="6"/>
  <c r="AQ7" i="6"/>
  <c r="AP7" i="6"/>
  <c r="BT7" i="6"/>
  <c r="AI7" i="6"/>
  <c r="AJ7" i="6" s="1"/>
  <c r="BN7" i="6"/>
  <c r="BQ7" i="6" s="1"/>
  <c r="BR7" i="6" s="1"/>
  <c r="BM7" i="6"/>
  <c r="AU7" i="6"/>
  <c r="AN7" i="6"/>
  <c r="AR7" i="6" s="1"/>
  <c r="BT208" i="6"/>
  <c r="AQ208" i="6"/>
  <c r="AP208" i="6"/>
  <c r="AI208" i="6"/>
  <c r="AJ208" i="6" s="1"/>
  <c r="AS208" i="6"/>
  <c r="BC208" i="6"/>
  <c r="BD208" i="6" s="1"/>
  <c r="BI208" i="6" s="1"/>
  <c r="BM208" i="6"/>
  <c r="BN208" i="6"/>
  <c r="BQ208" i="6" s="1"/>
  <c r="BR208" i="6" s="1"/>
  <c r="BS208" i="6" s="1"/>
  <c r="AU208" i="6"/>
  <c r="AN208" i="6"/>
  <c r="AE165" i="6"/>
  <c r="AE85" i="6"/>
  <c r="AB64" i="6"/>
  <c r="AC64" i="6" s="1"/>
  <c r="BT29" i="6"/>
  <c r="BC29" i="6"/>
  <c r="BD29" i="6" s="1"/>
  <c r="BI29" i="6" s="1"/>
  <c r="BQ29" i="6"/>
  <c r="BR29" i="6" s="1"/>
  <c r="BS29" i="6" s="1"/>
  <c r="AS29" i="6"/>
  <c r="AQ29" i="6"/>
  <c r="AI29" i="6"/>
  <c r="AJ29" i="6" s="1"/>
  <c r="AP29" i="6"/>
  <c r="AN29" i="6"/>
  <c r="AU29" i="6"/>
  <c r="BN29" i="6"/>
  <c r="BM29" i="6"/>
  <c r="AQ186" i="6"/>
  <c r="BT186" i="6"/>
  <c r="AS186" i="6"/>
  <c r="AI186" i="6"/>
  <c r="AJ186" i="6" s="1"/>
  <c r="BC186" i="6"/>
  <c r="BD186" i="6" s="1"/>
  <c r="BI186" i="6" s="1"/>
  <c r="AP186" i="6"/>
  <c r="BM186" i="6"/>
  <c r="BN186" i="6"/>
  <c r="AU186" i="6"/>
  <c r="AN186" i="6"/>
  <c r="AR186" i="6" s="1"/>
  <c r="AQ45" i="6"/>
  <c r="BQ45" i="6"/>
  <c r="BR45" i="6" s="1"/>
  <c r="AS45" i="6"/>
  <c r="AI45" i="6"/>
  <c r="AJ45" i="6" s="1"/>
  <c r="BT45" i="6"/>
  <c r="BC45" i="6"/>
  <c r="BD45" i="6" s="1"/>
  <c r="BI45" i="6" s="1"/>
  <c r="AP45" i="6"/>
  <c r="BM45" i="6"/>
  <c r="BN45" i="6"/>
  <c r="AN45" i="6"/>
  <c r="AU45" i="6"/>
  <c r="BT116" i="6"/>
  <c r="BC116" i="6"/>
  <c r="BD116" i="6" s="1"/>
  <c r="BI116" i="6" s="1"/>
  <c r="AI116" i="6"/>
  <c r="AJ116" i="6" s="1"/>
  <c r="AP116" i="6"/>
  <c r="AS116" i="6"/>
  <c r="AQ116" i="6"/>
  <c r="BN116" i="6"/>
  <c r="BQ116" i="6" s="1"/>
  <c r="BR116" i="6" s="1"/>
  <c r="BS116" i="6" s="1"/>
  <c r="BM116" i="6"/>
  <c r="AU116" i="6"/>
  <c r="AN116" i="6"/>
  <c r="AR116" i="6" s="1"/>
  <c r="BG177" i="6"/>
  <c r="BH177" i="6"/>
  <c r="AD177" i="6"/>
  <c r="AE177" i="6" s="1"/>
  <c r="BH161" i="6"/>
  <c r="BG161" i="6"/>
  <c r="AD161" i="6"/>
  <c r="AE161" i="6" s="1"/>
  <c r="AQ147" i="6"/>
  <c r="BC147" i="6"/>
  <c r="BD147" i="6" s="1"/>
  <c r="BI147" i="6" s="1"/>
  <c r="AS147" i="6"/>
  <c r="BT147" i="6"/>
  <c r="AP147" i="6"/>
  <c r="AI147" i="6"/>
  <c r="AJ147" i="6" s="1"/>
  <c r="BM147" i="6"/>
  <c r="AU147" i="6"/>
  <c r="BN147" i="6"/>
  <c r="BQ147" i="6" s="1"/>
  <c r="BR147" i="6" s="1"/>
  <c r="AN147" i="6"/>
  <c r="BT8" i="6"/>
  <c r="AS8" i="6"/>
  <c r="BC8" i="6"/>
  <c r="BD8" i="6" s="1"/>
  <c r="BI8" i="6" s="1"/>
  <c r="AQ8" i="6"/>
  <c r="AI8" i="6"/>
  <c r="AJ8" i="6" s="1"/>
  <c r="AP8" i="6"/>
  <c r="BM8" i="6"/>
  <c r="AU8" i="6"/>
  <c r="BN8" i="6"/>
  <c r="BQ8" i="6" s="1"/>
  <c r="BR8" i="6" s="1"/>
  <c r="BS8" i="6" s="1"/>
  <c r="AN8" i="6"/>
  <c r="AR8" i="6" s="1"/>
  <c r="AQ197" i="6"/>
  <c r="AS197" i="6"/>
  <c r="BT197" i="6"/>
  <c r="AI197" i="6"/>
  <c r="AJ197" i="6" s="1"/>
  <c r="BC197" i="6"/>
  <c r="BD197" i="6" s="1"/>
  <c r="BI197" i="6" s="1"/>
  <c r="AP197" i="6"/>
  <c r="BN197" i="6"/>
  <c r="BQ197" i="6" s="1"/>
  <c r="BR197" i="6" s="1"/>
  <c r="BM197" i="6"/>
  <c r="AU197" i="6"/>
  <c r="AN197" i="6"/>
  <c r="AS119" i="6"/>
  <c r="BT119" i="6"/>
  <c r="AQ119" i="6"/>
  <c r="AP119" i="6"/>
  <c r="AI119" i="6"/>
  <c r="AJ119" i="6" s="1"/>
  <c r="BC119" i="6"/>
  <c r="BD119" i="6" s="1"/>
  <c r="BI119" i="6" s="1"/>
  <c r="AN119" i="6"/>
  <c r="AR119" i="6" s="1"/>
  <c r="AU119" i="6"/>
  <c r="BN119" i="6"/>
  <c r="BQ119" i="6" s="1"/>
  <c r="BR119" i="6" s="1"/>
  <c r="BS119" i="6" s="1"/>
  <c r="BM119" i="6"/>
  <c r="AI63" i="6"/>
  <c r="AJ63" i="6" s="1"/>
  <c r="AS63" i="6"/>
  <c r="AQ63" i="6"/>
  <c r="BT63" i="6"/>
  <c r="BC63" i="6"/>
  <c r="BD63" i="6" s="1"/>
  <c r="BI63" i="6" s="1"/>
  <c r="BQ63" i="6"/>
  <c r="BR63" i="6" s="1"/>
  <c r="BS63" i="6" s="1"/>
  <c r="AP63" i="6"/>
  <c r="BN63" i="6"/>
  <c r="BM63" i="6"/>
  <c r="AU63" i="6"/>
  <c r="AN63" i="6"/>
  <c r="AE133" i="6"/>
  <c r="AT18" i="6"/>
  <c r="AV18" i="6" s="1"/>
  <c r="AW18" i="6" s="1"/>
  <c r="AE111" i="6"/>
  <c r="AS153" i="6"/>
  <c r="AT153" i="6" s="1"/>
  <c r="BC153" i="6"/>
  <c r="BD153" i="6" s="1"/>
  <c r="BI153" i="6" s="1"/>
  <c r="BT153" i="6"/>
  <c r="AQ153" i="6"/>
  <c r="AI153" i="6"/>
  <c r="AJ153" i="6" s="1"/>
  <c r="AP153" i="6"/>
  <c r="AU153" i="6"/>
  <c r="BN153" i="6"/>
  <c r="BQ153" i="6" s="1"/>
  <c r="BR153" i="6" s="1"/>
  <c r="BS153" i="6" s="1"/>
  <c r="BM153" i="6"/>
  <c r="AN153" i="6"/>
  <c r="BC164" i="6"/>
  <c r="BD164" i="6" s="1"/>
  <c r="BI164" i="6" s="1"/>
  <c r="AI164" i="6"/>
  <c r="AJ164" i="6" s="1"/>
  <c r="BQ164" i="6"/>
  <c r="BR164" i="6" s="1"/>
  <c r="BT164" i="6"/>
  <c r="AS164" i="6"/>
  <c r="AQ164" i="6"/>
  <c r="AP164" i="6"/>
  <c r="BM164" i="6"/>
  <c r="BN164" i="6"/>
  <c r="AU164" i="6"/>
  <c r="AN164" i="6"/>
  <c r="AS83" i="6"/>
  <c r="AQ83" i="6"/>
  <c r="AI83" i="6"/>
  <c r="AJ83" i="6" s="1"/>
  <c r="BT83" i="6"/>
  <c r="BC83" i="6"/>
  <c r="BD83" i="6" s="1"/>
  <c r="BI83" i="6" s="1"/>
  <c r="AP83" i="6"/>
  <c r="AN83" i="6"/>
  <c r="AR83" i="6" s="1"/>
  <c r="AU83" i="6"/>
  <c r="BM83" i="6"/>
  <c r="BN83" i="6"/>
  <c r="BQ83" i="6" s="1"/>
  <c r="BR83" i="6" s="1"/>
  <c r="AE208" i="6"/>
  <c r="AR12" i="6"/>
  <c r="AT12" i="6" s="1"/>
  <c r="AV12" i="6" s="1"/>
  <c r="AW12" i="6" s="1"/>
  <c r="AS156" i="6"/>
  <c r="BT156" i="6"/>
  <c r="AQ156" i="6"/>
  <c r="AP156" i="6"/>
  <c r="BC156" i="6"/>
  <c r="BD156" i="6" s="1"/>
  <c r="BI156" i="6" s="1"/>
  <c r="AI156" i="6"/>
  <c r="AJ156" i="6" s="1"/>
  <c r="AN156" i="6"/>
  <c r="AR156" i="6" s="1"/>
  <c r="AU156" i="6"/>
  <c r="BM156" i="6"/>
  <c r="BN156" i="6"/>
  <c r="AE23" i="6"/>
  <c r="AT89" i="6"/>
  <c r="AV89" i="6" s="1"/>
  <c r="AW89" i="6" s="1"/>
  <c r="AT34" i="6"/>
  <c r="AV34" i="6" s="1"/>
  <c r="AW34" i="6" s="1"/>
  <c r="AT13" i="6"/>
  <c r="AV13" i="6" s="1"/>
  <c r="AW13" i="6" s="1"/>
  <c r="AR35" i="6"/>
  <c r="AT35" i="6" s="1"/>
  <c r="AV35" i="6" s="1"/>
  <c r="AW35" i="6" s="1"/>
  <c r="BG88" i="6"/>
  <c r="BH88" i="6"/>
  <c r="AD88" i="6"/>
  <c r="AE88" i="6" s="1"/>
  <c r="BH193" i="6"/>
  <c r="BG193" i="6"/>
  <c r="AD193" i="6"/>
  <c r="AQ210" i="6"/>
  <c r="AI210" i="6"/>
  <c r="AJ210" i="6" s="1"/>
  <c r="BC210" i="6"/>
  <c r="BD210" i="6" s="1"/>
  <c r="BI210" i="6" s="1"/>
  <c r="BT210" i="6"/>
  <c r="AS210" i="6"/>
  <c r="AP210" i="6"/>
  <c r="BM210" i="6"/>
  <c r="BN210" i="6"/>
  <c r="BQ210" i="6" s="1"/>
  <c r="BR210" i="6" s="1"/>
  <c r="BS210" i="6" s="1"/>
  <c r="AU210" i="6"/>
  <c r="AN210" i="6"/>
  <c r="BG203" i="6"/>
  <c r="BH203" i="6"/>
  <c r="AE203" i="6"/>
  <c r="AD203" i="6"/>
  <c r="AE100" i="6"/>
  <c r="AI95" i="6"/>
  <c r="AJ95" i="6" s="1"/>
  <c r="AQ95" i="6"/>
  <c r="BT95" i="6"/>
  <c r="AP95" i="6"/>
  <c r="AS95" i="6"/>
  <c r="BC95" i="6"/>
  <c r="BD95" i="6" s="1"/>
  <c r="BI95" i="6" s="1"/>
  <c r="BM95" i="6"/>
  <c r="BN95" i="6"/>
  <c r="BQ95" i="6" s="1"/>
  <c r="BR95" i="6" s="1"/>
  <c r="AU95" i="6"/>
  <c r="AN95" i="6"/>
  <c r="BC115" i="6"/>
  <c r="BD115" i="6" s="1"/>
  <c r="BI115" i="6" s="1"/>
  <c r="AS115" i="6"/>
  <c r="BT115" i="6"/>
  <c r="AI115" i="6"/>
  <c r="AJ115" i="6" s="1"/>
  <c r="AQ115" i="6"/>
  <c r="AP115" i="6"/>
  <c r="BM115" i="6"/>
  <c r="BN115" i="6"/>
  <c r="BQ115" i="6" s="1"/>
  <c r="BR115" i="6" s="1"/>
  <c r="BS115" i="6" s="1"/>
  <c r="AU115" i="6"/>
  <c r="AN115" i="6"/>
  <c r="AR115" i="6" s="1"/>
  <c r="BT180" i="6"/>
  <c r="BC180" i="6"/>
  <c r="BD180" i="6" s="1"/>
  <c r="BI180" i="6" s="1"/>
  <c r="AS180" i="6"/>
  <c r="AI180" i="6"/>
  <c r="AJ180" i="6" s="1"/>
  <c r="AQ180" i="6"/>
  <c r="AP180" i="6"/>
  <c r="AN180" i="6"/>
  <c r="AR180" i="6" s="1"/>
  <c r="BN180" i="6"/>
  <c r="BM180" i="6"/>
  <c r="AU180" i="6"/>
  <c r="BO38" i="6"/>
  <c r="BP38" i="6"/>
  <c r="AQ140" i="6"/>
  <c r="BT140" i="6"/>
  <c r="AI140" i="6"/>
  <c r="AJ140" i="6" s="1"/>
  <c r="BC140" i="6"/>
  <c r="BD140" i="6" s="1"/>
  <c r="BI140" i="6" s="1"/>
  <c r="AS140" i="6"/>
  <c r="AP140" i="6"/>
  <c r="AU140" i="6"/>
  <c r="BM140" i="6"/>
  <c r="BN140" i="6"/>
  <c r="BQ140" i="6" s="1"/>
  <c r="BR140" i="6" s="1"/>
  <c r="BS140" i="6" s="1"/>
  <c r="AN140" i="6"/>
  <c r="AR140" i="6" s="1"/>
  <c r="AI62" i="6"/>
  <c r="AJ62" i="6" s="1"/>
  <c r="BC62" i="6"/>
  <c r="BD62" i="6" s="1"/>
  <c r="BI62" i="6" s="1"/>
  <c r="AS62" i="6"/>
  <c r="BT62" i="6"/>
  <c r="BQ62" i="6"/>
  <c r="BR62" i="6" s="1"/>
  <c r="BS62" i="6" s="1"/>
  <c r="AQ62" i="6"/>
  <c r="AP62" i="6"/>
  <c r="BN62" i="6"/>
  <c r="BM62" i="6"/>
  <c r="AU62" i="6"/>
  <c r="AN62" i="6"/>
  <c r="AI192" i="6"/>
  <c r="AJ192" i="6" s="1"/>
  <c r="BC192" i="6"/>
  <c r="BD192" i="6" s="1"/>
  <c r="BI192" i="6" s="1"/>
  <c r="AS192" i="6"/>
  <c r="AQ192" i="6"/>
  <c r="BT192" i="6"/>
  <c r="AP192" i="6"/>
  <c r="AN192" i="6"/>
  <c r="BM192" i="6"/>
  <c r="AU192" i="6"/>
  <c r="BN192" i="6"/>
  <c r="AE168" i="6"/>
  <c r="AI55" i="6"/>
  <c r="AJ55" i="6" s="1"/>
  <c r="BQ55" i="6"/>
  <c r="BR55" i="6" s="1"/>
  <c r="AQ55" i="6"/>
  <c r="BC55" i="6"/>
  <c r="BD55" i="6" s="1"/>
  <c r="BI55" i="6" s="1"/>
  <c r="AS55" i="6"/>
  <c r="BT55" i="6"/>
  <c r="AP55" i="6"/>
  <c r="BM55" i="6"/>
  <c r="BN55" i="6"/>
  <c r="AU55" i="6"/>
  <c r="AN55" i="6"/>
  <c r="AQ155" i="6"/>
  <c r="BC155" i="6"/>
  <c r="BD155" i="6" s="1"/>
  <c r="BI155" i="6" s="1"/>
  <c r="AI155" i="6"/>
  <c r="AJ155" i="6" s="1"/>
  <c r="AS155" i="6"/>
  <c r="BT155" i="6"/>
  <c r="AP155" i="6"/>
  <c r="BM155" i="6"/>
  <c r="BN155" i="6"/>
  <c r="BQ155" i="6" s="1"/>
  <c r="BR155" i="6" s="1"/>
  <c r="BS155" i="6" s="1"/>
  <c r="AU155" i="6"/>
  <c r="AN155" i="6"/>
  <c r="BH146" i="6"/>
  <c r="BG146" i="6"/>
  <c r="AD146" i="6"/>
  <c r="AE146" i="6" s="1"/>
  <c r="AI103" i="6"/>
  <c r="AJ103" i="6" s="1"/>
  <c r="BC103" i="6"/>
  <c r="BD103" i="6" s="1"/>
  <c r="BI103" i="6" s="1"/>
  <c r="BT103" i="6"/>
  <c r="AQ103" i="6"/>
  <c r="AS103" i="6"/>
  <c r="AP103" i="6"/>
  <c r="AU103" i="6"/>
  <c r="BN103" i="6"/>
  <c r="BQ103" i="6" s="1"/>
  <c r="BR103" i="6" s="1"/>
  <c r="BM103" i="6"/>
  <c r="AN103" i="6"/>
  <c r="AP101" i="6"/>
  <c r="BC101" i="6"/>
  <c r="BD101" i="6" s="1"/>
  <c r="BI101" i="6" s="1"/>
  <c r="AQ101" i="6"/>
  <c r="BT101" i="6"/>
  <c r="AS101" i="6"/>
  <c r="AI101" i="6"/>
  <c r="AJ101" i="6" s="1"/>
  <c r="BN101" i="6"/>
  <c r="AU101" i="6"/>
  <c r="AN101" i="6"/>
  <c r="BM101" i="6"/>
  <c r="AE55" i="6"/>
  <c r="AS11" i="6"/>
  <c r="BT11" i="6"/>
  <c r="AI11" i="6"/>
  <c r="AJ11" i="6" s="1"/>
  <c r="BC11" i="6"/>
  <c r="BD11" i="6" s="1"/>
  <c r="BI11" i="6" s="1"/>
  <c r="AP11" i="6"/>
  <c r="AQ11" i="6"/>
  <c r="AU11" i="6"/>
  <c r="BM11" i="6"/>
  <c r="BN11" i="6"/>
  <c r="AN11" i="6"/>
  <c r="AS37" i="6"/>
  <c r="BT37" i="6"/>
  <c r="BC37" i="6"/>
  <c r="BD37" i="6" s="1"/>
  <c r="BI37" i="6" s="1"/>
  <c r="AI37" i="6"/>
  <c r="AJ37" i="6" s="1"/>
  <c r="AQ37" i="6"/>
  <c r="AP37" i="6"/>
  <c r="AU37" i="6"/>
  <c r="BM37" i="6"/>
  <c r="BN37" i="6"/>
  <c r="AN37" i="6"/>
  <c r="AR37" i="6" s="1"/>
  <c r="BP9" i="6"/>
  <c r="BO9" i="6"/>
  <c r="AE147" i="6"/>
  <c r="BT61" i="6"/>
  <c r="BQ61" i="6"/>
  <c r="BR61" i="6" s="1"/>
  <c r="BS61" i="6" s="1"/>
  <c r="AQ61" i="6"/>
  <c r="AP61" i="6"/>
  <c r="AS61" i="6"/>
  <c r="BC61" i="6"/>
  <c r="BD61" i="6" s="1"/>
  <c r="BI61" i="6" s="1"/>
  <c r="AI61" i="6"/>
  <c r="AJ61" i="6" s="1"/>
  <c r="BM61" i="6"/>
  <c r="BN61" i="6"/>
  <c r="AN61" i="6"/>
  <c r="AU61" i="6"/>
  <c r="BC130" i="6"/>
  <c r="BD130" i="6" s="1"/>
  <c r="BI130" i="6" s="1"/>
  <c r="AI130" i="6"/>
  <c r="AJ130" i="6" s="1"/>
  <c r="AQ130" i="6"/>
  <c r="AS130" i="6"/>
  <c r="AT130" i="6" s="1"/>
  <c r="BT130" i="6"/>
  <c r="AP130" i="6"/>
  <c r="AU130" i="6"/>
  <c r="BN130" i="6"/>
  <c r="BQ130" i="6" s="1"/>
  <c r="BR130" i="6" s="1"/>
  <c r="BS130" i="6" s="1"/>
  <c r="AN130" i="6"/>
  <c r="AR130" i="6" s="1"/>
  <c r="BM130" i="6"/>
  <c r="BQ44" i="6"/>
  <c r="BR44" i="6" s="1"/>
  <c r="BS44" i="6" s="1"/>
  <c r="AS198" i="6"/>
  <c r="AI198" i="6"/>
  <c r="AJ198" i="6" s="1"/>
  <c r="BC198" i="6"/>
  <c r="BD198" i="6" s="1"/>
  <c r="BI198" i="6" s="1"/>
  <c r="BT198" i="6"/>
  <c r="AQ198" i="6"/>
  <c r="AP198" i="6"/>
  <c r="AN198" i="6"/>
  <c r="BN198" i="6"/>
  <c r="BM198" i="6"/>
  <c r="AU198" i="6"/>
  <c r="AE197" i="6"/>
  <c r="BO35" i="6"/>
  <c r="BP35" i="6"/>
  <c r="BG87" i="6"/>
  <c r="BH87" i="6"/>
  <c r="AD87" i="6"/>
  <c r="AE87" i="6" s="1"/>
  <c r="AB43" i="6"/>
  <c r="AC43" i="6" s="1"/>
  <c r="BO25" i="6"/>
  <c r="BP25" i="6"/>
  <c r="AE207" i="6"/>
  <c r="AS24" i="6"/>
  <c r="BC24" i="6"/>
  <c r="BD24" i="6" s="1"/>
  <c r="BI24" i="6" s="1"/>
  <c r="BT24" i="6"/>
  <c r="AI24" i="6"/>
  <c r="AJ24" i="6" s="1"/>
  <c r="AQ24" i="6"/>
  <c r="AP24" i="6"/>
  <c r="AU24" i="6"/>
  <c r="BM24" i="6"/>
  <c r="BN24" i="6"/>
  <c r="AN24" i="6"/>
  <c r="AE157" i="6"/>
  <c r="BT96" i="6"/>
  <c r="BC96" i="6"/>
  <c r="BD96" i="6" s="1"/>
  <c r="BI96" i="6" s="1"/>
  <c r="AS96" i="6"/>
  <c r="AQ96" i="6"/>
  <c r="AP96" i="6"/>
  <c r="AI96" i="6"/>
  <c r="AJ96" i="6" s="1"/>
  <c r="BN96" i="6"/>
  <c r="BQ96" i="6" s="1"/>
  <c r="BR96" i="6" s="1"/>
  <c r="BM96" i="6"/>
  <c r="AU96" i="6"/>
  <c r="AN96" i="6"/>
  <c r="AI131" i="6"/>
  <c r="AJ131" i="6" s="1"/>
  <c r="AQ131" i="6"/>
  <c r="BT131" i="6"/>
  <c r="AS131" i="6"/>
  <c r="BC131" i="6"/>
  <c r="BD131" i="6" s="1"/>
  <c r="BI131" i="6" s="1"/>
  <c r="AP131" i="6"/>
  <c r="BN131" i="6"/>
  <c r="BQ131" i="6" s="1"/>
  <c r="BR131" i="6" s="1"/>
  <c r="BM131" i="6"/>
  <c r="AN131" i="6"/>
  <c r="AU131" i="6"/>
  <c r="BT15" i="6"/>
  <c r="AI15" i="6"/>
  <c r="AJ15" i="6" s="1"/>
  <c r="BC15" i="6"/>
  <c r="BD15" i="6" s="1"/>
  <c r="BI15" i="6" s="1"/>
  <c r="AQ15" i="6"/>
  <c r="AS15" i="6"/>
  <c r="AP15" i="6"/>
  <c r="BM15" i="6"/>
  <c r="BN15" i="6"/>
  <c r="BQ15" i="6" s="1"/>
  <c r="BR15" i="6" s="1"/>
  <c r="BS15" i="6" s="1"/>
  <c r="AU15" i="6"/>
  <c r="AN15" i="6"/>
  <c r="AE103" i="6"/>
  <c r="AS123" i="6"/>
  <c r="BC123" i="6"/>
  <c r="BD123" i="6" s="1"/>
  <c r="BI123" i="6" s="1"/>
  <c r="BT123" i="6"/>
  <c r="BQ123" i="6"/>
  <c r="BR123" i="6" s="1"/>
  <c r="BS123" i="6" s="1"/>
  <c r="AQ123" i="6"/>
  <c r="AI123" i="6"/>
  <c r="AJ123" i="6" s="1"/>
  <c r="BM123" i="6"/>
  <c r="BN123" i="6"/>
  <c r="AP123" i="6"/>
  <c r="AU123" i="6"/>
  <c r="AN123" i="6"/>
  <c r="BC118" i="6"/>
  <c r="BD118" i="6" s="1"/>
  <c r="BI118" i="6" s="1"/>
  <c r="AS118" i="6"/>
  <c r="AQ118" i="6"/>
  <c r="AP118" i="6"/>
  <c r="AI118" i="6"/>
  <c r="AJ118" i="6" s="1"/>
  <c r="BT118" i="6"/>
  <c r="BN118" i="6"/>
  <c r="BM118" i="6"/>
  <c r="AU118" i="6"/>
  <c r="AN118" i="6"/>
  <c r="AR118" i="6" s="1"/>
  <c r="BC160" i="6"/>
  <c r="BD160" i="6" s="1"/>
  <c r="BI160" i="6" s="1"/>
  <c r="BQ160" i="6"/>
  <c r="BR160" i="6" s="1"/>
  <c r="BS160" i="6" s="1"/>
  <c r="AQ160" i="6"/>
  <c r="AP160" i="6"/>
  <c r="AI160" i="6"/>
  <c r="AJ160" i="6" s="1"/>
  <c r="AS160" i="6"/>
  <c r="BT160" i="6"/>
  <c r="AU160" i="6"/>
  <c r="AN160" i="6"/>
  <c r="BM160" i="6"/>
  <c r="BN160" i="6"/>
  <c r="BP12" i="6"/>
  <c r="BO12" i="6"/>
  <c r="BC47" i="6"/>
  <c r="BD47" i="6" s="1"/>
  <c r="BI47" i="6" s="1"/>
  <c r="AQ47" i="6"/>
  <c r="AP47" i="6"/>
  <c r="AS47" i="6"/>
  <c r="BT47" i="6"/>
  <c r="AI47" i="6"/>
  <c r="AJ47" i="6" s="1"/>
  <c r="BM47" i="6"/>
  <c r="AN47" i="6"/>
  <c r="AR47" i="6" s="1"/>
  <c r="AU47" i="6"/>
  <c r="BN47" i="6"/>
  <c r="AT44" i="6"/>
  <c r="AV44" i="6" s="1"/>
  <c r="AW44" i="6" s="1"/>
  <c r="AS189" i="6"/>
  <c r="AT189" i="6" s="1"/>
  <c r="AV189" i="6" s="1"/>
  <c r="AW189" i="6" s="1"/>
  <c r="AY189" i="6" s="1"/>
  <c r="AQ189" i="6"/>
  <c r="AI189" i="6"/>
  <c r="AJ189" i="6" s="1"/>
  <c r="BC189" i="6"/>
  <c r="BD189" i="6" s="1"/>
  <c r="BI189" i="6" s="1"/>
  <c r="AX189" i="6"/>
  <c r="AP189" i="6"/>
  <c r="BT189" i="6"/>
  <c r="AU189" i="6"/>
  <c r="BN189" i="6"/>
  <c r="BM189" i="6"/>
  <c r="AN189" i="6"/>
  <c r="AE8" i="6"/>
  <c r="AS49" i="6"/>
  <c r="AQ49" i="6"/>
  <c r="BT49" i="6"/>
  <c r="AI49" i="6"/>
  <c r="AJ49" i="6" s="1"/>
  <c r="BC49" i="6"/>
  <c r="BD49" i="6" s="1"/>
  <c r="BI49" i="6" s="1"/>
  <c r="AP49" i="6"/>
  <c r="AU49" i="6"/>
  <c r="AN49" i="6"/>
  <c r="BM49" i="6"/>
  <c r="BN49" i="6"/>
  <c r="BQ49" i="6" s="1"/>
  <c r="BR49" i="6" s="1"/>
  <c r="BS49" i="6" s="1"/>
  <c r="AB138" i="6"/>
  <c r="AC138" i="6" s="1"/>
  <c r="AB137" i="6"/>
  <c r="AC137" i="6" s="1"/>
  <c r="BT126" i="6"/>
  <c r="AQ126" i="6"/>
  <c r="BQ126" i="6"/>
  <c r="BR126" i="6" s="1"/>
  <c r="AP126" i="6"/>
  <c r="BC126" i="6"/>
  <c r="BD126" i="6" s="1"/>
  <c r="BI126" i="6" s="1"/>
  <c r="AS126" i="6"/>
  <c r="AI126" i="6"/>
  <c r="AJ126" i="6" s="1"/>
  <c r="BM126" i="6"/>
  <c r="AU126" i="6"/>
  <c r="BN126" i="6"/>
  <c r="AN126" i="6"/>
  <c r="BC213" i="6"/>
  <c r="BD213" i="6" s="1"/>
  <c r="BI213" i="6" s="1"/>
  <c r="BT213" i="6"/>
  <c r="AI213" i="6"/>
  <c r="AJ213" i="6" s="1"/>
  <c r="AS213" i="6"/>
  <c r="AP213" i="6"/>
  <c r="AQ213" i="6"/>
  <c r="BM213" i="6"/>
  <c r="AN213" i="6"/>
  <c r="AR213" i="6" s="1"/>
  <c r="AU213" i="6"/>
  <c r="BN213" i="6"/>
  <c r="BQ213" i="6" s="1"/>
  <c r="BR213" i="6" s="1"/>
  <c r="BS213" i="6" s="1"/>
  <c r="AQ6" i="7"/>
  <c r="AB65" i="6"/>
  <c r="AC65" i="6" s="1"/>
  <c r="AB60" i="6"/>
  <c r="AC60" i="6" s="1"/>
  <c r="AB75" i="6"/>
  <c r="AC75" i="6" s="1"/>
  <c r="AB73" i="6"/>
  <c r="AC73" i="6" s="1"/>
  <c r="AB81" i="6"/>
  <c r="AC81" i="6" s="1"/>
  <c r="AB58" i="6"/>
  <c r="AC58" i="6" s="1"/>
  <c r="AB79" i="6"/>
  <c r="AC79" i="6" s="1"/>
  <c r="AB67" i="6"/>
  <c r="AC67" i="6" s="1"/>
  <c r="AB69" i="6"/>
  <c r="AC69" i="6" s="1"/>
  <c r="BT120" i="6"/>
  <c r="BC120" i="6"/>
  <c r="BD120" i="6" s="1"/>
  <c r="BI120" i="6" s="1"/>
  <c r="AI120" i="6"/>
  <c r="AJ120" i="6" s="1"/>
  <c r="AS120" i="6"/>
  <c r="AQ120" i="6"/>
  <c r="AP120" i="6"/>
  <c r="AU120" i="6"/>
  <c r="BN120" i="6"/>
  <c r="BQ120" i="6" s="1"/>
  <c r="BR120" i="6" s="1"/>
  <c r="BS120" i="6" s="1"/>
  <c r="BM120" i="6"/>
  <c r="AN120" i="6"/>
  <c r="AR120" i="6" s="1"/>
  <c r="AE15" i="6"/>
  <c r="AE101" i="6"/>
  <c r="AE37" i="6"/>
  <c r="AR9" i="6"/>
  <c r="AT9" i="6" s="1"/>
  <c r="AV9" i="6" s="1"/>
  <c r="AW9" i="6" s="1"/>
  <c r="AP158" i="6"/>
  <c r="BT158" i="6"/>
  <c r="BC158" i="6"/>
  <c r="BD158" i="6" s="1"/>
  <c r="BI158" i="6" s="1"/>
  <c r="AQ158" i="6"/>
  <c r="AS158" i="6"/>
  <c r="BQ158" i="6"/>
  <c r="BR158" i="6" s="1"/>
  <c r="AI158" i="6"/>
  <c r="AJ158" i="6" s="1"/>
  <c r="AU158" i="6"/>
  <c r="BN158" i="6"/>
  <c r="BM158" i="6"/>
  <c r="AN158" i="6"/>
  <c r="AE118" i="6"/>
  <c r="AE61" i="6"/>
  <c r="BT194" i="6"/>
  <c r="BC194" i="6"/>
  <c r="BD194" i="6" s="1"/>
  <c r="BI194" i="6" s="1"/>
  <c r="AI194" i="6"/>
  <c r="AJ194" i="6" s="1"/>
  <c r="AQ194" i="6"/>
  <c r="AP194" i="6"/>
  <c r="AS194" i="6"/>
  <c r="BM194" i="6"/>
  <c r="BN194" i="6"/>
  <c r="BQ194" i="6" s="1"/>
  <c r="BR194" i="6" s="1"/>
  <c r="AU194" i="6"/>
  <c r="AN194" i="6"/>
  <c r="BC51" i="6"/>
  <c r="BD51" i="6" s="1"/>
  <c r="BI51" i="6" s="1"/>
  <c r="AQ51" i="6"/>
  <c r="AS51" i="6"/>
  <c r="AI51" i="6"/>
  <c r="AJ51" i="6" s="1"/>
  <c r="BT51" i="6"/>
  <c r="AP51" i="6"/>
  <c r="BN51" i="6"/>
  <c r="BQ51" i="6" s="1"/>
  <c r="BR51" i="6" s="1"/>
  <c r="BM51" i="6"/>
  <c r="AU51" i="6"/>
  <c r="AN51" i="6"/>
  <c r="AE130" i="6"/>
  <c r="BT39" i="6"/>
  <c r="AS39" i="6"/>
  <c r="AI39" i="6"/>
  <c r="AJ39" i="6" s="1"/>
  <c r="AQ39" i="6"/>
  <c r="BC39" i="6"/>
  <c r="BD39" i="6" s="1"/>
  <c r="BI39" i="6" s="1"/>
  <c r="AP39" i="6"/>
  <c r="AU39" i="6"/>
  <c r="BM39" i="6"/>
  <c r="BN39" i="6"/>
  <c r="BQ39" i="6" s="1"/>
  <c r="BR39" i="6" s="1"/>
  <c r="BS39" i="6" s="1"/>
  <c r="AN39" i="6"/>
  <c r="AI202" i="6"/>
  <c r="AJ202" i="6" s="1"/>
  <c r="AQ202" i="6"/>
  <c r="BC202" i="6"/>
  <c r="BD202" i="6" s="1"/>
  <c r="BI202" i="6" s="1"/>
  <c r="BT202" i="6"/>
  <c r="AS202" i="6"/>
  <c r="AP202" i="6"/>
  <c r="BN202" i="6"/>
  <c r="BQ202" i="6" s="1"/>
  <c r="BR202" i="6" s="1"/>
  <c r="BM202" i="6"/>
  <c r="AN202" i="6"/>
  <c r="AR202" i="6" s="1"/>
  <c r="AU202" i="6"/>
  <c r="AE189" i="6"/>
  <c r="AE198" i="6"/>
  <c r="AQ205" i="6"/>
  <c r="AP205" i="6"/>
  <c r="AS205" i="6"/>
  <c r="BT205" i="6"/>
  <c r="BC205" i="6"/>
  <c r="BD205" i="6" s="1"/>
  <c r="BI205" i="6" s="1"/>
  <c r="AI205" i="6"/>
  <c r="AJ205" i="6" s="1"/>
  <c r="BM205" i="6"/>
  <c r="BN205" i="6"/>
  <c r="AU205" i="6"/>
  <c r="AN205" i="6"/>
  <c r="AE49" i="6"/>
  <c r="AS99" i="6"/>
  <c r="AI99" i="6"/>
  <c r="AJ99" i="6" s="1"/>
  <c r="AQ99" i="6"/>
  <c r="BT99" i="6"/>
  <c r="BC99" i="6"/>
  <c r="BD99" i="6" s="1"/>
  <c r="BI99" i="6" s="1"/>
  <c r="AP99" i="6"/>
  <c r="BN99" i="6"/>
  <c r="BQ99" i="6" s="1"/>
  <c r="BR99" i="6" s="1"/>
  <c r="BS99" i="6" s="1"/>
  <c r="BM99" i="6"/>
  <c r="AU99" i="6"/>
  <c r="AN99" i="6"/>
  <c r="AB154" i="6"/>
  <c r="AC154" i="6" s="1"/>
  <c r="AB78" i="6"/>
  <c r="AC78" i="6" s="1"/>
  <c r="AI112" i="6"/>
  <c r="AJ112" i="6" s="1"/>
  <c r="BT112" i="6"/>
  <c r="AS112" i="6"/>
  <c r="AQ112" i="6"/>
  <c r="BC112" i="6"/>
  <c r="BD112" i="6" s="1"/>
  <c r="BI112" i="6" s="1"/>
  <c r="AP112" i="6"/>
  <c r="BN112" i="6"/>
  <c r="BQ112" i="6" s="1"/>
  <c r="BR112" i="6" s="1"/>
  <c r="BS112" i="6" s="1"/>
  <c r="BM112" i="6"/>
  <c r="AU112" i="6"/>
  <c r="AN112" i="6"/>
  <c r="BP18" i="6"/>
  <c r="BO18" i="6"/>
  <c r="AQ50" i="6"/>
  <c r="AI50" i="6"/>
  <c r="AJ50" i="6" s="1"/>
  <c r="BT50" i="6"/>
  <c r="AS50" i="6"/>
  <c r="BC50" i="6"/>
  <c r="BD50" i="6" s="1"/>
  <c r="BI50" i="6" s="1"/>
  <c r="AP50" i="6"/>
  <c r="BM50" i="6"/>
  <c r="BN50" i="6"/>
  <c r="AU50" i="6"/>
  <c r="AN50" i="6"/>
  <c r="AR50" i="6" s="1"/>
  <c r="BC54" i="6"/>
  <c r="BD54" i="6" s="1"/>
  <c r="BI54" i="6" s="1"/>
  <c r="BT54" i="6"/>
  <c r="BQ54" i="6"/>
  <c r="BR54" i="6" s="1"/>
  <c r="BS54" i="6" s="1"/>
  <c r="AS54" i="6"/>
  <c r="AQ54" i="6"/>
  <c r="AI54" i="6"/>
  <c r="AJ54" i="6" s="1"/>
  <c r="AP54" i="6"/>
  <c r="BM54" i="6"/>
  <c r="BN54" i="6"/>
  <c r="AU54" i="6"/>
  <c r="AN54" i="6"/>
  <c r="AE54" i="6"/>
  <c r="BQ13" i="6"/>
  <c r="BR13" i="6" s="1"/>
  <c r="BS13" i="6" s="1"/>
  <c r="AE145" i="6"/>
  <c r="AQ74" i="6"/>
  <c r="BT74" i="6"/>
  <c r="AS74" i="6"/>
  <c r="BC74" i="6"/>
  <c r="BD74" i="6" s="1"/>
  <c r="BI74" i="6" s="1"/>
  <c r="AP74" i="6"/>
  <c r="AI74" i="6"/>
  <c r="AJ74" i="6" s="1"/>
  <c r="BM74" i="6"/>
  <c r="AU74" i="6"/>
  <c r="BN74" i="6"/>
  <c r="BQ74" i="6" s="1"/>
  <c r="BR74" i="6" s="1"/>
  <c r="BS74" i="6" s="1"/>
  <c r="AN74" i="6"/>
  <c r="AI41" i="6"/>
  <c r="AJ41" i="6" s="1"/>
  <c r="BQ41" i="6"/>
  <c r="BR41" i="6" s="1"/>
  <c r="AP41" i="6"/>
  <c r="BT41" i="6"/>
  <c r="AQ41" i="6"/>
  <c r="AS41" i="6"/>
  <c r="BC41" i="6"/>
  <c r="BD41" i="6" s="1"/>
  <c r="BI41" i="6" s="1"/>
  <c r="AU41" i="6"/>
  <c r="BN41" i="6"/>
  <c r="BM41" i="6"/>
  <c r="AN41" i="6"/>
  <c r="BC144" i="6"/>
  <c r="BD144" i="6" s="1"/>
  <c r="BI144" i="6" s="1"/>
  <c r="AI144" i="6"/>
  <c r="AJ144" i="6" s="1"/>
  <c r="AQ144" i="6"/>
  <c r="AP144" i="6"/>
  <c r="AS144" i="6"/>
  <c r="BT144" i="6"/>
  <c r="BM144" i="6"/>
  <c r="BN144" i="6"/>
  <c r="BQ144" i="6" s="1"/>
  <c r="BR144" i="6" s="1"/>
  <c r="BS144" i="6" s="1"/>
  <c r="AU144" i="6"/>
  <c r="AN144" i="6"/>
  <c r="BO92" i="6"/>
  <c r="BP92" i="6"/>
  <c r="AQ114" i="6"/>
  <c r="AI114" i="6"/>
  <c r="AJ114" i="6" s="1"/>
  <c r="AS114" i="6"/>
  <c r="BT114" i="6"/>
  <c r="BC114" i="6"/>
  <c r="BD114" i="6" s="1"/>
  <c r="BI114" i="6" s="1"/>
  <c r="AP114" i="6"/>
  <c r="AN114" i="6"/>
  <c r="BM114" i="6"/>
  <c r="AU114" i="6"/>
  <c r="BN114" i="6"/>
  <c r="BQ114" i="6" s="1"/>
  <c r="BR114" i="6" s="1"/>
  <c r="AS142" i="6"/>
  <c r="BT142" i="6"/>
  <c r="AI142" i="6"/>
  <c r="AJ142" i="6" s="1"/>
  <c r="BC142" i="6"/>
  <c r="BD142" i="6" s="1"/>
  <c r="BI142" i="6" s="1"/>
  <c r="AQ142" i="6"/>
  <c r="AP142" i="6"/>
  <c r="BM142" i="6"/>
  <c r="BN142" i="6"/>
  <c r="BQ142" i="6" s="1"/>
  <c r="BR142" i="6" s="1"/>
  <c r="BS142" i="6" s="1"/>
  <c r="AU142" i="6"/>
  <c r="AN142" i="6"/>
  <c r="BO91" i="6"/>
  <c r="BP91" i="6"/>
  <c r="AE205" i="6"/>
  <c r="BQ5" i="6"/>
  <c r="BR5" i="6" s="1"/>
  <c r="AQ5" i="6"/>
  <c r="AS5" i="6"/>
  <c r="BT5" i="6"/>
  <c r="AI5" i="6"/>
  <c r="AJ5" i="6" s="1"/>
  <c r="BC5" i="6"/>
  <c r="AP5" i="6"/>
  <c r="AU5" i="6"/>
  <c r="BM5" i="6"/>
  <c r="BN5" i="6"/>
  <c r="AN5" i="6"/>
  <c r="AE48" i="6"/>
  <c r="AE112" i="6"/>
  <c r="BH32" i="6"/>
  <c r="BG32" i="6"/>
  <c r="AD32" i="6"/>
  <c r="AE210" i="6"/>
  <c r="BP89" i="6"/>
  <c r="BO89" i="6"/>
  <c r="AQ90" i="6"/>
  <c r="AS90" i="6"/>
  <c r="BT90" i="6"/>
  <c r="AI90" i="6"/>
  <c r="AJ90" i="6" s="1"/>
  <c r="BC90" i="6"/>
  <c r="BD90" i="6" s="1"/>
  <c r="BI90" i="6" s="1"/>
  <c r="AP90" i="6"/>
  <c r="AN90" i="6"/>
  <c r="BN90" i="6"/>
  <c r="BQ90" i="6" s="1"/>
  <c r="BR90" i="6" s="1"/>
  <c r="BM90" i="6"/>
  <c r="AU90" i="6"/>
  <c r="BQ25" i="6"/>
  <c r="BR25" i="6" s="1"/>
  <c r="BS25" i="6" s="1"/>
  <c r="BT167" i="6"/>
  <c r="AS167" i="6"/>
  <c r="AQ167" i="6"/>
  <c r="BC167" i="6"/>
  <c r="BD167" i="6" s="1"/>
  <c r="BI167" i="6" s="1"/>
  <c r="AI167" i="6"/>
  <c r="AJ167" i="6" s="1"/>
  <c r="AP167" i="6"/>
  <c r="AN167" i="6"/>
  <c r="AR167" i="6" s="1"/>
  <c r="AU167" i="6"/>
  <c r="BM167" i="6"/>
  <c r="BN167" i="6"/>
  <c r="AQ214" i="6"/>
  <c r="AS214" i="6"/>
  <c r="AP214" i="6"/>
  <c r="BT214" i="6"/>
  <c r="BQ214" i="6"/>
  <c r="BR214" i="6" s="1"/>
  <c r="BC214" i="6"/>
  <c r="BD214" i="6" s="1"/>
  <c r="BI214" i="6" s="1"/>
  <c r="AI214" i="6"/>
  <c r="AJ214" i="6" s="1"/>
  <c r="AN214" i="6"/>
  <c r="AU214" i="6"/>
  <c r="BM214" i="6"/>
  <c r="BN214" i="6"/>
  <c r="BH128" i="6"/>
  <c r="BG128" i="6"/>
  <c r="AD128" i="6"/>
  <c r="AE128" i="6" s="1"/>
  <c r="AS93" i="6"/>
  <c r="BC93" i="6"/>
  <c r="BD93" i="6" s="1"/>
  <c r="BI93" i="6" s="1"/>
  <c r="AY93" i="6"/>
  <c r="AX93" i="6"/>
  <c r="AI93" i="6"/>
  <c r="AJ93" i="6" s="1"/>
  <c r="BT93" i="6"/>
  <c r="AQ93" i="6"/>
  <c r="BQ93" i="6"/>
  <c r="BR93" i="6" s="1"/>
  <c r="AP93" i="6"/>
  <c r="AN93" i="6"/>
  <c r="AU93" i="6"/>
  <c r="AQ31" i="6"/>
  <c r="AI31" i="6"/>
  <c r="AJ31" i="6" s="1"/>
  <c r="BC31" i="6"/>
  <c r="BD31" i="6" s="1"/>
  <c r="BI31" i="6" s="1"/>
  <c r="BT31" i="6"/>
  <c r="AS31" i="6"/>
  <c r="AP31" i="6"/>
  <c r="AN31" i="6"/>
  <c r="BM31" i="6"/>
  <c r="BN31" i="6"/>
  <c r="AU31" i="6"/>
  <c r="AS80" i="6"/>
  <c r="AQ80" i="6"/>
  <c r="BT80" i="6"/>
  <c r="AI80" i="6"/>
  <c r="AJ80" i="6" s="1"/>
  <c r="BC80" i="6"/>
  <c r="BD80" i="6" s="1"/>
  <c r="BI80" i="6" s="1"/>
  <c r="AP80" i="6"/>
  <c r="BM80" i="6"/>
  <c r="BN80" i="6"/>
  <c r="BQ80" i="6" s="1"/>
  <c r="BR80" i="6" s="1"/>
  <c r="BS80" i="6" s="1"/>
  <c r="AU80" i="6"/>
  <c r="AN80" i="6"/>
  <c r="AP121" i="6"/>
  <c r="BT121" i="6"/>
  <c r="BC121" i="6"/>
  <c r="BD121" i="6" s="1"/>
  <c r="BI121" i="6" s="1"/>
  <c r="AI121" i="6"/>
  <c r="AJ121" i="6" s="1"/>
  <c r="AS121" i="6"/>
  <c r="AQ121" i="6"/>
  <c r="AU121" i="6"/>
  <c r="BM121" i="6"/>
  <c r="BN121" i="6"/>
  <c r="AN121" i="6"/>
  <c r="BT209" i="6"/>
  <c r="AS209" i="6"/>
  <c r="AQ209" i="6"/>
  <c r="BC209" i="6"/>
  <c r="BD209" i="6" s="1"/>
  <c r="BI209" i="6" s="1"/>
  <c r="AI209" i="6"/>
  <c r="AJ209" i="6" s="1"/>
  <c r="AP209" i="6"/>
  <c r="AN209" i="6"/>
  <c r="AU209" i="6"/>
  <c r="BN209" i="6"/>
  <c r="BQ209" i="6" s="1"/>
  <c r="BR209" i="6" s="1"/>
  <c r="BS209" i="6" s="1"/>
  <c r="BM209" i="6"/>
  <c r="AT38" i="6"/>
  <c r="AV38" i="6" s="1"/>
  <c r="AW38" i="6" s="1"/>
  <c r="AR94" i="6"/>
  <c r="AT94" i="6" s="1"/>
  <c r="AV94" i="6" s="1"/>
  <c r="AW94" i="6" s="1"/>
  <c r="AQ46" i="6"/>
  <c r="BT46" i="6"/>
  <c r="AI46" i="6"/>
  <c r="AJ46" i="6" s="1"/>
  <c r="AP46" i="6"/>
  <c r="BC46" i="6"/>
  <c r="BD46" i="6" s="1"/>
  <c r="BI46" i="6" s="1"/>
  <c r="AS46" i="6"/>
  <c r="BM46" i="6"/>
  <c r="BN46" i="6"/>
  <c r="BQ46" i="6" s="1"/>
  <c r="BR46" i="6" s="1"/>
  <c r="AU46" i="6"/>
  <c r="AN46" i="6"/>
  <c r="AS53" i="6"/>
  <c r="AQ53" i="6"/>
  <c r="BT53" i="6"/>
  <c r="BC53" i="6"/>
  <c r="BD53" i="6" s="1"/>
  <c r="BI53" i="6" s="1"/>
  <c r="AI53" i="6"/>
  <c r="AJ53" i="6" s="1"/>
  <c r="AP53" i="6"/>
  <c r="AN53" i="6"/>
  <c r="AR53" i="6" s="1"/>
  <c r="AU53" i="6"/>
  <c r="BM53" i="6"/>
  <c r="BN53" i="6"/>
  <c r="BO94" i="6"/>
  <c r="BP94" i="6"/>
  <c r="AP104" i="6"/>
  <c r="AS104" i="6"/>
  <c r="BC104" i="6"/>
  <c r="BD104" i="6" s="1"/>
  <c r="BI104" i="6" s="1"/>
  <c r="AQ104" i="6"/>
  <c r="AI104" i="6"/>
  <c r="AJ104" i="6" s="1"/>
  <c r="BT104" i="6"/>
  <c r="BM104" i="6"/>
  <c r="BN104" i="6"/>
  <c r="BQ104" i="6" s="1"/>
  <c r="BR104" i="6" s="1"/>
  <c r="AN104" i="6"/>
  <c r="AU104" i="6"/>
  <c r="AE80" i="6"/>
  <c r="BC102" i="6"/>
  <c r="BD102" i="6" s="1"/>
  <c r="BI102" i="6" s="1"/>
  <c r="AI102" i="6"/>
  <c r="AJ102" i="6" s="1"/>
  <c r="BT102" i="6"/>
  <c r="AS102" i="6"/>
  <c r="AQ102" i="6"/>
  <c r="BN102" i="6"/>
  <c r="BQ102" i="6" s="1"/>
  <c r="BR102" i="6" s="1"/>
  <c r="BS102" i="6" s="1"/>
  <c r="BM102" i="6"/>
  <c r="AP102" i="6"/>
  <c r="AN102" i="6"/>
  <c r="AU102" i="6"/>
  <c r="BT84" i="6"/>
  <c r="BC84" i="6"/>
  <c r="BD84" i="6" s="1"/>
  <c r="BI84" i="6" s="1"/>
  <c r="AS84" i="6"/>
  <c r="AQ84" i="6"/>
  <c r="AI84" i="6"/>
  <c r="AJ84" i="6" s="1"/>
  <c r="BM84" i="6"/>
  <c r="AP84" i="6"/>
  <c r="BN84" i="6"/>
  <c r="BQ84" i="6" s="1"/>
  <c r="BR84" i="6" s="1"/>
  <c r="AU84" i="6"/>
  <c r="AN84" i="6"/>
  <c r="AR84" i="6" s="1"/>
  <c r="AE144" i="6"/>
  <c r="AE194" i="6"/>
  <c r="AS6" i="6"/>
  <c r="AQ6" i="6"/>
  <c r="AI6" i="6"/>
  <c r="AJ6" i="6" s="1"/>
  <c r="BT6" i="6"/>
  <c r="BC6" i="6"/>
  <c r="BD6" i="6" s="1"/>
  <c r="BI6" i="6" s="1"/>
  <c r="AP6" i="6"/>
  <c r="BN6" i="6"/>
  <c r="BQ6" i="6" s="1"/>
  <c r="BR6" i="6" s="1"/>
  <c r="BS6" i="6" s="1"/>
  <c r="BM6" i="6"/>
  <c r="AU6" i="6"/>
  <c r="AN6" i="6"/>
  <c r="AQ86" i="6"/>
  <c r="AI86" i="6"/>
  <c r="AJ86" i="6" s="1"/>
  <c r="BC86" i="6"/>
  <c r="BD86" i="6" s="1"/>
  <c r="BI86" i="6" s="1"/>
  <c r="BT86" i="6"/>
  <c r="AS86" i="6"/>
  <c r="AP86" i="6"/>
  <c r="BN86" i="6"/>
  <c r="BM86" i="6"/>
  <c r="AN86" i="6"/>
  <c r="AU86" i="6"/>
  <c r="AE114" i="6"/>
  <c r="AQ184" i="6"/>
  <c r="AI184" i="6"/>
  <c r="AJ184" i="6" s="1"/>
  <c r="BT184" i="6"/>
  <c r="AS184" i="6"/>
  <c r="AT184" i="6" s="1"/>
  <c r="BC184" i="6"/>
  <c r="BD184" i="6" s="1"/>
  <c r="BI184" i="6" s="1"/>
  <c r="AP184" i="6"/>
  <c r="AU184" i="6"/>
  <c r="BM184" i="6"/>
  <c r="AN184" i="6"/>
  <c r="BN184" i="6"/>
  <c r="AE142" i="6"/>
  <c r="BC135" i="6"/>
  <c r="BD135" i="6" s="1"/>
  <c r="BI135" i="6" s="1"/>
  <c r="BT135" i="6"/>
  <c r="BQ135" i="6"/>
  <c r="BR135" i="6" s="1"/>
  <c r="BS135" i="6" s="1"/>
  <c r="AI135" i="6"/>
  <c r="AJ135" i="6" s="1"/>
  <c r="AS135" i="6"/>
  <c r="AQ135" i="6"/>
  <c r="BM135" i="6"/>
  <c r="AP135" i="6"/>
  <c r="BN135" i="6"/>
  <c r="AU135" i="6"/>
  <c r="AN135" i="6"/>
  <c r="AR135" i="6" s="1"/>
  <c r="AE99" i="6"/>
  <c r="AE29" i="6"/>
  <c r="BC212" i="6"/>
  <c r="BD212" i="6" s="1"/>
  <c r="BI212" i="6" s="1"/>
  <c r="BT212" i="6"/>
  <c r="AI212" i="6"/>
  <c r="AJ212" i="6" s="1"/>
  <c r="AS212" i="6"/>
  <c r="AQ212" i="6"/>
  <c r="AP212" i="6"/>
  <c r="BM212" i="6"/>
  <c r="BN212" i="6"/>
  <c r="AU212" i="6"/>
  <c r="AN212" i="6"/>
  <c r="BT68" i="6"/>
  <c r="AX68" i="6"/>
  <c r="AY68" i="6"/>
  <c r="AS68" i="6"/>
  <c r="BC68" i="6"/>
  <c r="BD68" i="6" s="1"/>
  <c r="BI68" i="6" s="1"/>
  <c r="AQ68" i="6"/>
  <c r="BQ68" i="6"/>
  <c r="BR68" i="6" s="1"/>
  <c r="BS68" i="6" s="1"/>
  <c r="AI68" i="6"/>
  <c r="AJ68" i="6" s="1"/>
  <c r="AP68" i="6"/>
  <c r="AU68" i="6"/>
  <c r="AN68" i="6"/>
  <c r="AS162" i="6"/>
  <c r="BQ162" i="6"/>
  <c r="BR162" i="6" s="1"/>
  <c r="AI162" i="6"/>
  <c r="AJ162" i="6" s="1"/>
  <c r="BC162" i="6"/>
  <c r="BD162" i="6" s="1"/>
  <c r="BI162" i="6" s="1"/>
  <c r="BT162" i="6"/>
  <c r="AQ162" i="6"/>
  <c r="AP162" i="6"/>
  <c r="BN162" i="6"/>
  <c r="AU162" i="6"/>
  <c r="BM162" i="6"/>
  <c r="AN162" i="6"/>
  <c r="BC185" i="6"/>
  <c r="BD185" i="6" s="1"/>
  <c r="BI185" i="6" s="1"/>
  <c r="BT185" i="6"/>
  <c r="AI185" i="6"/>
  <c r="AJ185" i="6" s="1"/>
  <c r="AS185" i="6"/>
  <c r="AQ185" i="6"/>
  <c r="AP185" i="6"/>
  <c r="BN185" i="6"/>
  <c r="BM185" i="6"/>
  <c r="AU185" i="6"/>
  <c r="AN185" i="6"/>
  <c r="AR185" i="6" s="1"/>
  <c r="AQ11" i="7"/>
  <c r="AB215" i="6"/>
  <c r="AC215" i="6" s="1"/>
  <c r="AB195" i="6"/>
  <c r="AC195" i="6" s="1"/>
  <c r="AS176" i="6"/>
  <c r="AQ176" i="6"/>
  <c r="BC176" i="6"/>
  <c r="BD176" i="6" s="1"/>
  <c r="BI176" i="6" s="1"/>
  <c r="AP176" i="6"/>
  <c r="BT176" i="6"/>
  <c r="AI176" i="6"/>
  <c r="AJ176" i="6" s="1"/>
  <c r="AU176" i="6"/>
  <c r="BN176" i="6"/>
  <c r="BM176" i="6"/>
  <c r="AN176" i="6"/>
  <c r="BQ27" i="6"/>
  <c r="BR27" i="6" s="1"/>
  <c r="BS27" i="6" s="1"/>
  <c r="AI105" i="6"/>
  <c r="AJ105" i="6" s="1"/>
  <c r="AQ105" i="6"/>
  <c r="AS105" i="6"/>
  <c r="BT105" i="6"/>
  <c r="BC105" i="6"/>
  <c r="BD105" i="6" s="1"/>
  <c r="BI105" i="6" s="1"/>
  <c r="AP105" i="6"/>
  <c r="BM105" i="6"/>
  <c r="BN105" i="6"/>
  <c r="BQ105" i="6" s="1"/>
  <c r="BR105" i="6" s="1"/>
  <c r="AU105" i="6"/>
  <c r="AN105" i="6"/>
  <c r="AR91" i="6"/>
  <c r="AT91" i="6" s="1"/>
  <c r="AV91" i="6" s="1"/>
  <c r="AW91" i="6" s="1"/>
  <c r="AQ196" i="6"/>
  <c r="BT196" i="6"/>
  <c r="AI196" i="6"/>
  <c r="AJ196" i="6" s="1"/>
  <c r="BC196" i="6"/>
  <c r="BD196" i="6" s="1"/>
  <c r="BI196" i="6" s="1"/>
  <c r="AS196" i="6"/>
  <c r="AP196" i="6"/>
  <c r="AU196" i="6"/>
  <c r="BM196" i="6"/>
  <c r="BN196" i="6"/>
  <c r="AN196" i="6"/>
  <c r="AE84" i="6"/>
  <c r="AE6" i="6"/>
  <c r="AQ109" i="6"/>
  <c r="AI109" i="6"/>
  <c r="AJ109" i="6" s="1"/>
  <c r="BC109" i="6"/>
  <c r="BD109" i="6" s="1"/>
  <c r="BI109" i="6" s="1"/>
  <c r="BT109" i="6"/>
  <c r="AS109" i="6"/>
  <c r="AP109" i="6"/>
  <c r="AU109" i="6"/>
  <c r="BN109" i="6"/>
  <c r="BQ109" i="6" s="1"/>
  <c r="BR109" i="6" s="1"/>
  <c r="BS109" i="6" s="1"/>
  <c r="BM109" i="6"/>
  <c r="AN109" i="6"/>
  <c r="AR92" i="6"/>
  <c r="AT92" i="6" s="1"/>
  <c r="AV92" i="6" s="1"/>
  <c r="AW92" i="6" s="1"/>
  <c r="AE39" i="6"/>
  <c r="AI152" i="6"/>
  <c r="AJ152" i="6" s="1"/>
  <c r="AQ152" i="6"/>
  <c r="AS152" i="6"/>
  <c r="BT152" i="6"/>
  <c r="BC152" i="6"/>
  <c r="BD152" i="6" s="1"/>
  <c r="BI152" i="6" s="1"/>
  <c r="AP152" i="6"/>
  <c r="BN152" i="6"/>
  <c r="BQ152" i="6" s="1"/>
  <c r="BR152" i="6" s="1"/>
  <c r="AU152" i="6"/>
  <c r="BM152" i="6"/>
  <c r="AN152" i="6"/>
  <c r="AE202" i="6"/>
  <c r="BT132" i="6"/>
  <c r="AI132" i="6"/>
  <c r="AJ132" i="6" s="1"/>
  <c r="BC132" i="6"/>
  <c r="BD132" i="6" s="1"/>
  <c r="BI132" i="6" s="1"/>
  <c r="AQ132" i="6"/>
  <c r="AS132" i="6"/>
  <c r="AP132" i="6"/>
  <c r="AU132" i="6"/>
  <c r="AN132" i="6"/>
  <c r="AR132" i="6" s="1"/>
  <c r="BN132" i="6"/>
  <c r="BQ132" i="6" s="1"/>
  <c r="BR132" i="6" s="1"/>
  <c r="BS132" i="6" s="1"/>
  <c r="BM132" i="6"/>
  <c r="AS204" i="6"/>
  <c r="AQ204" i="6"/>
  <c r="AP204" i="6"/>
  <c r="BT204" i="6"/>
  <c r="AI204" i="6"/>
  <c r="AJ204" i="6" s="1"/>
  <c r="BC204" i="6"/>
  <c r="BD204" i="6" s="1"/>
  <c r="BI204" i="6" s="1"/>
  <c r="AU204" i="6"/>
  <c r="AN204" i="6"/>
  <c r="BM204" i="6"/>
  <c r="BN204" i="6"/>
  <c r="AE212" i="6"/>
  <c r="AS183" i="6"/>
  <c r="AI183" i="6"/>
  <c r="AJ183" i="6" s="1"/>
  <c r="BT183" i="6"/>
  <c r="AQ183" i="6"/>
  <c r="BC183" i="6"/>
  <c r="BD183" i="6" s="1"/>
  <c r="BI183" i="6" s="1"/>
  <c r="AP183" i="6"/>
  <c r="AU183" i="6"/>
  <c r="BM183" i="6"/>
  <c r="BN183" i="6"/>
  <c r="AN183" i="6"/>
  <c r="AI66" i="6"/>
  <c r="AJ66" i="6" s="1"/>
  <c r="AQ66" i="6"/>
  <c r="BT66" i="6"/>
  <c r="AS66" i="6"/>
  <c r="BC66" i="6"/>
  <c r="BD66" i="6" s="1"/>
  <c r="BI66" i="6" s="1"/>
  <c r="AP66" i="6"/>
  <c r="BN66" i="6"/>
  <c r="BQ66" i="6" s="1"/>
  <c r="BR66" i="6" s="1"/>
  <c r="BM66" i="6"/>
  <c r="AN66" i="6"/>
  <c r="AU66" i="6"/>
  <c r="BC139" i="6"/>
  <c r="BD139" i="6" s="1"/>
  <c r="BI139" i="6" s="1"/>
  <c r="BT139" i="6"/>
  <c r="AS139" i="6"/>
  <c r="AI139" i="6"/>
  <c r="AJ139" i="6" s="1"/>
  <c r="AQ139" i="6"/>
  <c r="AP139" i="6"/>
  <c r="BM139" i="6"/>
  <c r="BN139" i="6"/>
  <c r="BQ139" i="6" s="1"/>
  <c r="BR139" i="6" s="1"/>
  <c r="BS139" i="6" s="1"/>
  <c r="AN139" i="6"/>
  <c r="AU139" i="6"/>
  <c r="AS16" i="6"/>
  <c r="AI16" i="6"/>
  <c r="AJ16" i="6" s="1"/>
  <c r="BT16" i="6"/>
  <c r="AQ16" i="6"/>
  <c r="BC16" i="6"/>
  <c r="BD16" i="6" s="1"/>
  <c r="BI16" i="6" s="1"/>
  <c r="AP16" i="6"/>
  <c r="AU16" i="6"/>
  <c r="BN16" i="6"/>
  <c r="BM16" i="6"/>
  <c r="AN16" i="6"/>
  <c r="BG148" i="6"/>
  <c r="BH148" i="6"/>
  <c r="AD148" i="6"/>
  <c r="AE148" i="6" s="1"/>
  <c r="AQ124" i="6"/>
  <c r="BC124" i="6"/>
  <c r="BD124" i="6" s="1"/>
  <c r="BI124" i="6" s="1"/>
  <c r="AS124" i="6"/>
  <c r="BT124" i="6"/>
  <c r="AI124" i="6"/>
  <c r="AJ124" i="6" s="1"/>
  <c r="AP124" i="6"/>
  <c r="AU124" i="6"/>
  <c r="BN124" i="6"/>
  <c r="BQ124" i="6" s="1"/>
  <c r="BR124" i="6" s="1"/>
  <c r="BS124" i="6" s="1"/>
  <c r="BM124" i="6"/>
  <c r="AN124" i="6"/>
  <c r="AQ107" i="6"/>
  <c r="BC107" i="6"/>
  <c r="BD107" i="6" s="1"/>
  <c r="BI107" i="6" s="1"/>
  <c r="BQ107" i="6"/>
  <c r="BR107" i="6" s="1"/>
  <c r="BS107" i="6" s="1"/>
  <c r="AI107" i="6"/>
  <c r="AJ107" i="6" s="1"/>
  <c r="AS107" i="6"/>
  <c r="BT107" i="6"/>
  <c r="AP107" i="6"/>
  <c r="AN107" i="6"/>
  <c r="BN107" i="6"/>
  <c r="BM107" i="6"/>
  <c r="AU107" i="6"/>
  <c r="AE107" i="6"/>
  <c r="BC216" i="6"/>
  <c r="BD216" i="6" s="1"/>
  <c r="BI216" i="6" s="1"/>
  <c r="BT216" i="6"/>
  <c r="AS216" i="6"/>
  <c r="AQ216" i="6"/>
  <c r="AP216" i="6"/>
  <c r="AI216" i="6"/>
  <c r="AJ216" i="6" s="1"/>
  <c r="BM216" i="6"/>
  <c r="BN216" i="6"/>
  <c r="BQ216" i="6" s="1"/>
  <c r="BR216" i="6" s="1"/>
  <c r="BS216" i="6" s="1"/>
  <c r="AN216" i="6"/>
  <c r="AU216" i="6"/>
  <c r="AE121" i="6"/>
  <c r="AE74" i="6"/>
  <c r="AE41" i="6"/>
  <c r="AE216" i="6"/>
  <c r="AE120" i="6"/>
  <c r="AQ98" i="6"/>
  <c r="AS98" i="6"/>
  <c r="AI98" i="6"/>
  <c r="AJ98" i="6" s="1"/>
  <c r="BC98" i="6"/>
  <c r="BD98" i="6" s="1"/>
  <c r="BI98" i="6" s="1"/>
  <c r="AP98" i="6"/>
  <c r="BT98" i="6"/>
  <c r="AU98" i="6"/>
  <c r="BM98" i="6"/>
  <c r="BN98" i="6"/>
  <c r="BQ98" i="6" s="1"/>
  <c r="BR98" i="6" s="1"/>
  <c r="BS98" i="6" s="1"/>
  <c r="AN98" i="6"/>
  <c r="AR98" i="6" s="1"/>
  <c r="BQ56" i="6"/>
  <c r="BR56" i="6" s="1"/>
  <c r="AQ56" i="6"/>
  <c r="BC56" i="6"/>
  <c r="BD56" i="6" s="1"/>
  <c r="BI56" i="6" s="1"/>
  <c r="AI56" i="6"/>
  <c r="AJ56" i="6" s="1"/>
  <c r="AS56" i="6"/>
  <c r="AP56" i="6"/>
  <c r="BT56" i="6"/>
  <c r="AU56" i="6"/>
  <c r="BN56" i="6"/>
  <c r="AN56" i="6"/>
  <c r="BM56" i="6"/>
  <c r="AE104" i="6"/>
  <c r="BC113" i="6"/>
  <c r="BD113" i="6" s="1"/>
  <c r="BI113" i="6" s="1"/>
  <c r="BT113" i="6"/>
  <c r="AS113" i="6"/>
  <c r="AQ113" i="6"/>
  <c r="AP113" i="6"/>
  <c r="AI113" i="6"/>
  <c r="AJ113" i="6" s="1"/>
  <c r="BN113" i="6"/>
  <c r="BQ113" i="6" s="1"/>
  <c r="BR113" i="6" s="1"/>
  <c r="BS113" i="6" s="1"/>
  <c r="BM113" i="6"/>
  <c r="AU113" i="6"/>
  <c r="AN113" i="6"/>
  <c r="AR113" i="6" s="1"/>
  <c r="AE158" i="6"/>
  <c r="AS71" i="6"/>
  <c r="AI71" i="6"/>
  <c r="AJ71" i="6" s="1"/>
  <c r="BC71" i="6"/>
  <c r="BD71" i="6" s="1"/>
  <c r="BI71" i="6" s="1"/>
  <c r="AQ71" i="6"/>
  <c r="BT71" i="6"/>
  <c r="BQ71" i="6"/>
  <c r="BR71" i="6" s="1"/>
  <c r="AP71" i="6"/>
  <c r="AU71" i="6"/>
  <c r="AN71" i="6"/>
  <c r="BM71" i="6"/>
  <c r="BN71" i="6"/>
  <c r="AE53" i="6"/>
  <c r="AS97" i="6"/>
  <c r="AI97" i="6"/>
  <c r="AJ97" i="6" s="1"/>
  <c r="BC97" i="6"/>
  <c r="BD97" i="6" s="1"/>
  <c r="BI97" i="6" s="1"/>
  <c r="BT97" i="6"/>
  <c r="AQ97" i="6"/>
  <c r="AP97" i="6"/>
  <c r="AU97" i="6"/>
  <c r="BN97" i="6"/>
  <c r="BQ97" i="6" s="1"/>
  <c r="BR97" i="6" s="1"/>
  <c r="BS97" i="6" s="1"/>
  <c r="BM97" i="6"/>
  <c r="AN97" i="6"/>
  <c r="BT199" i="6"/>
  <c r="AS199" i="6"/>
  <c r="AQ199" i="6"/>
  <c r="AI199" i="6"/>
  <c r="AJ199" i="6" s="1"/>
  <c r="BC199" i="6"/>
  <c r="BD199" i="6" s="1"/>
  <c r="BI199" i="6" s="1"/>
  <c r="AP199" i="6"/>
  <c r="BN199" i="6"/>
  <c r="BM199" i="6"/>
  <c r="AU199" i="6"/>
  <c r="AN199" i="6"/>
  <c r="AE56" i="6"/>
  <c r="AE46" i="6"/>
  <c r="AI22" i="6"/>
  <c r="AJ22" i="6" s="1"/>
  <c r="BT22" i="6"/>
  <c r="AS22" i="6"/>
  <c r="BC22" i="6"/>
  <c r="BD22" i="6" s="1"/>
  <c r="BI22" i="6" s="1"/>
  <c r="AQ22" i="6"/>
  <c r="AP22" i="6"/>
  <c r="BM22" i="6"/>
  <c r="AN22" i="6"/>
  <c r="AR22" i="6" s="1"/>
  <c r="AU22" i="6"/>
  <c r="BN22" i="6"/>
  <c r="BQ22" i="6" s="1"/>
  <c r="BR22" i="6" s="1"/>
  <c r="BT57" i="6"/>
  <c r="AS57" i="6"/>
  <c r="AI57" i="6"/>
  <c r="AJ57" i="6" s="1"/>
  <c r="AQ57" i="6"/>
  <c r="BC57" i="6"/>
  <c r="BD57" i="6" s="1"/>
  <c r="BI57" i="6" s="1"/>
  <c r="AP57" i="6"/>
  <c r="BM57" i="6"/>
  <c r="BN57" i="6"/>
  <c r="BQ57" i="6" s="1"/>
  <c r="BR57" i="6" s="1"/>
  <c r="BS57" i="6" s="1"/>
  <c r="AN57" i="6"/>
  <c r="AU57" i="6"/>
  <c r="AQ52" i="6"/>
  <c r="BT52" i="6"/>
  <c r="AI52" i="6"/>
  <c r="AJ52" i="6" s="1"/>
  <c r="BC52" i="6"/>
  <c r="BD52" i="6" s="1"/>
  <c r="BI52" i="6" s="1"/>
  <c r="AS52" i="6"/>
  <c r="AP52" i="6"/>
  <c r="AU52" i="6"/>
  <c r="BM52" i="6"/>
  <c r="BN52" i="6"/>
  <c r="AN52" i="6"/>
  <c r="AR52" i="6" s="1"/>
  <c r="AE109" i="6"/>
  <c r="BQ77" i="6"/>
  <c r="BR77" i="6" s="1"/>
  <c r="AS77" i="6"/>
  <c r="AQ77" i="6"/>
  <c r="AI77" i="6"/>
  <c r="AJ77" i="6" s="1"/>
  <c r="BC77" i="6"/>
  <c r="BD77" i="6" s="1"/>
  <c r="BI77" i="6" s="1"/>
  <c r="BT77" i="6"/>
  <c r="AP77" i="6"/>
  <c r="BM77" i="6"/>
  <c r="BN77" i="6"/>
  <c r="AU77" i="6"/>
  <c r="AN77" i="6"/>
  <c r="AS170" i="6"/>
  <c r="AI170" i="6"/>
  <c r="AJ170" i="6" s="1"/>
  <c r="BC170" i="6"/>
  <c r="BD170" i="6" s="1"/>
  <c r="BI170" i="6" s="1"/>
  <c r="BT170" i="6"/>
  <c r="AQ170" i="6"/>
  <c r="AP170" i="6"/>
  <c r="BN170" i="6"/>
  <c r="BM170" i="6"/>
  <c r="AU170" i="6"/>
  <c r="AN170" i="6"/>
  <c r="AR170" i="6" s="1"/>
  <c r="BT28" i="6"/>
  <c r="BC28" i="6"/>
  <c r="BD28" i="6" s="1"/>
  <c r="BI28" i="6" s="1"/>
  <c r="AQ28" i="6"/>
  <c r="AS28" i="6"/>
  <c r="AI28" i="6"/>
  <c r="AJ28" i="6" s="1"/>
  <c r="AP28" i="6"/>
  <c r="AN28" i="6"/>
  <c r="BN28" i="6"/>
  <c r="AU28" i="6"/>
  <c r="BM28" i="6"/>
  <c r="AE135" i="6"/>
  <c r="BQ35" i="6"/>
  <c r="BR35" i="6" s="1"/>
  <c r="BS35" i="6" s="1"/>
  <c r="AB143" i="6"/>
  <c r="AC143" i="6" s="1"/>
  <c r="BS71" i="6" l="1"/>
  <c r="AR124" i="6"/>
  <c r="BS106" i="6"/>
  <c r="AR188" i="6"/>
  <c r="AR216" i="6"/>
  <c r="AR205" i="6"/>
  <c r="BS131" i="6"/>
  <c r="BS95" i="6"/>
  <c r="AR29" i="6"/>
  <c r="AT29" i="6" s="1"/>
  <c r="AV29" i="6" s="1"/>
  <c r="AW29" i="6" s="1"/>
  <c r="BS85" i="6"/>
  <c r="AR100" i="6"/>
  <c r="BG190" i="6"/>
  <c r="BH190" i="6"/>
  <c r="AD190" i="6"/>
  <c r="BH174" i="6"/>
  <c r="BG174" i="6"/>
  <c r="AD174" i="6"/>
  <c r="AE174" i="6"/>
  <c r="BS182" i="6"/>
  <c r="AK7" i="7"/>
  <c r="AT22" i="6"/>
  <c r="AV22" i="6" s="1"/>
  <c r="AW22" i="6" s="1"/>
  <c r="AX22" i="6" s="1"/>
  <c r="AR51" i="6"/>
  <c r="AR192" i="6"/>
  <c r="AT8" i="6"/>
  <c r="AV8" i="6" s="1"/>
  <c r="AW8" i="6" s="1"/>
  <c r="AX8" i="6" s="1"/>
  <c r="AR133" i="6"/>
  <c r="AR59" i="6"/>
  <c r="AT59" i="6" s="1"/>
  <c r="AV59" i="6" s="1"/>
  <c r="AW59" i="6" s="1"/>
  <c r="BH166" i="6"/>
  <c r="BG166" i="6"/>
  <c r="AD166" i="6"/>
  <c r="AR210" i="6"/>
  <c r="AT210" i="6" s="1"/>
  <c r="AV210" i="6" s="1"/>
  <c r="AW210" i="6" s="1"/>
  <c r="BS45" i="6"/>
  <c r="BG173" i="6"/>
  <c r="AD173" i="6"/>
  <c r="BH173" i="6"/>
  <c r="AR16" i="6"/>
  <c r="AT16" i="6" s="1"/>
  <c r="AV16" i="6" s="1"/>
  <c r="AW16" i="6" s="1"/>
  <c r="AR66" i="6"/>
  <c r="AT66" i="6" s="1"/>
  <c r="AV66" i="6" s="1"/>
  <c r="AW66" i="6" s="1"/>
  <c r="AR147" i="6"/>
  <c r="AD179" i="6"/>
  <c r="BG179" i="6"/>
  <c r="BH179" i="6"/>
  <c r="BS84" i="6"/>
  <c r="AR121" i="6"/>
  <c r="BS202" i="6"/>
  <c r="BS51" i="6"/>
  <c r="AT119" i="6"/>
  <c r="AV119" i="6" s="1"/>
  <c r="AW119" i="6" s="1"/>
  <c r="BS147" i="6"/>
  <c r="AT188" i="6"/>
  <c r="AV188" i="6" s="1"/>
  <c r="AW188" i="6" s="1"/>
  <c r="BS55" i="6"/>
  <c r="AR57" i="6"/>
  <c r="AR199" i="6"/>
  <c r="BS114" i="6"/>
  <c r="AR197" i="6"/>
  <c r="AR172" i="6"/>
  <c r="BS122" i="6"/>
  <c r="AR196" i="6"/>
  <c r="AT196" i="6" s="1"/>
  <c r="AV196" i="6" s="1"/>
  <c r="AW196" i="6" s="1"/>
  <c r="AR31" i="6"/>
  <c r="AT31" i="6" s="1"/>
  <c r="AV31" i="6" s="1"/>
  <c r="AW31" i="6" s="1"/>
  <c r="AR41" i="6"/>
  <c r="AT41" i="6" s="1"/>
  <c r="AV41" i="6" s="1"/>
  <c r="AW41" i="6" s="1"/>
  <c r="AR189" i="6"/>
  <c r="AR103" i="6"/>
  <c r="AT103" i="6" s="1"/>
  <c r="AV103" i="6" s="1"/>
  <c r="AW103" i="6" s="1"/>
  <c r="BS158" i="6"/>
  <c r="AT115" i="6"/>
  <c r="AV115" i="6" s="1"/>
  <c r="AW115" i="6" s="1"/>
  <c r="AY115" i="6" s="1"/>
  <c r="BE115" i="6" s="1"/>
  <c r="BF115" i="6" s="1"/>
  <c r="BL115" i="6" s="1"/>
  <c r="AR33" i="6"/>
  <c r="AT33" i="6" s="1"/>
  <c r="AV33" i="6" s="1"/>
  <c r="AW33" i="6" s="1"/>
  <c r="AR214" i="6"/>
  <c r="AR114" i="6"/>
  <c r="AT114" i="6" s="1"/>
  <c r="AV114" i="6" s="1"/>
  <c r="AW114" i="6" s="1"/>
  <c r="AR24" i="6"/>
  <c r="BS103" i="6"/>
  <c r="BS197" i="6"/>
  <c r="BS33" i="6"/>
  <c r="AR131" i="6"/>
  <c r="AR95" i="6"/>
  <c r="AR85" i="6"/>
  <c r="AR10" i="6"/>
  <c r="BK35" i="6"/>
  <c r="BJ35" i="6"/>
  <c r="AY35" i="6"/>
  <c r="AX35" i="6"/>
  <c r="BK94" i="6"/>
  <c r="BJ94" i="6"/>
  <c r="AY94" i="6"/>
  <c r="AX94" i="6"/>
  <c r="BK9" i="6"/>
  <c r="BJ9" i="6"/>
  <c r="AY9" i="6"/>
  <c r="AX9" i="6"/>
  <c r="BJ91" i="6"/>
  <c r="BK91" i="6"/>
  <c r="AX91" i="6"/>
  <c r="AY91" i="6"/>
  <c r="BE189" i="6"/>
  <c r="BF189" i="6" s="1"/>
  <c r="BL189" i="6" s="1"/>
  <c r="BU189" i="6"/>
  <c r="AZ189" i="6"/>
  <c r="BP212" i="6"/>
  <c r="BO212" i="6"/>
  <c r="BS96" i="6"/>
  <c r="BP26" i="6"/>
  <c r="BO26" i="6"/>
  <c r="BO14" i="6"/>
  <c r="BP14" i="6"/>
  <c r="AT155" i="6"/>
  <c r="AV155" i="6" s="1"/>
  <c r="AW155" i="6" s="1"/>
  <c r="BK25" i="6"/>
  <c r="BJ25" i="6"/>
  <c r="AY25" i="6"/>
  <c r="AX25" i="6"/>
  <c r="BS77" i="6"/>
  <c r="BO10" i="6"/>
  <c r="BP10" i="6"/>
  <c r="BO97" i="6"/>
  <c r="BP97" i="6"/>
  <c r="AR107" i="6"/>
  <c r="AR183" i="6"/>
  <c r="AR212" i="6"/>
  <c r="BS93" i="6"/>
  <c r="BH79" i="6"/>
  <c r="BG79" i="6"/>
  <c r="AD79" i="6"/>
  <c r="AR126" i="6"/>
  <c r="AT126" i="6" s="1"/>
  <c r="AV126" i="6" s="1"/>
  <c r="AW126" i="6" s="1"/>
  <c r="BO47" i="6"/>
  <c r="BP47" i="6"/>
  <c r="BO123" i="6"/>
  <c r="BP123" i="6"/>
  <c r="AT198" i="6"/>
  <c r="AV198" i="6" s="1"/>
  <c r="AW198" i="6" s="1"/>
  <c r="AT101" i="6"/>
  <c r="AV101" i="6" s="1"/>
  <c r="AW101" i="6" s="1"/>
  <c r="BO62" i="6"/>
  <c r="BP62" i="6"/>
  <c r="BP83" i="6"/>
  <c r="BO83" i="6"/>
  <c r="BS164" i="6"/>
  <c r="AY8" i="6"/>
  <c r="BO151" i="6"/>
  <c r="BP151" i="6"/>
  <c r="BH70" i="6"/>
  <c r="BG70" i="6"/>
  <c r="AD70" i="6"/>
  <c r="BG129" i="6"/>
  <c r="BH129" i="6"/>
  <c r="AD129" i="6"/>
  <c r="AE129" i="6" s="1"/>
  <c r="BS181" i="6"/>
  <c r="BP23" i="6"/>
  <c r="BO23" i="6"/>
  <c r="BH65" i="6"/>
  <c r="BG65" i="6"/>
  <c r="AD65" i="6"/>
  <c r="BS23" i="6"/>
  <c r="BP28" i="6"/>
  <c r="BO28" i="6"/>
  <c r="BT148" i="6"/>
  <c r="AI148" i="6"/>
  <c r="AJ148" i="6" s="1"/>
  <c r="AS148" i="6"/>
  <c r="AQ148" i="6"/>
  <c r="BC148" i="6"/>
  <c r="BD148" i="6" s="1"/>
  <c r="BI148" i="6" s="1"/>
  <c r="AP148" i="6"/>
  <c r="BM148" i="6"/>
  <c r="BN148" i="6"/>
  <c r="BQ148" i="6" s="1"/>
  <c r="BR148" i="6" s="1"/>
  <c r="BS148" i="6" s="1"/>
  <c r="AU148" i="6"/>
  <c r="AN148" i="6"/>
  <c r="BP183" i="6"/>
  <c r="BO183" i="6"/>
  <c r="BO152" i="6"/>
  <c r="BP152" i="6"/>
  <c r="BO105" i="6"/>
  <c r="BP105" i="6"/>
  <c r="BO162" i="6"/>
  <c r="BP162" i="6"/>
  <c r="AT135" i="6"/>
  <c r="AV135" i="6" s="1"/>
  <c r="AW135" i="6" s="1"/>
  <c r="AR86" i="6"/>
  <c r="AT86" i="6" s="1"/>
  <c r="AV86" i="6" s="1"/>
  <c r="AW86" i="6" s="1"/>
  <c r="BD5" i="6"/>
  <c r="BI5" i="6" s="1"/>
  <c r="AR74" i="6"/>
  <c r="AT74" i="6" s="1"/>
  <c r="AV74" i="6" s="1"/>
  <c r="AW74" i="6" s="1"/>
  <c r="AR112" i="6"/>
  <c r="AT112" i="6" s="1"/>
  <c r="AV112" i="6" s="1"/>
  <c r="AW112" i="6" s="1"/>
  <c r="BG58" i="6"/>
  <c r="BH58" i="6"/>
  <c r="AD58" i="6"/>
  <c r="BO126" i="6"/>
  <c r="BP126" i="6"/>
  <c r="AR11" i="6"/>
  <c r="AT11" i="6" s="1"/>
  <c r="AV11" i="6" s="1"/>
  <c r="AW11" i="6" s="1"/>
  <c r="AR155" i="6"/>
  <c r="BP63" i="6"/>
  <c r="BO63" i="6"/>
  <c r="BJ119" i="6"/>
  <c r="BK119" i="6"/>
  <c r="BQ177" i="6"/>
  <c r="BR177" i="6" s="1"/>
  <c r="BS177" i="6" s="1"/>
  <c r="AS177" i="6"/>
  <c r="AQ177" i="6"/>
  <c r="AI177" i="6"/>
  <c r="AJ177" i="6" s="1"/>
  <c r="BT177" i="6"/>
  <c r="BC177" i="6"/>
  <c r="BD177" i="6" s="1"/>
  <c r="BI177" i="6" s="1"/>
  <c r="AP177" i="6"/>
  <c r="AN177" i="6"/>
  <c r="BN177" i="6"/>
  <c r="BM177" i="6"/>
  <c r="AU177" i="6"/>
  <c r="BP29" i="6"/>
  <c r="BO29" i="6"/>
  <c r="AR106" i="6"/>
  <c r="AR26" i="6"/>
  <c r="AT26" i="6" s="1"/>
  <c r="AV26" i="6" s="1"/>
  <c r="AW26" i="6" s="1"/>
  <c r="AR117" i="6"/>
  <c r="AT117" i="6" s="1"/>
  <c r="AV117" i="6" s="1"/>
  <c r="AW117" i="6" s="1"/>
  <c r="BO11" i="6"/>
  <c r="BP11" i="6"/>
  <c r="BO117" i="6"/>
  <c r="BP117" i="6"/>
  <c r="BO86" i="6"/>
  <c r="BP86" i="6"/>
  <c r="BS46" i="6"/>
  <c r="BO180" i="6"/>
  <c r="BP180" i="6"/>
  <c r="BS162" i="6"/>
  <c r="BP156" i="6"/>
  <c r="BO156" i="6"/>
  <c r="BO184" i="6"/>
  <c r="BP184" i="6"/>
  <c r="BP24" i="6"/>
  <c r="BO24" i="6"/>
  <c r="BP59" i="6"/>
  <c r="BO59" i="6"/>
  <c r="AT83" i="6"/>
  <c r="AV83" i="6" s="1"/>
  <c r="AW83" i="6" s="1"/>
  <c r="BS72" i="6"/>
  <c r="BJ38" i="6"/>
  <c r="BK38" i="6"/>
  <c r="AX38" i="6"/>
  <c r="AY38" i="6"/>
  <c r="BS126" i="6"/>
  <c r="BS83" i="6"/>
  <c r="BG134" i="6"/>
  <c r="BH134" i="6"/>
  <c r="AD134" i="6"/>
  <c r="AE134" i="6" s="1"/>
  <c r="BP52" i="6"/>
  <c r="BO52" i="6"/>
  <c r="AT132" i="6"/>
  <c r="AV132" i="6" s="1"/>
  <c r="AW132" i="6" s="1"/>
  <c r="AK9" i="7"/>
  <c r="AS32" i="6"/>
  <c r="BT32" i="6"/>
  <c r="AQ32" i="6"/>
  <c r="BC32" i="6"/>
  <c r="BD32" i="6" s="1"/>
  <c r="BI32" i="6" s="1"/>
  <c r="AI32" i="6"/>
  <c r="AJ32" i="6" s="1"/>
  <c r="AP32" i="6"/>
  <c r="AU32" i="6"/>
  <c r="BM32" i="6"/>
  <c r="AN32" i="6"/>
  <c r="BN32" i="6"/>
  <c r="BQ32" i="6" s="1"/>
  <c r="BR32" i="6" s="1"/>
  <c r="AR15" i="6"/>
  <c r="AT15" i="6" s="1"/>
  <c r="AV15" i="6" s="1"/>
  <c r="AW15" i="6" s="1"/>
  <c r="BP37" i="6"/>
  <c r="BO37" i="6"/>
  <c r="AK11" i="7"/>
  <c r="BP140" i="6"/>
  <c r="BO140" i="6"/>
  <c r="BO186" i="6"/>
  <c r="BP186" i="6"/>
  <c r="BP7" i="6"/>
  <c r="BO7" i="6"/>
  <c r="BP168" i="6"/>
  <c r="BO168" i="6"/>
  <c r="BH19" i="6"/>
  <c r="BG19" i="6"/>
  <c r="AD19" i="6"/>
  <c r="AE19" i="6" s="1"/>
  <c r="AT175" i="6"/>
  <c r="AV175" i="6" s="1"/>
  <c r="AW175" i="6" s="1"/>
  <c r="BQ14" i="6"/>
  <c r="BR14" i="6" s="1"/>
  <c r="BS14" i="6" s="1"/>
  <c r="AK5" i="7"/>
  <c r="AT107" i="6"/>
  <c r="AV107" i="6" s="1"/>
  <c r="AW107" i="6" s="1"/>
  <c r="AT90" i="6"/>
  <c r="AV90" i="6" s="1"/>
  <c r="AW90" i="6" s="1"/>
  <c r="BO192" i="6"/>
  <c r="BP192" i="6"/>
  <c r="BO153" i="6"/>
  <c r="BP153" i="6"/>
  <c r="BO205" i="6"/>
  <c r="BP205" i="6"/>
  <c r="BO189" i="6"/>
  <c r="BP189" i="6"/>
  <c r="AT116" i="6"/>
  <c r="AV116" i="6" s="1"/>
  <c r="AW116" i="6" s="1"/>
  <c r="AT133" i="6"/>
  <c r="AV133" i="6" s="1"/>
  <c r="AW133" i="6" s="1"/>
  <c r="AT106" i="6"/>
  <c r="AV106" i="6" s="1"/>
  <c r="AW106" i="6" s="1"/>
  <c r="BH143" i="6"/>
  <c r="BG143" i="6"/>
  <c r="AD143" i="6"/>
  <c r="AE143" i="6" s="1"/>
  <c r="AT57" i="6"/>
  <c r="AV57" i="6" s="1"/>
  <c r="AW57" i="6" s="1"/>
  <c r="AT183" i="6"/>
  <c r="AV183" i="6" s="1"/>
  <c r="AW183" i="6" s="1"/>
  <c r="AR68" i="6"/>
  <c r="AT68" i="6" s="1"/>
  <c r="AV68" i="6" s="1"/>
  <c r="BO71" i="6"/>
  <c r="BP71" i="6"/>
  <c r="BP124" i="6"/>
  <c r="BO124" i="6"/>
  <c r="BP66" i="6"/>
  <c r="BO66" i="6"/>
  <c r="BQ183" i="6"/>
  <c r="BR183" i="6" s="1"/>
  <c r="BS183" i="6" s="1"/>
  <c r="BQ212" i="6"/>
  <c r="BR212" i="6" s="1"/>
  <c r="BS212" i="6" s="1"/>
  <c r="BO209" i="6"/>
  <c r="BP209" i="6"/>
  <c r="BP214" i="6"/>
  <c r="BO214" i="6"/>
  <c r="AT167" i="6"/>
  <c r="AV167" i="6" s="1"/>
  <c r="AW167" i="6" s="1"/>
  <c r="AE32" i="6"/>
  <c r="BP41" i="6"/>
  <c r="BO41" i="6"/>
  <c r="AR158" i="6"/>
  <c r="AT158" i="6" s="1"/>
  <c r="AV158" i="6" s="1"/>
  <c r="AW158" i="6" s="1"/>
  <c r="BQ47" i="6"/>
  <c r="BR47" i="6" s="1"/>
  <c r="BS47" i="6" s="1"/>
  <c r="BP198" i="6"/>
  <c r="BO198" i="6"/>
  <c r="BQ180" i="6"/>
  <c r="BR180" i="6" s="1"/>
  <c r="BS180" i="6" s="1"/>
  <c r="AT95" i="6"/>
  <c r="AV95" i="6" s="1"/>
  <c r="AW95" i="6" s="1"/>
  <c r="BO119" i="6"/>
  <c r="BP119" i="6"/>
  <c r="AR163" i="6"/>
  <c r="AT163" i="6" s="1"/>
  <c r="AV163" i="6" s="1"/>
  <c r="AW163" i="6" s="1"/>
  <c r="BO108" i="6"/>
  <c r="BP108" i="6"/>
  <c r="AT149" i="6"/>
  <c r="AV149" i="6" s="1"/>
  <c r="AW149" i="6" s="1"/>
  <c r="BH30" i="6"/>
  <c r="BG30" i="6"/>
  <c r="AD30" i="6"/>
  <c r="AE30" i="6" s="1"/>
  <c r="BO188" i="6"/>
  <c r="BP188" i="6"/>
  <c r="AT165" i="6"/>
  <c r="AV165" i="6" s="1"/>
  <c r="AW165" i="6" s="1"/>
  <c r="AT14" i="6"/>
  <c r="AV14" i="6" s="1"/>
  <c r="AW14" i="6" s="1"/>
  <c r="AR171" i="6"/>
  <c r="AT171" i="6" s="1"/>
  <c r="AV171" i="6" s="1"/>
  <c r="AW171" i="6" s="1"/>
  <c r="BO167" i="6"/>
  <c r="BP167" i="6"/>
  <c r="AK10" i="7"/>
  <c r="BO133" i="6"/>
  <c r="BP133" i="6"/>
  <c r="AT204" i="6"/>
  <c r="AV204" i="6" s="1"/>
  <c r="AW204" i="6" s="1"/>
  <c r="BO113" i="6"/>
  <c r="BP113" i="6"/>
  <c r="AT212" i="6"/>
  <c r="AV212" i="6" s="1"/>
  <c r="AW212" i="6" s="1"/>
  <c r="AQ178" i="6"/>
  <c r="BQ178" i="6"/>
  <c r="BR178" i="6" s="1"/>
  <c r="AI178" i="6"/>
  <c r="AJ178" i="6" s="1"/>
  <c r="BT178" i="6"/>
  <c r="BC178" i="6"/>
  <c r="BD178" i="6" s="1"/>
  <c r="BI178" i="6" s="1"/>
  <c r="AS178" i="6"/>
  <c r="AP178" i="6"/>
  <c r="AN178" i="6"/>
  <c r="BM178" i="6"/>
  <c r="BN178" i="6"/>
  <c r="AU178" i="6"/>
  <c r="BP170" i="6"/>
  <c r="BO170" i="6"/>
  <c r="BQ11" i="6"/>
  <c r="BR11" i="6" s="1"/>
  <c r="BS11" i="6" s="1"/>
  <c r="AT151" i="6"/>
  <c r="AV151" i="6" s="1"/>
  <c r="AW151" i="6" s="1"/>
  <c r="AE178" i="6"/>
  <c r="BQ167" i="6"/>
  <c r="BR167" i="6" s="1"/>
  <c r="BS167" i="6" s="1"/>
  <c r="BP50" i="6"/>
  <c r="BO50" i="6"/>
  <c r="AT180" i="6"/>
  <c r="AV180" i="6" s="1"/>
  <c r="AW180" i="6" s="1"/>
  <c r="BG20" i="6"/>
  <c r="BH20" i="6"/>
  <c r="AD20" i="6"/>
  <c r="AE20" i="6" s="1"/>
  <c r="AT113" i="6"/>
  <c r="AV113" i="6" s="1"/>
  <c r="AW113" i="6" s="1"/>
  <c r="AT216" i="6"/>
  <c r="AV216" i="6" s="1"/>
  <c r="AW216" i="6" s="1"/>
  <c r="AR109" i="6"/>
  <c r="AT109" i="6" s="1"/>
  <c r="AV109" i="6" s="1"/>
  <c r="AW109" i="6" s="1"/>
  <c r="AR176" i="6"/>
  <c r="AT176" i="6" s="1"/>
  <c r="AV176" i="6" s="1"/>
  <c r="AW176" i="6" s="1"/>
  <c r="BJ12" i="6"/>
  <c r="BK12" i="6"/>
  <c r="AX12" i="6"/>
  <c r="AY12" i="6"/>
  <c r="AR104" i="6"/>
  <c r="AT104" i="6" s="1"/>
  <c r="AV104" i="6" s="1"/>
  <c r="AW104" i="6" s="1"/>
  <c r="AR142" i="6"/>
  <c r="AT120" i="6"/>
  <c r="AV120" i="6" s="1"/>
  <c r="AW120" i="6" s="1"/>
  <c r="BO15" i="6"/>
  <c r="BP15" i="6"/>
  <c r="AR198" i="6"/>
  <c r="AT192" i="6"/>
  <c r="AV192" i="6" s="1"/>
  <c r="AW192" i="6" s="1"/>
  <c r="AR164" i="6"/>
  <c r="AT197" i="6"/>
  <c r="AV197" i="6" s="1"/>
  <c r="AW197" i="6" s="1"/>
  <c r="BH64" i="6"/>
  <c r="BG64" i="6"/>
  <c r="AD64" i="6"/>
  <c r="BS7" i="6"/>
  <c r="BP163" i="6"/>
  <c r="BO163" i="6"/>
  <c r="AT168" i="6"/>
  <c r="AV168" i="6" s="1"/>
  <c r="AW168" i="6" s="1"/>
  <c r="BH42" i="6"/>
  <c r="BG42" i="6"/>
  <c r="AD42" i="6"/>
  <c r="AE42" i="6" s="1"/>
  <c r="BP141" i="6"/>
  <c r="BO141" i="6"/>
  <c r="AT85" i="6"/>
  <c r="AV85" i="6" s="1"/>
  <c r="AW85" i="6" s="1"/>
  <c r="AR206" i="6"/>
  <c r="AT10" i="6"/>
  <c r="AV10" i="6" s="1"/>
  <c r="AW10" i="6" s="1"/>
  <c r="BO171" i="6"/>
  <c r="BP171" i="6"/>
  <c r="BT201" i="6"/>
  <c r="AS201" i="6"/>
  <c r="BC201" i="6"/>
  <c r="BD201" i="6" s="1"/>
  <c r="BI201" i="6" s="1"/>
  <c r="AQ201" i="6"/>
  <c r="AI201" i="6"/>
  <c r="AJ201" i="6" s="1"/>
  <c r="AP201" i="6"/>
  <c r="BN201" i="6"/>
  <c r="BQ201" i="6" s="1"/>
  <c r="BR201" i="6" s="1"/>
  <c r="BM201" i="6"/>
  <c r="AU201" i="6"/>
  <c r="AN201" i="6"/>
  <c r="BP74" i="6"/>
  <c r="BO74" i="6"/>
  <c r="BO57" i="6"/>
  <c r="BP57" i="6"/>
  <c r="BO121" i="6"/>
  <c r="BP121" i="6"/>
  <c r="BO106" i="6"/>
  <c r="BP106" i="6"/>
  <c r="BP114" i="6"/>
  <c r="BO114" i="6"/>
  <c r="BG75" i="6"/>
  <c r="BH75" i="6"/>
  <c r="AD75" i="6"/>
  <c r="AE75" i="6" s="1"/>
  <c r="BK34" i="6"/>
  <c r="BJ34" i="6"/>
  <c r="AY34" i="6"/>
  <c r="AX34" i="6"/>
  <c r="BO31" i="6"/>
  <c r="BP31" i="6"/>
  <c r="BO84" i="6"/>
  <c r="BP84" i="6"/>
  <c r="BP118" i="6"/>
  <c r="BO118" i="6"/>
  <c r="BO48" i="6"/>
  <c r="BP48" i="6"/>
  <c r="BO85" i="6"/>
  <c r="BP85" i="6"/>
  <c r="BC169" i="6"/>
  <c r="BD169" i="6" s="1"/>
  <c r="BI169" i="6" s="1"/>
  <c r="AP169" i="6"/>
  <c r="BT169" i="6"/>
  <c r="AI169" i="6"/>
  <c r="AJ169" i="6" s="1"/>
  <c r="AS169" i="6"/>
  <c r="AQ169" i="6"/>
  <c r="AN169" i="6"/>
  <c r="AR169" i="6" s="1"/>
  <c r="BM169" i="6"/>
  <c r="AU169" i="6"/>
  <c r="BN169" i="6"/>
  <c r="BQ170" i="6"/>
  <c r="BR170" i="6" s="1"/>
  <c r="BS170" i="6" s="1"/>
  <c r="BP22" i="6"/>
  <c r="BO22" i="6"/>
  <c r="AR71" i="6"/>
  <c r="AT71" i="6" s="1"/>
  <c r="AV71" i="6" s="1"/>
  <c r="AW71" i="6" s="1"/>
  <c r="AT185" i="6"/>
  <c r="AV185" i="6" s="1"/>
  <c r="AW185" i="6" s="1"/>
  <c r="AV184" i="6"/>
  <c r="AW184" i="6" s="1"/>
  <c r="AR6" i="6"/>
  <c r="BO104" i="6"/>
  <c r="BP104" i="6"/>
  <c r="AR209" i="6"/>
  <c r="BQ121" i="6"/>
  <c r="BR121" i="6" s="1"/>
  <c r="BS121" i="6" s="1"/>
  <c r="AT50" i="6"/>
  <c r="AV50" i="6" s="1"/>
  <c r="AW50" i="6" s="1"/>
  <c r="BH78" i="6"/>
  <c r="BG78" i="6"/>
  <c r="AD78" i="6"/>
  <c r="AE78" i="6" s="1"/>
  <c r="AR39" i="6"/>
  <c r="AT39" i="6" s="1"/>
  <c r="AV39" i="6" s="1"/>
  <c r="AW39" i="6" s="1"/>
  <c r="AT51" i="6"/>
  <c r="AV51" i="6" s="1"/>
  <c r="AW51" i="6" s="1"/>
  <c r="BP158" i="6"/>
  <c r="BO158" i="6"/>
  <c r="BG137" i="6"/>
  <c r="BH137" i="6"/>
  <c r="AD137" i="6"/>
  <c r="AE137" i="6" s="1"/>
  <c r="AR55" i="6"/>
  <c r="AT55" i="6" s="1"/>
  <c r="AV55" i="6" s="1"/>
  <c r="AW55" i="6" s="1"/>
  <c r="BQ156" i="6"/>
  <c r="BR156" i="6" s="1"/>
  <c r="BS156" i="6" s="1"/>
  <c r="BQ186" i="6"/>
  <c r="BR186" i="6" s="1"/>
  <c r="BS186" i="6" s="1"/>
  <c r="BH17" i="6"/>
  <c r="BG17" i="6"/>
  <c r="AD17" i="6"/>
  <c r="AE17" i="6" s="1"/>
  <c r="AT141" i="6"/>
  <c r="AV141" i="6" s="1"/>
  <c r="AW141" i="6" s="1"/>
  <c r="BG211" i="6"/>
  <c r="BH211" i="6"/>
  <c r="AD211" i="6"/>
  <c r="AR36" i="6"/>
  <c r="AT36" i="6" s="1"/>
  <c r="AV36" i="6" s="1"/>
  <c r="AW36" i="6" s="1"/>
  <c r="BP145" i="6"/>
  <c r="BO145" i="6"/>
  <c r="BP206" i="6"/>
  <c r="BO206" i="6"/>
  <c r="AT172" i="6"/>
  <c r="AV172" i="6" s="1"/>
  <c r="AW172" i="6" s="1"/>
  <c r="BQ171" i="6"/>
  <c r="BR171" i="6" s="1"/>
  <c r="BS171" i="6" s="1"/>
  <c r="BH43" i="6"/>
  <c r="BG43" i="6"/>
  <c r="AD43" i="6"/>
  <c r="AE43" i="6" s="1"/>
  <c r="AS87" i="6"/>
  <c r="BT87" i="6"/>
  <c r="AQ87" i="6"/>
  <c r="BC87" i="6"/>
  <c r="BD87" i="6" s="1"/>
  <c r="BI87" i="6" s="1"/>
  <c r="AI87" i="6"/>
  <c r="AJ87" i="6" s="1"/>
  <c r="AP87" i="6"/>
  <c r="BN87" i="6"/>
  <c r="BQ87" i="6" s="1"/>
  <c r="BR87" i="6" s="1"/>
  <c r="BS87" i="6" s="1"/>
  <c r="BM87" i="6"/>
  <c r="AN87" i="6"/>
  <c r="AR87" i="6" s="1"/>
  <c r="AU87" i="6"/>
  <c r="AT6" i="6"/>
  <c r="AV6" i="6" s="1"/>
  <c r="AW6" i="6" s="1"/>
  <c r="BP202" i="6"/>
  <c r="BO202" i="6"/>
  <c r="BP53" i="6"/>
  <c r="BO53" i="6"/>
  <c r="BQ26" i="6"/>
  <c r="BR26" i="6" s="1"/>
  <c r="BS26" i="6" s="1"/>
  <c r="BQ86" i="6"/>
  <c r="BR86" i="6" s="1"/>
  <c r="BS86" i="6" s="1"/>
  <c r="BS194" i="6"/>
  <c r="BP116" i="6"/>
  <c r="BO116" i="6"/>
  <c r="BP185" i="6"/>
  <c r="BO185" i="6"/>
  <c r="BO204" i="6"/>
  <c r="BP204" i="6"/>
  <c r="BO109" i="6"/>
  <c r="BP109" i="6"/>
  <c r="BO176" i="6"/>
  <c r="BP176" i="6"/>
  <c r="BQ185" i="6"/>
  <c r="BR185" i="6" s="1"/>
  <c r="BS185" i="6" s="1"/>
  <c r="BQ184" i="6"/>
  <c r="BR184" i="6" s="1"/>
  <c r="BS184" i="6" s="1"/>
  <c r="AT84" i="6"/>
  <c r="AV84" i="6" s="1"/>
  <c r="AW84" i="6" s="1"/>
  <c r="BQ53" i="6"/>
  <c r="BR53" i="6" s="1"/>
  <c r="BS53" i="6" s="1"/>
  <c r="AR80" i="6"/>
  <c r="AT80" i="6" s="1"/>
  <c r="AV80" i="6" s="1"/>
  <c r="AW80" i="6" s="1"/>
  <c r="BP142" i="6"/>
  <c r="BO142" i="6"/>
  <c r="AK6" i="7"/>
  <c r="AE154" i="6"/>
  <c r="BH154" i="6"/>
  <c r="BG154" i="6"/>
  <c r="AD154" i="6"/>
  <c r="BO39" i="6"/>
  <c r="BP39" i="6"/>
  <c r="AT213" i="6"/>
  <c r="AV213" i="6" s="1"/>
  <c r="AW213" i="6" s="1"/>
  <c r="BG138" i="6"/>
  <c r="BH138" i="6"/>
  <c r="AD138" i="6"/>
  <c r="BP160" i="6"/>
  <c r="BO160" i="6"/>
  <c r="AT118" i="6"/>
  <c r="AV118" i="6" s="1"/>
  <c r="AW118" i="6" s="1"/>
  <c r="AR96" i="6"/>
  <c r="AT96" i="6" s="1"/>
  <c r="AV96" i="6" s="1"/>
  <c r="AW96" i="6" s="1"/>
  <c r="AT140" i="6"/>
  <c r="AV140" i="6" s="1"/>
  <c r="AW140" i="6" s="1"/>
  <c r="AK8" i="7"/>
  <c r="BP164" i="6"/>
  <c r="BO164" i="6"/>
  <c r="AT147" i="6"/>
  <c r="AV147" i="6" s="1"/>
  <c r="AW147" i="6" s="1"/>
  <c r="AR207" i="6"/>
  <c r="AT207" i="6" s="1"/>
  <c r="AV207" i="6" s="1"/>
  <c r="AW207" i="6" s="1"/>
  <c r="BQ48" i="6"/>
  <c r="BR48" i="6" s="1"/>
  <c r="BS48" i="6" s="1"/>
  <c r="BG21" i="6"/>
  <c r="BH21" i="6"/>
  <c r="AD21" i="6"/>
  <c r="BJ27" i="6"/>
  <c r="BK27" i="6"/>
  <c r="AY27" i="6"/>
  <c r="AX27" i="6"/>
  <c r="AR145" i="6"/>
  <c r="AT145" i="6" s="1"/>
  <c r="AV145" i="6" s="1"/>
  <c r="AW145" i="6" s="1"/>
  <c r="BP182" i="6"/>
  <c r="BO182" i="6"/>
  <c r="BP82" i="6"/>
  <c r="BO82" i="6"/>
  <c r="BQ10" i="6"/>
  <c r="BR10" i="6" s="1"/>
  <c r="BS10" i="6" s="1"/>
  <c r="AR181" i="6"/>
  <c r="AT181" i="6" s="1"/>
  <c r="AV181" i="6" s="1"/>
  <c r="AW181" i="6" s="1"/>
  <c r="AR187" i="6"/>
  <c r="AT187" i="6" s="1"/>
  <c r="AV187" i="6" s="1"/>
  <c r="AW187" i="6" s="1"/>
  <c r="AE201" i="6"/>
  <c r="BO216" i="6"/>
  <c r="BP216" i="6"/>
  <c r="BP120" i="6"/>
  <c r="BO120" i="6"/>
  <c r="BP199" i="6"/>
  <c r="BO199" i="6"/>
  <c r="AT52" i="6"/>
  <c r="AV52" i="6" s="1"/>
  <c r="AW52" i="6" s="1"/>
  <c r="BQ118" i="6"/>
  <c r="BR118" i="6" s="1"/>
  <c r="BS118" i="6" s="1"/>
  <c r="AQ193" i="6"/>
  <c r="BC193" i="6"/>
  <c r="BD193" i="6" s="1"/>
  <c r="BI193" i="6" s="1"/>
  <c r="BT193" i="6"/>
  <c r="AI193" i="6"/>
  <c r="AJ193" i="6" s="1"/>
  <c r="AS193" i="6"/>
  <c r="AP193" i="6"/>
  <c r="BM193" i="6"/>
  <c r="BN193" i="6"/>
  <c r="AU193" i="6"/>
  <c r="AN193" i="6"/>
  <c r="AV153" i="6"/>
  <c r="AW153" i="6" s="1"/>
  <c r="BP8" i="6"/>
  <c r="BO8" i="6"/>
  <c r="AR208" i="6"/>
  <c r="AT208" i="6" s="1"/>
  <c r="AV208" i="6" s="1"/>
  <c r="AW208" i="6" s="1"/>
  <c r="BP207" i="6"/>
  <c r="BO207" i="6"/>
  <c r="AT48" i="6"/>
  <c r="AV48" i="6" s="1"/>
  <c r="AW48" i="6" s="1"/>
  <c r="BP40" i="6"/>
  <c r="BO40" i="6"/>
  <c r="BP36" i="6"/>
  <c r="BO36" i="6"/>
  <c r="AR110" i="6"/>
  <c r="AT110" i="6" s="1"/>
  <c r="AV110" i="6" s="1"/>
  <c r="AW110" i="6" s="1"/>
  <c r="AT100" i="6"/>
  <c r="AV100" i="6" s="1"/>
  <c r="AW100" i="6" s="1"/>
  <c r="BJ92" i="6"/>
  <c r="BK92" i="6"/>
  <c r="AX92" i="6"/>
  <c r="AY92" i="6"/>
  <c r="BS105" i="6"/>
  <c r="AT170" i="6"/>
  <c r="AV170" i="6" s="1"/>
  <c r="AW170" i="6" s="1"/>
  <c r="BQ199" i="6"/>
  <c r="BR199" i="6" s="1"/>
  <c r="BS199" i="6" s="1"/>
  <c r="BP6" i="6"/>
  <c r="BO6" i="6"/>
  <c r="AT53" i="6"/>
  <c r="AV53" i="6" s="1"/>
  <c r="AW53" i="6" s="1"/>
  <c r="BP80" i="6"/>
  <c r="BO80" i="6"/>
  <c r="BQ31" i="6"/>
  <c r="BR31" i="6" s="1"/>
  <c r="BS31" i="6" s="1"/>
  <c r="AR5" i="6"/>
  <c r="AT5" i="6" s="1"/>
  <c r="AV5" i="6" s="1"/>
  <c r="AW5" i="6" s="1"/>
  <c r="AR54" i="6"/>
  <c r="AT54" i="6" s="1"/>
  <c r="AV54" i="6" s="1"/>
  <c r="AW54" i="6" s="1"/>
  <c r="BQ189" i="6"/>
  <c r="BR189" i="6" s="1"/>
  <c r="BS189" i="6" s="1"/>
  <c r="AR160" i="6"/>
  <c r="AT160" i="6" s="1"/>
  <c r="AV160" i="6" s="1"/>
  <c r="AW160" i="6" s="1"/>
  <c r="AT24" i="6"/>
  <c r="AV24" i="6" s="1"/>
  <c r="AW24" i="6" s="1"/>
  <c r="AR61" i="6"/>
  <c r="AT61" i="6" s="1"/>
  <c r="AV61" i="6" s="1"/>
  <c r="AW61" i="6" s="1"/>
  <c r="BQ192" i="6"/>
  <c r="BR192" i="6" s="1"/>
  <c r="BS192" i="6" s="1"/>
  <c r="AE193" i="6"/>
  <c r="AX119" i="6"/>
  <c r="AT7" i="6"/>
  <c r="AV7" i="6" s="1"/>
  <c r="AW7" i="6" s="1"/>
  <c r="AT108" i="6"/>
  <c r="AV108" i="6" s="1"/>
  <c r="AW108" i="6" s="1"/>
  <c r="BO125" i="6"/>
  <c r="BP125" i="6"/>
  <c r="BQ59" i="6"/>
  <c r="BR59" i="6" s="1"/>
  <c r="BS59" i="6" s="1"/>
  <c r="BO110" i="6"/>
  <c r="BP110" i="6"/>
  <c r="AR182" i="6"/>
  <c r="AT182" i="6" s="1"/>
  <c r="AV182" i="6" s="1"/>
  <c r="AW182" i="6" s="1"/>
  <c r="BP187" i="6"/>
  <c r="BO187" i="6"/>
  <c r="AS76" i="6"/>
  <c r="BC76" i="6"/>
  <c r="BD76" i="6" s="1"/>
  <c r="BI76" i="6" s="1"/>
  <c r="AI76" i="6"/>
  <c r="AJ76" i="6" s="1"/>
  <c r="AP76" i="6"/>
  <c r="AQ76" i="6"/>
  <c r="BT76" i="6"/>
  <c r="BN76" i="6"/>
  <c r="BQ76" i="6" s="1"/>
  <c r="BR76" i="6" s="1"/>
  <c r="BM76" i="6"/>
  <c r="AU76" i="6"/>
  <c r="AN76" i="6"/>
  <c r="BH81" i="6"/>
  <c r="BG81" i="6"/>
  <c r="AD81" i="6"/>
  <c r="AE81" i="6" s="1"/>
  <c r="BS152" i="6"/>
  <c r="BP196" i="6"/>
  <c r="BO196" i="6"/>
  <c r="AT150" i="6"/>
  <c r="AV150" i="6" s="1"/>
  <c r="AW150" i="6" s="1"/>
  <c r="BC191" i="6"/>
  <c r="BD191" i="6" s="1"/>
  <c r="BI191" i="6" s="1"/>
  <c r="AS191" i="6"/>
  <c r="BT191" i="6"/>
  <c r="AI191" i="6"/>
  <c r="AJ191" i="6" s="1"/>
  <c r="AQ191" i="6"/>
  <c r="AP191" i="6"/>
  <c r="BN191" i="6"/>
  <c r="BQ191" i="6" s="1"/>
  <c r="BR191" i="6" s="1"/>
  <c r="BS191" i="6" s="1"/>
  <c r="BM191" i="6"/>
  <c r="AU191" i="6"/>
  <c r="AN191" i="6"/>
  <c r="AT205" i="6"/>
  <c r="AV205" i="6" s="1"/>
  <c r="AW205" i="6" s="1"/>
  <c r="BO49" i="6"/>
  <c r="BP49" i="6"/>
  <c r="AR204" i="6"/>
  <c r="BS22" i="6"/>
  <c r="AR46" i="6"/>
  <c r="AT46" i="6" s="1"/>
  <c r="AV46" i="6" s="1"/>
  <c r="AW46" i="6" s="1"/>
  <c r="BP5" i="6"/>
  <c r="BO5" i="6"/>
  <c r="BQ205" i="6"/>
  <c r="BR205" i="6" s="1"/>
  <c r="BS205" i="6" s="1"/>
  <c r="AR49" i="6"/>
  <c r="AT49" i="6" s="1"/>
  <c r="AV49" i="6" s="1"/>
  <c r="AW49" i="6" s="1"/>
  <c r="BP96" i="6"/>
  <c r="BO96" i="6"/>
  <c r="BQ24" i="6"/>
  <c r="BR24" i="6" s="1"/>
  <c r="BS24" i="6" s="1"/>
  <c r="BO61" i="6"/>
  <c r="BP61" i="6"/>
  <c r="BO101" i="6"/>
  <c r="BP101" i="6"/>
  <c r="BP115" i="6"/>
  <c r="BO115" i="6"/>
  <c r="AT156" i="6"/>
  <c r="AV156" i="6" s="1"/>
  <c r="AW156" i="6" s="1"/>
  <c r="BJ18" i="6"/>
  <c r="BK18" i="6"/>
  <c r="AX18" i="6"/>
  <c r="AY18" i="6"/>
  <c r="AY119" i="6"/>
  <c r="BP208" i="6"/>
  <c r="BO208" i="6"/>
  <c r="AR200" i="6"/>
  <c r="AT200" i="6" s="1"/>
  <c r="AV200" i="6" s="1"/>
  <c r="AW200" i="6" s="1"/>
  <c r="AR125" i="6"/>
  <c r="AT125" i="6" s="1"/>
  <c r="AV125" i="6" s="1"/>
  <c r="AW125" i="6" s="1"/>
  <c r="AR40" i="6"/>
  <c r="AT40" i="6" s="1"/>
  <c r="AV40" i="6" s="1"/>
  <c r="AW40" i="6" s="1"/>
  <c r="BQ36" i="6"/>
  <c r="BR36" i="6" s="1"/>
  <c r="BS36" i="6" s="1"/>
  <c r="BP181" i="6"/>
  <c r="BO181" i="6"/>
  <c r="AR157" i="6"/>
  <c r="AT157" i="6" s="1"/>
  <c r="AV157" i="6" s="1"/>
  <c r="AW157" i="6" s="1"/>
  <c r="BP102" i="6"/>
  <c r="BO102" i="6"/>
  <c r="AT142" i="6"/>
  <c r="AV142" i="6" s="1"/>
  <c r="AW142" i="6" s="1"/>
  <c r="BK8" i="6"/>
  <c r="BJ8" i="6"/>
  <c r="AL8" i="7"/>
  <c r="BG215" i="6"/>
  <c r="BH215" i="6"/>
  <c r="AD215" i="6"/>
  <c r="AE215" i="6" s="1"/>
  <c r="BG60" i="6"/>
  <c r="BH60" i="6"/>
  <c r="AD60" i="6"/>
  <c r="AE60" i="6" s="1"/>
  <c r="BP131" i="6"/>
  <c r="BO131" i="6"/>
  <c r="BK89" i="6"/>
  <c r="BJ89" i="6"/>
  <c r="AY89" i="6"/>
  <c r="AX89" i="6"/>
  <c r="BO197" i="6"/>
  <c r="BP197" i="6"/>
  <c r="BO149" i="6"/>
  <c r="BP149" i="6"/>
  <c r="BP175" i="6"/>
  <c r="BO175" i="6"/>
  <c r="BO16" i="6"/>
  <c r="BP16" i="6"/>
  <c r="AT121" i="6"/>
  <c r="AV121" i="6" s="1"/>
  <c r="AW121" i="6" s="1"/>
  <c r="BP147" i="6"/>
  <c r="BO147" i="6"/>
  <c r="BP165" i="6"/>
  <c r="BO165" i="6"/>
  <c r="AQ128" i="6"/>
  <c r="BT128" i="6"/>
  <c r="AS128" i="6"/>
  <c r="AI128" i="6"/>
  <c r="AJ128" i="6" s="1"/>
  <c r="BC128" i="6"/>
  <c r="BD128" i="6" s="1"/>
  <c r="BI128" i="6" s="1"/>
  <c r="AP128" i="6"/>
  <c r="AU128" i="6"/>
  <c r="BN128" i="6"/>
  <c r="BQ128" i="6" s="1"/>
  <c r="BR128" i="6" s="1"/>
  <c r="BS128" i="6" s="1"/>
  <c r="BM128" i="6"/>
  <c r="AN128" i="6"/>
  <c r="BP213" i="6"/>
  <c r="BO213" i="6"/>
  <c r="AT131" i="6"/>
  <c r="AV131" i="6" s="1"/>
  <c r="AW131" i="6" s="1"/>
  <c r="BO103" i="6"/>
  <c r="BP103" i="6"/>
  <c r="BP51" i="6"/>
  <c r="BO51" i="6"/>
  <c r="AV130" i="6"/>
  <c r="AW130" i="6" s="1"/>
  <c r="BP95" i="6"/>
  <c r="BO95" i="6"/>
  <c r="BQ16" i="6"/>
  <c r="BR16" i="6" s="1"/>
  <c r="BS16" i="6" s="1"/>
  <c r="BQ196" i="6"/>
  <c r="BR196" i="6" s="1"/>
  <c r="BS196" i="6" s="1"/>
  <c r="AR77" i="6"/>
  <c r="AT77" i="6" s="1"/>
  <c r="AV77" i="6" s="1"/>
  <c r="AW77" i="6" s="1"/>
  <c r="AT199" i="6"/>
  <c r="AV199" i="6" s="1"/>
  <c r="AW199" i="6" s="1"/>
  <c r="AT98" i="6"/>
  <c r="AV98" i="6" s="1"/>
  <c r="AW98" i="6" s="1"/>
  <c r="BO135" i="6"/>
  <c r="BP135" i="6"/>
  <c r="BS214" i="6"/>
  <c r="BQ52" i="6"/>
  <c r="BR52" i="6" s="1"/>
  <c r="BS52" i="6" s="1"/>
  <c r="AR56" i="6"/>
  <c r="AT56" i="6" s="1"/>
  <c r="AV56" i="6" s="1"/>
  <c r="AW56" i="6" s="1"/>
  <c r="AR139" i="6"/>
  <c r="AT139" i="6" s="1"/>
  <c r="AV139" i="6" s="1"/>
  <c r="AW139" i="6" s="1"/>
  <c r="BQ204" i="6"/>
  <c r="BR204" i="6" s="1"/>
  <c r="BS204" i="6" s="1"/>
  <c r="BU68" i="6"/>
  <c r="BE68" i="6"/>
  <c r="BF68" i="6" s="1"/>
  <c r="BL68" i="6" s="1"/>
  <c r="AZ68" i="6"/>
  <c r="BO90" i="6"/>
  <c r="BP90" i="6"/>
  <c r="AR144" i="6"/>
  <c r="AT144" i="6" s="1"/>
  <c r="AV144" i="6" s="1"/>
  <c r="AW144" i="6" s="1"/>
  <c r="BP54" i="6"/>
  <c r="BO54" i="6"/>
  <c r="BO99" i="6"/>
  <c r="BP99" i="6"/>
  <c r="AR194" i="6"/>
  <c r="AT194" i="6" s="1"/>
  <c r="AV194" i="6" s="1"/>
  <c r="AW194" i="6" s="1"/>
  <c r="AR123" i="6"/>
  <c r="BQ37" i="6"/>
  <c r="BR37" i="6" s="1"/>
  <c r="BS37" i="6" s="1"/>
  <c r="BC146" i="6"/>
  <c r="BD146" i="6" s="1"/>
  <c r="BI146" i="6" s="1"/>
  <c r="AS146" i="6"/>
  <c r="AT146" i="6" s="1"/>
  <c r="AI146" i="6"/>
  <c r="AJ146" i="6" s="1"/>
  <c r="AQ146" i="6"/>
  <c r="BT146" i="6"/>
  <c r="AP146" i="6"/>
  <c r="AU146" i="6"/>
  <c r="AN146" i="6"/>
  <c r="AR146" i="6" s="1"/>
  <c r="BM146" i="6"/>
  <c r="BN146" i="6"/>
  <c r="AR62" i="6"/>
  <c r="AT62" i="6" s="1"/>
  <c r="AV62" i="6" s="1"/>
  <c r="AW62" i="6" s="1"/>
  <c r="AT164" i="6"/>
  <c r="AV164" i="6" s="1"/>
  <c r="AW164" i="6" s="1"/>
  <c r="BQ161" i="6"/>
  <c r="BR161" i="6" s="1"/>
  <c r="AI161" i="6"/>
  <c r="AJ161" i="6" s="1"/>
  <c r="BC161" i="6"/>
  <c r="BD161" i="6" s="1"/>
  <c r="BI161" i="6" s="1"/>
  <c r="AQ161" i="6"/>
  <c r="BT161" i="6"/>
  <c r="AS161" i="6"/>
  <c r="AP161" i="6"/>
  <c r="BN161" i="6"/>
  <c r="AU161" i="6"/>
  <c r="BM161" i="6"/>
  <c r="AN161" i="6"/>
  <c r="AR45" i="6"/>
  <c r="AT45" i="6" s="1"/>
  <c r="AV45" i="6" s="1"/>
  <c r="AW45" i="6" s="1"/>
  <c r="AT186" i="6"/>
  <c r="AV186" i="6" s="1"/>
  <c r="AW186" i="6" s="1"/>
  <c r="BP200" i="6"/>
  <c r="BO200" i="6"/>
  <c r="BO72" i="6"/>
  <c r="BP72" i="6"/>
  <c r="AR122" i="6"/>
  <c r="AT122" i="6" s="1"/>
  <c r="AV122" i="6" s="1"/>
  <c r="AW122" i="6" s="1"/>
  <c r="AT206" i="6"/>
  <c r="AV206" i="6" s="1"/>
  <c r="AW206" i="6" s="1"/>
  <c r="AT82" i="6"/>
  <c r="AV82" i="6" s="1"/>
  <c r="AW82" i="6" s="1"/>
  <c r="BH159" i="6"/>
  <c r="BG159" i="6"/>
  <c r="AD159" i="6"/>
  <c r="AR23" i="6"/>
  <c r="AT23" i="6" s="1"/>
  <c r="AV23" i="6" s="1"/>
  <c r="AW23" i="6" s="1"/>
  <c r="AE76" i="6"/>
  <c r="BH195" i="6"/>
  <c r="BG195" i="6"/>
  <c r="AD195" i="6"/>
  <c r="BO33" i="6"/>
  <c r="BP33" i="6"/>
  <c r="BP132" i="6"/>
  <c r="BO132" i="6"/>
  <c r="AT123" i="6"/>
  <c r="AV123" i="6" s="1"/>
  <c r="AW123" i="6" s="1"/>
  <c r="BO98" i="6"/>
  <c r="BP98" i="6"/>
  <c r="AR101" i="6"/>
  <c r="AT124" i="6"/>
  <c r="AV124" i="6" s="1"/>
  <c r="AW124" i="6" s="1"/>
  <c r="BO139" i="6"/>
  <c r="BP139" i="6"/>
  <c r="AR93" i="6"/>
  <c r="AT93" i="6" s="1"/>
  <c r="AV93" i="6" s="1"/>
  <c r="AR90" i="6"/>
  <c r="BQ50" i="6"/>
  <c r="BR50" i="6" s="1"/>
  <c r="BS50" i="6" s="1"/>
  <c r="BG69" i="6"/>
  <c r="BH69" i="6"/>
  <c r="AD69" i="6"/>
  <c r="BJ189" i="6"/>
  <c r="BK189" i="6"/>
  <c r="AS88" i="6"/>
  <c r="AQ88" i="6"/>
  <c r="BC88" i="6"/>
  <c r="BD88" i="6" s="1"/>
  <c r="BI88" i="6" s="1"/>
  <c r="BT88" i="6"/>
  <c r="AI88" i="6"/>
  <c r="AJ88" i="6" s="1"/>
  <c r="AP88" i="6"/>
  <c r="BM88" i="6"/>
  <c r="AU88" i="6"/>
  <c r="BN88" i="6"/>
  <c r="BQ88" i="6" s="1"/>
  <c r="BR88" i="6" s="1"/>
  <c r="AN88" i="6"/>
  <c r="AR63" i="6"/>
  <c r="AT63" i="6" s="1"/>
  <c r="AV63" i="6" s="1"/>
  <c r="AW63" i="6" s="1"/>
  <c r="BO45" i="6"/>
  <c r="BP45" i="6"/>
  <c r="BQ207" i="6"/>
  <c r="BR207" i="6" s="1"/>
  <c r="BS207" i="6" s="1"/>
  <c r="BJ188" i="6"/>
  <c r="BK188" i="6"/>
  <c r="BH136" i="6"/>
  <c r="BG136" i="6"/>
  <c r="AD136" i="6"/>
  <c r="AE136" i="6" s="1"/>
  <c r="BO157" i="6"/>
  <c r="BP157" i="6"/>
  <c r="BH73" i="6"/>
  <c r="BG73" i="6"/>
  <c r="AD73" i="6"/>
  <c r="AE73" i="6" s="1"/>
  <c r="BP155" i="6"/>
  <c r="BO155" i="6"/>
  <c r="BK13" i="6"/>
  <c r="BJ13" i="6"/>
  <c r="AX13" i="6"/>
  <c r="AY13" i="6"/>
  <c r="BP112" i="6"/>
  <c r="BO112" i="6"/>
  <c r="BP150" i="6"/>
  <c r="BO150" i="6"/>
  <c r="BU93" i="6"/>
  <c r="BE93" i="6"/>
  <c r="BF93" i="6" s="1"/>
  <c r="BL93" i="6" s="1"/>
  <c r="AZ93" i="6"/>
  <c r="BO130" i="6"/>
  <c r="BP130" i="6"/>
  <c r="BP210" i="6"/>
  <c r="BO210" i="6"/>
  <c r="BS56" i="6"/>
  <c r="AT202" i="6"/>
  <c r="AV202" i="6" s="1"/>
  <c r="AW202" i="6" s="1"/>
  <c r="AT47" i="6"/>
  <c r="AV47" i="6" s="1"/>
  <c r="AW47" i="6" s="1"/>
  <c r="BP100" i="6"/>
  <c r="BO100" i="6"/>
  <c r="AT111" i="6"/>
  <c r="AV111" i="6" s="1"/>
  <c r="AW111" i="6" s="1"/>
  <c r="BO172" i="6"/>
  <c r="BP172" i="6"/>
  <c r="BQ150" i="6"/>
  <c r="BR150" i="6" s="1"/>
  <c r="BS150" i="6" s="1"/>
  <c r="AR99" i="6"/>
  <c r="AT99" i="6" s="1"/>
  <c r="AV99" i="6" s="1"/>
  <c r="AW99" i="6" s="1"/>
  <c r="BP55" i="6"/>
  <c r="BO55" i="6"/>
  <c r="AR28" i="6"/>
  <c r="AT28" i="6" s="1"/>
  <c r="AV28" i="6" s="1"/>
  <c r="AW28" i="6" s="1"/>
  <c r="BP77" i="6"/>
  <c r="BO77" i="6"/>
  <c r="AR97" i="6"/>
  <c r="AT97" i="6" s="1"/>
  <c r="AV97" i="6" s="1"/>
  <c r="AW97" i="6" s="1"/>
  <c r="BO56" i="6"/>
  <c r="BP56" i="6"/>
  <c r="BS66" i="6"/>
  <c r="AR152" i="6"/>
  <c r="AT152" i="6" s="1"/>
  <c r="AV152" i="6" s="1"/>
  <c r="AW152" i="6" s="1"/>
  <c r="AR162" i="6"/>
  <c r="AT162" i="6" s="1"/>
  <c r="AV162" i="6" s="1"/>
  <c r="AW162" i="6" s="1"/>
  <c r="BO46" i="6"/>
  <c r="BP46" i="6"/>
  <c r="BQ28" i="6"/>
  <c r="BR28" i="6" s="1"/>
  <c r="BS28" i="6" s="1"/>
  <c r="BO107" i="6"/>
  <c r="BP107" i="6"/>
  <c r="AR105" i="6"/>
  <c r="AT105" i="6" s="1"/>
  <c r="AV105" i="6" s="1"/>
  <c r="AW105" i="6" s="1"/>
  <c r="BQ176" i="6"/>
  <c r="BR176" i="6" s="1"/>
  <c r="BS176" i="6" s="1"/>
  <c r="AR102" i="6"/>
  <c r="AT102" i="6" s="1"/>
  <c r="AV102" i="6" s="1"/>
  <c r="AW102" i="6" s="1"/>
  <c r="BS104" i="6"/>
  <c r="AT209" i="6"/>
  <c r="AV209" i="6" s="1"/>
  <c r="AW209" i="6" s="1"/>
  <c r="AT214" i="6"/>
  <c r="AV214" i="6" s="1"/>
  <c r="AW214" i="6" s="1"/>
  <c r="BS90" i="6"/>
  <c r="BP144" i="6"/>
  <c r="BO144" i="6"/>
  <c r="BS41" i="6"/>
  <c r="BO194" i="6"/>
  <c r="BP194" i="6"/>
  <c r="BG67" i="6"/>
  <c r="BH67" i="6"/>
  <c r="AD67" i="6"/>
  <c r="BK44" i="6"/>
  <c r="BJ44" i="6"/>
  <c r="AX44" i="6"/>
  <c r="AY44" i="6"/>
  <c r="BQ198" i="6"/>
  <c r="BR198" i="6" s="1"/>
  <c r="BS198" i="6" s="1"/>
  <c r="AT37" i="6"/>
  <c r="AV37" i="6" s="1"/>
  <c r="AW37" i="6" s="1"/>
  <c r="BQ101" i="6"/>
  <c r="BR101" i="6" s="1"/>
  <c r="BS101" i="6" s="1"/>
  <c r="AS203" i="6"/>
  <c r="BC203" i="6"/>
  <c r="BD203" i="6" s="1"/>
  <c r="BI203" i="6" s="1"/>
  <c r="AI203" i="6"/>
  <c r="AJ203" i="6" s="1"/>
  <c r="AQ203" i="6"/>
  <c r="BT203" i="6"/>
  <c r="AP203" i="6"/>
  <c r="AU203" i="6"/>
  <c r="AN203" i="6"/>
  <c r="AR203" i="6" s="1"/>
  <c r="BN203" i="6"/>
  <c r="BM203" i="6"/>
  <c r="BP111" i="6"/>
  <c r="BO111" i="6"/>
  <c r="BQ125" i="6"/>
  <c r="BR125" i="6" s="1"/>
  <c r="BS125" i="6" s="1"/>
  <c r="AR72" i="6"/>
  <c r="AT72" i="6" s="1"/>
  <c r="AV72" i="6" s="1"/>
  <c r="AW72" i="6" s="1"/>
  <c r="BO122" i="6"/>
  <c r="BP122" i="6"/>
  <c r="BQ141" i="6"/>
  <c r="BR141" i="6" s="1"/>
  <c r="BS141" i="6" s="1"/>
  <c r="BH127" i="6"/>
  <c r="BG127" i="6"/>
  <c r="AD127" i="6"/>
  <c r="AX115" i="6" l="1"/>
  <c r="AM8" i="7"/>
  <c r="AI166" i="6"/>
  <c r="AJ166" i="6" s="1"/>
  <c r="AU166" i="6"/>
  <c r="AP166" i="6"/>
  <c r="BM166" i="6"/>
  <c r="AS166" i="6"/>
  <c r="BC166" i="6"/>
  <c r="BD166" i="6" s="1"/>
  <c r="BI166" i="6" s="1"/>
  <c r="AQ166" i="6"/>
  <c r="BT166" i="6"/>
  <c r="BN166" i="6"/>
  <c r="AN166" i="6"/>
  <c r="AR166" i="6" s="1"/>
  <c r="AZ115" i="6"/>
  <c r="AE166" i="6"/>
  <c r="AP179" i="6"/>
  <c r="BC179" i="6"/>
  <c r="BD179" i="6" s="1"/>
  <c r="BI179" i="6" s="1"/>
  <c r="AY179" i="6"/>
  <c r="AU179" i="6"/>
  <c r="AI179" i="6"/>
  <c r="AJ179" i="6" s="1"/>
  <c r="BQ179" i="6"/>
  <c r="BR179" i="6" s="1"/>
  <c r="BS179" i="6" s="1"/>
  <c r="AQ179" i="6"/>
  <c r="AE179" i="6"/>
  <c r="BT179" i="6"/>
  <c r="AX179" i="6"/>
  <c r="AS179" i="6"/>
  <c r="AN179" i="6"/>
  <c r="AR193" i="6"/>
  <c r="BT190" i="6"/>
  <c r="BQ190" i="6"/>
  <c r="BR190" i="6" s="1"/>
  <c r="AQ190" i="6"/>
  <c r="AP190" i="6"/>
  <c r="BN190" i="6"/>
  <c r="AI190" i="6"/>
  <c r="AJ190" i="6" s="1"/>
  <c r="BM190" i="6"/>
  <c r="AE190" i="6"/>
  <c r="AU190" i="6"/>
  <c r="AN190" i="6"/>
  <c r="AR190" i="6" s="1"/>
  <c r="BC190" i="6"/>
  <c r="BD190" i="6" s="1"/>
  <c r="BI190" i="6" s="1"/>
  <c r="AS190" i="6"/>
  <c r="AR161" i="6"/>
  <c r="AT161" i="6" s="1"/>
  <c r="AV161" i="6" s="1"/>
  <c r="AW161" i="6" s="1"/>
  <c r="BT174" i="6"/>
  <c r="AL10" i="7" s="1"/>
  <c r="AM10" i="7" s="1"/>
  <c r="AI174" i="6"/>
  <c r="AJ174" i="6" s="1"/>
  <c r="BC174" i="6"/>
  <c r="BD174" i="6" s="1"/>
  <c r="BI174" i="6" s="1"/>
  <c r="AS174" i="6"/>
  <c r="AU174" i="6"/>
  <c r="BN174" i="6"/>
  <c r="BM174" i="6"/>
  <c r="AN174" i="6"/>
  <c r="BQ174" i="6"/>
  <c r="BR174" i="6" s="1"/>
  <c r="AP174" i="6"/>
  <c r="AQ174" i="6"/>
  <c r="AX188" i="6"/>
  <c r="AY188" i="6"/>
  <c r="BU115" i="6"/>
  <c r="AT87" i="6"/>
  <c r="AV87" i="6" s="1"/>
  <c r="AW87" i="6" s="1"/>
  <c r="BK115" i="6"/>
  <c r="BS161" i="6"/>
  <c r="BK22" i="6"/>
  <c r="BJ115" i="6"/>
  <c r="AY22" i="6"/>
  <c r="BE22" i="6" s="1"/>
  <c r="BF22" i="6" s="1"/>
  <c r="BL22" i="6" s="1"/>
  <c r="AS173" i="6"/>
  <c r="AP173" i="6"/>
  <c r="AU173" i="6"/>
  <c r="BN173" i="6"/>
  <c r="BM173" i="6"/>
  <c r="AN173" i="6"/>
  <c r="AR173" i="6" s="1"/>
  <c r="AT173" i="6" s="1"/>
  <c r="AV173" i="6" s="1"/>
  <c r="AW173" i="6" s="1"/>
  <c r="BK173" i="6" s="1"/>
  <c r="BT173" i="6"/>
  <c r="AI173" i="6"/>
  <c r="AJ173" i="6" s="1"/>
  <c r="AQ173" i="6"/>
  <c r="BC173" i="6"/>
  <c r="BD173" i="6" s="1"/>
  <c r="BI173" i="6" s="1"/>
  <c r="BJ22" i="6"/>
  <c r="AE173" i="6"/>
  <c r="BK162" i="6"/>
  <c r="BJ162" i="6"/>
  <c r="AY162" i="6"/>
  <c r="AX162" i="6"/>
  <c r="BK46" i="6"/>
  <c r="BJ46" i="6"/>
  <c r="AY46" i="6"/>
  <c r="AX46" i="6"/>
  <c r="BK171" i="6"/>
  <c r="BJ171" i="6"/>
  <c r="AX171" i="6"/>
  <c r="AY171" i="6"/>
  <c r="BJ77" i="6"/>
  <c r="BK77" i="6"/>
  <c r="AX77" i="6"/>
  <c r="AY77" i="6"/>
  <c r="BJ45" i="6"/>
  <c r="BK45" i="6"/>
  <c r="AX45" i="6"/>
  <c r="AY45" i="6"/>
  <c r="BJ49" i="6"/>
  <c r="BK49" i="6"/>
  <c r="AY49" i="6"/>
  <c r="AX49" i="6"/>
  <c r="BK112" i="6"/>
  <c r="BJ112" i="6"/>
  <c r="AX112" i="6"/>
  <c r="AY112" i="6"/>
  <c r="BJ72" i="6"/>
  <c r="BK72" i="6"/>
  <c r="AX72" i="6"/>
  <c r="AY72" i="6"/>
  <c r="BK109" i="6"/>
  <c r="BJ109" i="6"/>
  <c r="AX109" i="6"/>
  <c r="AY109" i="6"/>
  <c r="BJ207" i="6"/>
  <c r="BK207" i="6"/>
  <c r="AY207" i="6"/>
  <c r="AX207" i="6"/>
  <c r="BJ71" i="6"/>
  <c r="BK71" i="6"/>
  <c r="AX71" i="6"/>
  <c r="AY71" i="6"/>
  <c r="BK40" i="6"/>
  <c r="BJ40" i="6"/>
  <c r="AY40" i="6"/>
  <c r="AX40" i="6"/>
  <c r="BJ61" i="6"/>
  <c r="BK61" i="6"/>
  <c r="AY61" i="6"/>
  <c r="AX61" i="6"/>
  <c r="BK54" i="6"/>
  <c r="BJ54" i="6"/>
  <c r="AX54" i="6"/>
  <c r="AY54" i="6"/>
  <c r="BJ152" i="6"/>
  <c r="BK152" i="6"/>
  <c r="AX152" i="6"/>
  <c r="AY152" i="6"/>
  <c r="BK55" i="6"/>
  <c r="BJ55" i="6"/>
  <c r="AX55" i="6"/>
  <c r="AY55" i="6"/>
  <c r="BJ5" i="6"/>
  <c r="BK5" i="6"/>
  <c r="AY5" i="6"/>
  <c r="AX5" i="6"/>
  <c r="BK80" i="6"/>
  <c r="BJ80" i="6"/>
  <c r="AX80" i="6"/>
  <c r="AY80" i="6"/>
  <c r="BK97" i="6"/>
  <c r="BJ97" i="6"/>
  <c r="AY97" i="6"/>
  <c r="AX97" i="6"/>
  <c r="BJ99" i="6"/>
  <c r="BK99" i="6"/>
  <c r="AX99" i="6"/>
  <c r="AY99" i="6"/>
  <c r="BK62" i="6"/>
  <c r="BJ62" i="6"/>
  <c r="AY62" i="6"/>
  <c r="AX62" i="6"/>
  <c r="BK102" i="6"/>
  <c r="BJ102" i="6"/>
  <c r="AY102" i="6"/>
  <c r="AX102" i="6"/>
  <c r="BJ208" i="6"/>
  <c r="BK208" i="6"/>
  <c r="AY208" i="6"/>
  <c r="AX208" i="6"/>
  <c r="BK117" i="6"/>
  <c r="BJ117" i="6"/>
  <c r="AX117" i="6"/>
  <c r="AY117" i="6"/>
  <c r="BJ126" i="6"/>
  <c r="BK126" i="6"/>
  <c r="AX126" i="6"/>
  <c r="AY126" i="6"/>
  <c r="BK86" i="6"/>
  <c r="BJ86" i="6"/>
  <c r="AY86" i="6"/>
  <c r="AX86" i="6"/>
  <c r="BK200" i="6"/>
  <c r="BJ200" i="6"/>
  <c r="AX200" i="6"/>
  <c r="AY200" i="6"/>
  <c r="BK39" i="6"/>
  <c r="BJ39" i="6"/>
  <c r="AX39" i="6"/>
  <c r="AY39" i="6"/>
  <c r="BJ187" i="6"/>
  <c r="BK187" i="6"/>
  <c r="AX187" i="6"/>
  <c r="AY187" i="6"/>
  <c r="BJ74" i="6"/>
  <c r="BK74" i="6"/>
  <c r="AY74" i="6"/>
  <c r="AX74" i="6"/>
  <c r="BJ194" i="6"/>
  <c r="BK194" i="6"/>
  <c r="AX194" i="6"/>
  <c r="AY194" i="6"/>
  <c r="BJ144" i="6"/>
  <c r="BK144" i="6"/>
  <c r="AX144" i="6"/>
  <c r="AY144" i="6"/>
  <c r="BJ63" i="6"/>
  <c r="BK63" i="6"/>
  <c r="AY63" i="6"/>
  <c r="AX63" i="6"/>
  <c r="BK139" i="6"/>
  <c r="BJ139" i="6"/>
  <c r="AX139" i="6"/>
  <c r="AY139" i="6"/>
  <c r="BK104" i="6"/>
  <c r="BJ104" i="6"/>
  <c r="AY104" i="6"/>
  <c r="AX104" i="6"/>
  <c r="BJ122" i="6"/>
  <c r="BK122" i="6"/>
  <c r="AY122" i="6"/>
  <c r="AX122" i="6"/>
  <c r="BK96" i="6"/>
  <c r="BJ96" i="6"/>
  <c r="AX96" i="6"/>
  <c r="AY96" i="6"/>
  <c r="BJ157" i="6"/>
  <c r="BK157" i="6"/>
  <c r="AX157" i="6"/>
  <c r="AY157" i="6"/>
  <c r="BJ182" i="6"/>
  <c r="BK182" i="6"/>
  <c r="AX182" i="6"/>
  <c r="AY182" i="6"/>
  <c r="BJ125" i="6"/>
  <c r="BK125" i="6"/>
  <c r="AY125" i="6"/>
  <c r="AX125" i="6"/>
  <c r="BK160" i="6"/>
  <c r="BJ160" i="6"/>
  <c r="AY160" i="6"/>
  <c r="AX160" i="6"/>
  <c r="BJ52" i="6"/>
  <c r="BK52" i="6"/>
  <c r="AX52" i="6"/>
  <c r="AY52" i="6"/>
  <c r="BJ113" i="6"/>
  <c r="BK113" i="6"/>
  <c r="AY113" i="6"/>
  <c r="AX113" i="6"/>
  <c r="BJ198" i="6"/>
  <c r="BK198" i="6"/>
  <c r="AY198" i="6"/>
  <c r="AX198" i="6"/>
  <c r="AQ70" i="6"/>
  <c r="AI70" i="6"/>
  <c r="AJ70" i="6" s="1"/>
  <c r="AS70" i="6"/>
  <c r="BC70" i="6"/>
  <c r="BD70" i="6" s="1"/>
  <c r="BI70" i="6" s="1"/>
  <c r="BT70" i="6"/>
  <c r="AP70" i="6"/>
  <c r="AU70" i="6"/>
  <c r="BM70" i="6"/>
  <c r="BN70" i="6"/>
  <c r="AN70" i="6"/>
  <c r="BP146" i="6"/>
  <c r="BO146" i="6"/>
  <c r="BJ83" i="6"/>
  <c r="BK83" i="6"/>
  <c r="AX83" i="6"/>
  <c r="AY83" i="6"/>
  <c r="BJ150" i="6"/>
  <c r="BK150" i="6"/>
  <c r="AX150" i="6"/>
  <c r="AY150" i="6"/>
  <c r="BP169" i="6"/>
  <c r="BO169" i="6"/>
  <c r="BE44" i="6"/>
  <c r="BF44" i="6" s="1"/>
  <c r="BL44" i="6" s="1"/>
  <c r="AZ44" i="6"/>
  <c r="BU44" i="6"/>
  <c r="BK142" i="6"/>
  <c r="BJ142" i="6"/>
  <c r="AY142" i="6"/>
  <c r="AX142" i="6"/>
  <c r="AQ21" i="6"/>
  <c r="AS21" i="6"/>
  <c r="AT21" i="6" s="1"/>
  <c r="BC21" i="6"/>
  <c r="BD21" i="6" s="1"/>
  <c r="BI21" i="6" s="1"/>
  <c r="BT21" i="6"/>
  <c r="AP21" i="6"/>
  <c r="AI21" i="6"/>
  <c r="AJ21" i="6" s="1"/>
  <c r="AN21" i="6"/>
  <c r="AR21" i="6" s="1"/>
  <c r="BN21" i="6"/>
  <c r="BQ21" i="6" s="1"/>
  <c r="BR21" i="6" s="1"/>
  <c r="BS21" i="6" s="1"/>
  <c r="AU21" i="6"/>
  <c r="BM21" i="6"/>
  <c r="AS154" i="6"/>
  <c r="AT154" i="6" s="1"/>
  <c r="AV154" i="6" s="1"/>
  <c r="AW154" i="6" s="1"/>
  <c r="BC154" i="6"/>
  <c r="BD154" i="6" s="1"/>
  <c r="BI154" i="6" s="1"/>
  <c r="BT154" i="6"/>
  <c r="AI154" i="6"/>
  <c r="AJ154" i="6" s="1"/>
  <c r="AQ154" i="6"/>
  <c r="AP154" i="6"/>
  <c r="BM154" i="6"/>
  <c r="AU154" i="6"/>
  <c r="BN154" i="6"/>
  <c r="AN154" i="6"/>
  <c r="AR154" i="6" s="1"/>
  <c r="AL7" i="7"/>
  <c r="AM7" i="7" s="1"/>
  <c r="BJ105" i="6"/>
  <c r="BK105" i="6"/>
  <c r="AX105" i="6"/>
  <c r="AY105" i="6"/>
  <c r="AS64" i="6"/>
  <c r="BT64" i="6"/>
  <c r="AQ64" i="6"/>
  <c r="AI64" i="6"/>
  <c r="AJ64" i="6" s="1"/>
  <c r="BC64" i="6"/>
  <c r="BD64" i="6" s="1"/>
  <c r="BI64" i="6" s="1"/>
  <c r="BN64" i="6"/>
  <c r="BM64" i="6"/>
  <c r="AP64" i="6"/>
  <c r="AN64" i="6"/>
  <c r="AU64" i="6"/>
  <c r="BK206" i="6"/>
  <c r="BJ206" i="6"/>
  <c r="AY206" i="6"/>
  <c r="AX206" i="6"/>
  <c r="AE64" i="6"/>
  <c r="BK176" i="6"/>
  <c r="BJ176" i="6"/>
  <c r="AY176" i="6"/>
  <c r="AX176" i="6"/>
  <c r="AQ79" i="6"/>
  <c r="BC79" i="6"/>
  <c r="BD79" i="6" s="1"/>
  <c r="BI79" i="6" s="1"/>
  <c r="AS79" i="6"/>
  <c r="BT79" i="6"/>
  <c r="AI79" i="6"/>
  <c r="AJ79" i="6" s="1"/>
  <c r="AP79" i="6"/>
  <c r="AU79" i="6"/>
  <c r="AN79" i="6"/>
  <c r="BM79" i="6"/>
  <c r="BN79" i="6"/>
  <c r="BQ79" i="6" s="1"/>
  <c r="BR79" i="6" s="1"/>
  <c r="BS79" i="6" s="1"/>
  <c r="BK47" i="6"/>
  <c r="BJ47" i="6"/>
  <c r="AX47" i="6"/>
  <c r="AY47" i="6"/>
  <c r="BP88" i="6"/>
  <c r="BO88" i="6"/>
  <c r="AQ159" i="6"/>
  <c r="AI159" i="6"/>
  <c r="AJ159" i="6" s="1"/>
  <c r="BC159" i="6"/>
  <c r="BD159" i="6" s="1"/>
  <c r="BI159" i="6" s="1"/>
  <c r="BQ159" i="6"/>
  <c r="BR159" i="6" s="1"/>
  <c r="BT159" i="6"/>
  <c r="AS159" i="6"/>
  <c r="AP159" i="6"/>
  <c r="BN159" i="6"/>
  <c r="AU159" i="6"/>
  <c r="BM159" i="6"/>
  <c r="AN159" i="6"/>
  <c r="BJ158" i="6"/>
  <c r="BK158" i="6"/>
  <c r="AX158" i="6"/>
  <c r="AY158" i="6"/>
  <c r="BJ98" i="6"/>
  <c r="BK98" i="6"/>
  <c r="AY98" i="6"/>
  <c r="AX98" i="6"/>
  <c r="BK202" i="6"/>
  <c r="BJ202" i="6"/>
  <c r="AY202" i="6"/>
  <c r="AX202" i="6"/>
  <c r="BC73" i="6"/>
  <c r="BD73" i="6" s="1"/>
  <c r="BI73" i="6" s="1"/>
  <c r="BT73" i="6"/>
  <c r="AS73" i="6"/>
  <c r="AQ73" i="6"/>
  <c r="AI73" i="6"/>
  <c r="AJ73" i="6" s="1"/>
  <c r="C19" i="8" s="1"/>
  <c r="AP73" i="6"/>
  <c r="AU73" i="6"/>
  <c r="AN73" i="6"/>
  <c r="BN73" i="6"/>
  <c r="BM73" i="6"/>
  <c r="AE159" i="6"/>
  <c r="BJ199" i="6"/>
  <c r="BK199" i="6"/>
  <c r="AX199" i="6"/>
  <c r="AY199" i="6"/>
  <c r="AE21" i="6"/>
  <c r="B26" i="1"/>
  <c r="BJ184" i="6"/>
  <c r="BK184" i="6"/>
  <c r="AY184" i="6"/>
  <c r="AX184" i="6"/>
  <c r="BS201" i="6"/>
  <c r="BK216" i="6"/>
  <c r="BJ216" i="6"/>
  <c r="AX216" i="6"/>
  <c r="AY216" i="6"/>
  <c r="BJ14" i="6"/>
  <c r="BK14" i="6"/>
  <c r="AY14" i="6"/>
  <c r="AX14" i="6"/>
  <c r="BU38" i="6"/>
  <c r="BE38" i="6"/>
  <c r="BF38" i="6" s="1"/>
  <c r="BL38" i="6" s="1"/>
  <c r="AZ38" i="6"/>
  <c r="AQ129" i="6"/>
  <c r="AI129" i="6"/>
  <c r="AJ129" i="6" s="1"/>
  <c r="BC129" i="6"/>
  <c r="BD129" i="6" s="1"/>
  <c r="BI129" i="6" s="1"/>
  <c r="BQ129" i="6"/>
  <c r="BR129" i="6" s="1"/>
  <c r="BT129" i="6"/>
  <c r="AS129" i="6"/>
  <c r="AP129" i="6"/>
  <c r="AU129" i="6"/>
  <c r="BN129" i="6"/>
  <c r="BM129" i="6"/>
  <c r="AN129" i="6"/>
  <c r="AZ91" i="6"/>
  <c r="BE91" i="6"/>
  <c r="BF91" i="6" s="1"/>
  <c r="BL91" i="6" s="1"/>
  <c r="BU91" i="6"/>
  <c r="BJ107" i="6"/>
  <c r="BK107" i="6"/>
  <c r="AX107" i="6"/>
  <c r="AY107" i="6"/>
  <c r="BS32" i="6"/>
  <c r="BJ123" i="6"/>
  <c r="BK123" i="6"/>
  <c r="AY123" i="6"/>
  <c r="AX123" i="6"/>
  <c r="BK140" i="6"/>
  <c r="BJ140" i="6"/>
  <c r="AY140" i="6"/>
  <c r="AX140" i="6"/>
  <c r="BK84" i="6"/>
  <c r="BJ84" i="6"/>
  <c r="AX84" i="6"/>
  <c r="AY84" i="6"/>
  <c r="BK10" i="6"/>
  <c r="BJ10" i="6"/>
  <c r="AY10" i="6"/>
  <c r="AX10" i="6"/>
  <c r="BK31" i="6"/>
  <c r="BJ31" i="6"/>
  <c r="AY31" i="6"/>
  <c r="AX31" i="6"/>
  <c r="BE94" i="6"/>
  <c r="BF94" i="6" s="1"/>
  <c r="BL94" i="6" s="1"/>
  <c r="BU94" i="6"/>
  <c r="AZ94" i="6"/>
  <c r="BJ87" i="6"/>
  <c r="BK87" i="6"/>
  <c r="BS76" i="6"/>
  <c r="BJ90" i="6"/>
  <c r="BK90" i="6"/>
  <c r="AX90" i="6"/>
  <c r="AY90" i="6"/>
  <c r="BS88" i="6"/>
  <c r="BK180" i="6"/>
  <c r="BJ180" i="6"/>
  <c r="AY180" i="6"/>
  <c r="AX180" i="6"/>
  <c r="AS136" i="6"/>
  <c r="AT136" i="6" s="1"/>
  <c r="BC136" i="6"/>
  <c r="BD136" i="6" s="1"/>
  <c r="BI136" i="6" s="1"/>
  <c r="AI136" i="6"/>
  <c r="AJ136" i="6" s="1"/>
  <c r="BT136" i="6"/>
  <c r="AQ136" i="6"/>
  <c r="AP136" i="6"/>
  <c r="BN136" i="6"/>
  <c r="BM136" i="6"/>
  <c r="AU136" i="6"/>
  <c r="AN136" i="6"/>
  <c r="AR136" i="6" s="1"/>
  <c r="AS60" i="6"/>
  <c r="AI60" i="6"/>
  <c r="AJ60" i="6" s="1"/>
  <c r="BC60" i="6"/>
  <c r="BD60" i="6" s="1"/>
  <c r="BI60" i="6" s="1"/>
  <c r="BT60" i="6"/>
  <c r="AQ60" i="6"/>
  <c r="AP60" i="6"/>
  <c r="AN60" i="6"/>
  <c r="BN60" i="6"/>
  <c r="BQ60" i="6" s="1"/>
  <c r="BR60" i="6" s="1"/>
  <c r="BS60" i="6" s="1"/>
  <c r="BM60" i="6"/>
  <c r="AU60" i="6"/>
  <c r="BO193" i="6"/>
  <c r="BP193" i="6"/>
  <c r="BK6" i="6"/>
  <c r="BJ6" i="6"/>
  <c r="AY6" i="6"/>
  <c r="AX6" i="6"/>
  <c r="BK85" i="6"/>
  <c r="BJ85" i="6"/>
  <c r="AY85" i="6"/>
  <c r="AX85" i="6"/>
  <c r="BK151" i="6"/>
  <c r="BJ151" i="6"/>
  <c r="AY151" i="6"/>
  <c r="AX151" i="6"/>
  <c r="BK204" i="6"/>
  <c r="BJ204" i="6"/>
  <c r="AX204" i="6"/>
  <c r="AY204" i="6"/>
  <c r="BJ106" i="6"/>
  <c r="BK106" i="6"/>
  <c r="AY106" i="6"/>
  <c r="AX106" i="6"/>
  <c r="BK103" i="6"/>
  <c r="BJ103" i="6"/>
  <c r="AY103" i="6"/>
  <c r="AX103" i="6"/>
  <c r="BK196" i="6"/>
  <c r="BJ196" i="6"/>
  <c r="AX196" i="6"/>
  <c r="AY196" i="6"/>
  <c r="BJ29" i="6"/>
  <c r="BK29" i="6"/>
  <c r="AX29" i="6"/>
  <c r="AY29" i="6"/>
  <c r="AE79" i="6"/>
  <c r="BK101" i="6"/>
  <c r="BJ101" i="6"/>
  <c r="AY101" i="6"/>
  <c r="AX101" i="6"/>
  <c r="BJ124" i="6"/>
  <c r="BK124" i="6"/>
  <c r="AY124" i="6"/>
  <c r="AX124" i="6"/>
  <c r="BU89" i="6"/>
  <c r="AZ89" i="6"/>
  <c r="BE89" i="6"/>
  <c r="BF89" i="6" s="1"/>
  <c r="BL89" i="6" s="1"/>
  <c r="BJ135" i="6"/>
  <c r="BK135" i="6"/>
  <c r="AY135" i="6"/>
  <c r="AX135" i="6"/>
  <c r="BK36" i="6"/>
  <c r="BJ36" i="6"/>
  <c r="AY36" i="6"/>
  <c r="AX36" i="6"/>
  <c r="AS127" i="6"/>
  <c r="BT127" i="6"/>
  <c r="AI127" i="6"/>
  <c r="AJ127" i="6" s="1"/>
  <c r="BC127" i="6"/>
  <c r="BD127" i="6" s="1"/>
  <c r="BI127" i="6" s="1"/>
  <c r="AQ127" i="6"/>
  <c r="AP127" i="6"/>
  <c r="AN127" i="6"/>
  <c r="AR127" i="6" s="1"/>
  <c r="BN127" i="6"/>
  <c r="BM127" i="6"/>
  <c r="AU127" i="6"/>
  <c r="BQ146" i="6"/>
  <c r="BR146" i="6" s="1"/>
  <c r="BS146" i="6" s="1"/>
  <c r="BV68" i="6"/>
  <c r="BW68" i="6"/>
  <c r="AZ119" i="6"/>
  <c r="BU119" i="6"/>
  <c r="BE119" i="6"/>
  <c r="BF119" i="6" s="1"/>
  <c r="BL119" i="6" s="1"/>
  <c r="BE92" i="6"/>
  <c r="BF92" i="6" s="1"/>
  <c r="BL92" i="6" s="1"/>
  <c r="BU92" i="6"/>
  <c r="AZ92" i="6"/>
  <c r="AS78" i="6"/>
  <c r="AI78" i="6"/>
  <c r="AJ78" i="6" s="1"/>
  <c r="BT78" i="6"/>
  <c r="BC78" i="6"/>
  <c r="BD78" i="6" s="1"/>
  <c r="BI78" i="6" s="1"/>
  <c r="AQ78" i="6"/>
  <c r="AP78" i="6"/>
  <c r="AU78" i="6"/>
  <c r="BM78" i="6"/>
  <c r="AN78" i="6"/>
  <c r="BN78" i="6"/>
  <c r="AT169" i="6"/>
  <c r="AV169" i="6" s="1"/>
  <c r="AW169" i="6" s="1"/>
  <c r="BJ120" i="6"/>
  <c r="BK120" i="6"/>
  <c r="AX120" i="6"/>
  <c r="AY120" i="6"/>
  <c r="BJ133" i="6"/>
  <c r="BK133" i="6"/>
  <c r="AY133" i="6"/>
  <c r="AX133" i="6"/>
  <c r="BK132" i="6"/>
  <c r="BJ132" i="6"/>
  <c r="AX132" i="6"/>
  <c r="AY132" i="6"/>
  <c r="BC65" i="6"/>
  <c r="BD65" i="6" s="1"/>
  <c r="BI65" i="6" s="1"/>
  <c r="AQ65" i="6"/>
  <c r="AS65" i="6"/>
  <c r="BT65" i="6"/>
  <c r="AP65" i="6"/>
  <c r="AI65" i="6"/>
  <c r="AJ65" i="6" s="1"/>
  <c r="BN65" i="6"/>
  <c r="BM65" i="6"/>
  <c r="AN65" i="6"/>
  <c r="AR65" i="6" s="1"/>
  <c r="AU65" i="6"/>
  <c r="BJ82" i="6"/>
  <c r="BK82" i="6"/>
  <c r="AX82" i="6"/>
  <c r="AY82" i="6"/>
  <c r="BK57" i="6"/>
  <c r="BJ57" i="6"/>
  <c r="AY57" i="6"/>
  <c r="AX57" i="6"/>
  <c r="BE18" i="6"/>
  <c r="BF18" i="6" s="1"/>
  <c r="BL18" i="6" s="1"/>
  <c r="BU18" i="6"/>
  <c r="AZ18" i="6"/>
  <c r="BK114" i="6"/>
  <c r="BJ114" i="6"/>
  <c r="AX114" i="6"/>
  <c r="AY114" i="6"/>
  <c r="BJ167" i="6"/>
  <c r="BK167" i="6"/>
  <c r="AY167" i="6"/>
  <c r="AX167" i="6"/>
  <c r="BK116" i="6"/>
  <c r="BJ116" i="6"/>
  <c r="AX116" i="6"/>
  <c r="AY116" i="6"/>
  <c r="AE65" i="6"/>
  <c r="BJ147" i="6"/>
  <c r="BK147" i="6"/>
  <c r="AX147" i="6"/>
  <c r="AY147" i="6"/>
  <c r="AE70" i="6"/>
  <c r="BK181" i="6"/>
  <c r="BJ181" i="6"/>
  <c r="AY181" i="6"/>
  <c r="AX181" i="6"/>
  <c r="AT32" i="6"/>
  <c r="AV32" i="6" s="1"/>
  <c r="AW32" i="6" s="1"/>
  <c r="BJ130" i="6"/>
  <c r="BK130" i="6"/>
  <c r="AX130" i="6"/>
  <c r="AY130" i="6"/>
  <c r="BK172" i="6"/>
  <c r="BJ172" i="6"/>
  <c r="AX172" i="6"/>
  <c r="AY172" i="6"/>
  <c r="BK121" i="6"/>
  <c r="BJ121" i="6"/>
  <c r="AY121" i="6"/>
  <c r="AX121" i="6"/>
  <c r="BC81" i="6"/>
  <c r="BD81" i="6" s="1"/>
  <c r="BI81" i="6" s="1"/>
  <c r="AS81" i="6"/>
  <c r="AT81" i="6" s="1"/>
  <c r="BT81" i="6"/>
  <c r="AQ81" i="6"/>
  <c r="AI81" i="6"/>
  <c r="AJ81" i="6" s="1"/>
  <c r="AP81" i="6"/>
  <c r="BM81" i="6"/>
  <c r="BN81" i="6"/>
  <c r="BQ81" i="6" s="1"/>
  <c r="BR81" i="6" s="1"/>
  <c r="AN81" i="6"/>
  <c r="AU81" i="6"/>
  <c r="BJ131" i="6"/>
  <c r="BK131" i="6"/>
  <c r="AY131" i="6"/>
  <c r="AX131" i="6"/>
  <c r="BQ195" i="6"/>
  <c r="BR195" i="6" s="1"/>
  <c r="BS195" i="6" s="1"/>
  <c r="AS195" i="6"/>
  <c r="AT195" i="6" s="1"/>
  <c r="AV195" i="6" s="1"/>
  <c r="AW195" i="6" s="1"/>
  <c r="AX195" i="6" s="1"/>
  <c r="BT195" i="6"/>
  <c r="AQ195" i="6"/>
  <c r="AP195" i="6"/>
  <c r="AI195" i="6"/>
  <c r="AJ195" i="6" s="1"/>
  <c r="BC195" i="6"/>
  <c r="BD195" i="6" s="1"/>
  <c r="BI195" i="6" s="1"/>
  <c r="BM195" i="6"/>
  <c r="AN195" i="6"/>
  <c r="AR195" i="6" s="1"/>
  <c r="AU195" i="6"/>
  <c r="BN195" i="6"/>
  <c r="BS5" i="6"/>
  <c r="BK108" i="6"/>
  <c r="BJ108" i="6"/>
  <c r="AX108" i="6"/>
  <c r="AY108" i="6"/>
  <c r="AT193" i="6"/>
  <c r="AV193" i="6" s="1"/>
  <c r="AW193" i="6" s="1"/>
  <c r="BT138" i="6"/>
  <c r="AS138" i="6"/>
  <c r="AT138" i="6" s="1"/>
  <c r="AV138" i="6" s="1"/>
  <c r="AW138" i="6" s="1"/>
  <c r="BC138" i="6"/>
  <c r="BD138" i="6" s="1"/>
  <c r="BI138" i="6" s="1"/>
  <c r="AQ138" i="6"/>
  <c r="BQ138" i="6"/>
  <c r="BR138" i="6" s="1"/>
  <c r="BS138" i="6" s="1"/>
  <c r="AI138" i="6"/>
  <c r="AJ138" i="6" s="1"/>
  <c r="E19" i="8" s="1"/>
  <c r="AP138" i="6"/>
  <c r="BM138" i="6"/>
  <c r="BN138" i="6"/>
  <c r="AU138" i="6"/>
  <c r="AN138" i="6"/>
  <c r="AS211" i="6"/>
  <c r="AQ211" i="6"/>
  <c r="AI211" i="6"/>
  <c r="AJ211" i="6" s="1"/>
  <c r="BT211" i="6"/>
  <c r="BC211" i="6"/>
  <c r="BD211" i="6" s="1"/>
  <c r="BI211" i="6" s="1"/>
  <c r="AP211" i="6"/>
  <c r="AN211" i="6"/>
  <c r="AR211" i="6" s="1"/>
  <c r="AU211" i="6"/>
  <c r="BM211" i="6"/>
  <c r="BN211" i="6"/>
  <c r="BK23" i="6"/>
  <c r="BJ23" i="6"/>
  <c r="AY23" i="6"/>
  <c r="AX23" i="6"/>
  <c r="AS42" i="6"/>
  <c r="AT42" i="6" s="1"/>
  <c r="AQ42" i="6"/>
  <c r="AI42" i="6"/>
  <c r="AJ42" i="6" s="1"/>
  <c r="BT42" i="6"/>
  <c r="BC42" i="6"/>
  <c r="BD42" i="6" s="1"/>
  <c r="BI42" i="6" s="1"/>
  <c r="AP42" i="6"/>
  <c r="BN42" i="6"/>
  <c r="BM42" i="6"/>
  <c r="AU42" i="6"/>
  <c r="AN42" i="6"/>
  <c r="BV115" i="6"/>
  <c r="BW115" i="6"/>
  <c r="BK28" i="6"/>
  <c r="BJ28" i="6"/>
  <c r="AY28" i="6"/>
  <c r="AX28" i="6"/>
  <c r="AQ30" i="6"/>
  <c r="AS30" i="6"/>
  <c r="BC30" i="6"/>
  <c r="BD30" i="6" s="1"/>
  <c r="BI30" i="6" s="1"/>
  <c r="AP30" i="6"/>
  <c r="AI30" i="6"/>
  <c r="AJ30" i="6" s="1"/>
  <c r="BT30" i="6"/>
  <c r="BM30" i="6"/>
  <c r="BN30" i="6"/>
  <c r="AU30" i="6"/>
  <c r="AN30" i="6"/>
  <c r="AR30" i="6" s="1"/>
  <c r="BK11" i="6"/>
  <c r="BJ11" i="6"/>
  <c r="AY11" i="6"/>
  <c r="AX11" i="6"/>
  <c r="BJ170" i="6"/>
  <c r="BK170" i="6"/>
  <c r="AX170" i="6"/>
  <c r="AY170" i="6"/>
  <c r="BK209" i="6"/>
  <c r="BJ209" i="6"/>
  <c r="AX209" i="6"/>
  <c r="AY209" i="6"/>
  <c r="AE127" i="6"/>
  <c r="BT69" i="6"/>
  <c r="AS69" i="6"/>
  <c r="BC69" i="6"/>
  <c r="BD69" i="6" s="1"/>
  <c r="BI69" i="6" s="1"/>
  <c r="AP69" i="6"/>
  <c r="AI69" i="6"/>
  <c r="AJ69" i="6" s="1"/>
  <c r="AQ69" i="6"/>
  <c r="BM69" i="6"/>
  <c r="AU69" i="6"/>
  <c r="BN69" i="6"/>
  <c r="BQ69" i="6" s="1"/>
  <c r="BR69" i="6" s="1"/>
  <c r="AN69" i="6"/>
  <c r="AE195" i="6"/>
  <c r="BJ205" i="6"/>
  <c r="BK205" i="6"/>
  <c r="AX205" i="6"/>
  <c r="AY205" i="6"/>
  <c r="AR76" i="6"/>
  <c r="AT76" i="6" s="1"/>
  <c r="AV76" i="6" s="1"/>
  <c r="AW76" i="6" s="1"/>
  <c r="BK7" i="6"/>
  <c r="BJ7" i="6"/>
  <c r="AY7" i="6"/>
  <c r="AX7" i="6"/>
  <c r="BO87" i="6"/>
  <c r="BP87" i="6"/>
  <c r="AR148" i="6"/>
  <c r="AT148" i="6" s="1"/>
  <c r="AV148" i="6" s="1"/>
  <c r="AW148" i="6" s="1"/>
  <c r="BJ164" i="6"/>
  <c r="BK164" i="6"/>
  <c r="AX164" i="6"/>
  <c r="AY164" i="6"/>
  <c r="BS178" i="6"/>
  <c r="AT177" i="6"/>
  <c r="AV177" i="6" s="1"/>
  <c r="AW177" i="6" s="1"/>
  <c r="BJ197" i="6"/>
  <c r="BK197" i="6"/>
  <c r="AX197" i="6"/>
  <c r="AY197" i="6"/>
  <c r="BU25" i="6"/>
  <c r="BE25" i="6"/>
  <c r="BF25" i="6" s="1"/>
  <c r="BL25" i="6" s="1"/>
  <c r="AZ25" i="6"/>
  <c r="BP203" i="6"/>
  <c r="BO203" i="6"/>
  <c r="BJ212" i="6"/>
  <c r="BK212" i="6"/>
  <c r="AY212" i="6"/>
  <c r="AX212" i="6"/>
  <c r="BJ192" i="6"/>
  <c r="BK192" i="6"/>
  <c r="AY192" i="6"/>
  <c r="AX192" i="6"/>
  <c r="AT88" i="6"/>
  <c r="AV88" i="6" s="1"/>
  <c r="AW88" i="6" s="1"/>
  <c r="BK153" i="6"/>
  <c r="BJ153" i="6"/>
  <c r="AY153" i="6"/>
  <c r="AX153" i="6"/>
  <c r="BK149" i="6"/>
  <c r="BJ149" i="6"/>
  <c r="AX149" i="6"/>
  <c r="AY149" i="6"/>
  <c r="BK186" i="6"/>
  <c r="BJ186" i="6"/>
  <c r="AY186" i="6"/>
  <c r="AX186" i="6"/>
  <c r="BK214" i="6"/>
  <c r="BJ214" i="6"/>
  <c r="AY214" i="6"/>
  <c r="AX214" i="6"/>
  <c r="BK163" i="6"/>
  <c r="BJ163" i="6"/>
  <c r="AX163" i="6"/>
  <c r="AY163" i="6"/>
  <c r="BP161" i="6"/>
  <c r="BO161" i="6"/>
  <c r="AR128" i="6"/>
  <c r="AT128" i="6" s="1"/>
  <c r="AV128" i="6" s="1"/>
  <c r="AW128" i="6" s="1"/>
  <c r="AR191" i="6"/>
  <c r="AT191" i="6" s="1"/>
  <c r="AV191" i="6" s="1"/>
  <c r="AW191" i="6" s="1"/>
  <c r="BJ50" i="6"/>
  <c r="BK50" i="6"/>
  <c r="AX50" i="6"/>
  <c r="AY50" i="6"/>
  <c r="BU34" i="6"/>
  <c r="BE34" i="6"/>
  <c r="BF34" i="6" s="1"/>
  <c r="BL34" i="6" s="1"/>
  <c r="AZ34" i="6"/>
  <c r="AR201" i="6"/>
  <c r="AT201" i="6" s="1"/>
  <c r="AV201" i="6" s="1"/>
  <c r="AW201" i="6" s="1"/>
  <c r="BE12" i="6"/>
  <c r="BF12" i="6" s="1"/>
  <c r="BL12" i="6" s="1"/>
  <c r="AZ12" i="6"/>
  <c r="BU12" i="6"/>
  <c r="BO178" i="6"/>
  <c r="BP178" i="6"/>
  <c r="BC134" i="6"/>
  <c r="BD134" i="6" s="1"/>
  <c r="BI134" i="6" s="1"/>
  <c r="AQ134" i="6"/>
  <c r="AS134" i="6"/>
  <c r="BT134" i="6"/>
  <c r="AI134" i="6"/>
  <c r="AJ134" i="6" s="1"/>
  <c r="AP134" i="6"/>
  <c r="BN134" i="6"/>
  <c r="BQ134" i="6" s="1"/>
  <c r="BR134" i="6" s="1"/>
  <c r="BS134" i="6" s="1"/>
  <c r="AU134" i="6"/>
  <c r="BM134" i="6"/>
  <c r="AN134" i="6"/>
  <c r="BU8" i="6"/>
  <c r="AZ8" i="6"/>
  <c r="BE8" i="6"/>
  <c r="BF8" i="6" s="1"/>
  <c r="BL8" i="6" s="1"/>
  <c r="BJ185" i="6"/>
  <c r="BK185" i="6"/>
  <c r="AX185" i="6"/>
  <c r="AY185" i="6"/>
  <c r="AQ137" i="6"/>
  <c r="AI137" i="6"/>
  <c r="AJ137" i="6" s="1"/>
  <c r="BC137" i="6"/>
  <c r="BD137" i="6" s="1"/>
  <c r="BI137" i="6" s="1"/>
  <c r="BT137" i="6"/>
  <c r="AS137" i="6"/>
  <c r="AP137" i="6"/>
  <c r="AU137" i="6"/>
  <c r="BM137" i="6"/>
  <c r="BN137" i="6"/>
  <c r="BQ137" i="6" s="1"/>
  <c r="BR137" i="6" s="1"/>
  <c r="BS137" i="6" s="1"/>
  <c r="AN137" i="6"/>
  <c r="BJ26" i="6"/>
  <c r="BK26" i="6"/>
  <c r="AX26" i="6"/>
  <c r="AY26" i="6"/>
  <c r="BK155" i="6"/>
  <c r="BJ155" i="6"/>
  <c r="AX155" i="6"/>
  <c r="AY155" i="6"/>
  <c r="BJ156" i="6"/>
  <c r="BK156" i="6"/>
  <c r="AY156" i="6"/>
  <c r="AX156" i="6"/>
  <c r="AE138" i="6"/>
  <c r="AE211" i="6"/>
  <c r="BP148" i="6"/>
  <c r="BO148" i="6"/>
  <c r="BE35" i="6"/>
  <c r="BF35" i="6" s="1"/>
  <c r="BL35" i="6" s="1"/>
  <c r="AZ35" i="6"/>
  <c r="BU35" i="6"/>
  <c r="BK165" i="6"/>
  <c r="BJ165" i="6"/>
  <c r="AY165" i="6"/>
  <c r="AX165" i="6"/>
  <c r="BK48" i="6"/>
  <c r="BJ48" i="6"/>
  <c r="AY48" i="6"/>
  <c r="AX48" i="6"/>
  <c r="AS20" i="6"/>
  <c r="BC20" i="6"/>
  <c r="BD20" i="6" s="1"/>
  <c r="BI20" i="6" s="1"/>
  <c r="AI20" i="6"/>
  <c r="AJ20" i="6" s="1"/>
  <c r="AQ20" i="6"/>
  <c r="BT20" i="6"/>
  <c r="AP20" i="6"/>
  <c r="AU20" i="6"/>
  <c r="BM20" i="6"/>
  <c r="BN20" i="6"/>
  <c r="BQ20" i="6" s="1"/>
  <c r="BR20" i="6" s="1"/>
  <c r="AN20" i="6"/>
  <c r="BK15" i="6"/>
  <c r="BJ15" i="6"/>
  <c r="AX15" i="6"/>
  <c r="AY15" i="6"/>
  <c r="BJ33" i="6"/>
  <c r="BK33" i="6"/>
  <c r="AX33" i="6"/>
  <c r="AY33" i="6"/>
  <c r="BK56" i="6"/>
  <c r="BJ56" i="6"/>
  <c r="AY56" i="6"/>
  <c r="AX56" i="6"/>
  <c r="BK110" i="6"/>
  <c r="BJ110" i="6"/>
  <c r="AY110" i="6"/>
  <c r="AX110" i="6"/>
  <c r="AZ13" i="6"/>
  <c r="BU13" i="6"/>
  <c r="BE13" i="6"/>
  <c r="BF13" i="6" s="1"/>
  <c r="BL13" i="6" s="1"/>
  <c r="AT203" i="6"/>
  <c r="AV203" i="6" s="1"/>
  <c r="AW203" i="6" s="1"/>
  <c r="BO128" i="6"/>
  <c r="BP128" i="6"/>
  <c r="BP76" i="6"/>
  <c r="BO76" i="6"/>
  <c r="BJ100" i="6"/>
  <c r="BK100" i="6"/>
  <c r="AX100" i="6"/>
  <c r="AY100" i="6"/>
  <c r="BQ193" i="6"/>
  <c r="BR193" i="6" s="1"/>
  <c r="BS193" i="6" s="1"/>
  <c r="BE27" i="6"/>
  <c r="BF27" i="6" s="1"/>
  <c r="BL27" i="6" s="1"/>
  <c r="AZ27" i="6"/>
  <c r="BU27" i="6"/>
  <c r="BK213" i="6"/>
  <c r="BJ213" i="6"/>
  <c r="AX213" i="6"/>
  <c r="AY213" i="6"/>
  <c r="BJ16" i="6"/>
  <c r="BK16" i="6"/>
  <c r="AY16" i="6"/>
  <c r="AX16" i="6"/>
  <c r="BJ141" i="6"/>
  <c r="BK141" i="6"/>
  <c r="AX141" i="6"/>
  <c r="AY141" i="6"/>
  <c r="BQ169" i="6"/>
  <c r="BR169" i="6" s="1"/>
  <c r="BS169" i="6" s="1"/>
  <c r="BJ59" i="6"/>
  <c r="BK59" i="6"/>
  <c r="AX59" i="6"/>
  <c r="AY59" i="6"/>
  <c r="AR178" i="6"/>
  <c r="AT178" i="6" s="1"/>
  <c r="AV178" i="6" s="1"/>
  <c r="AW178" i="6" s="1"/>
  <c r="BP32" i="6"/>
  <c r="BO32" i="6"/>
  <c r="BP177" i="6"/>
  <c r="BO177" i="6"/>
  <c r="BC58" i="6"/>
  <c r="BD58" i="6" s="1"/>
  <c r="BI58" i="6" s="1"/>
  <c r="AQ58" i="6"/>
  <c r="AP58" i="6"/>
  <c r="AS58" i="6"/>
  <c r="AI58" i="6"/>
  <c r="AJ58" i="6" s="1"/>
  <c r="BT58" i="6"/>
  <c r="AN58" i="6"/>
  <c r="AU58" i="6"/>
  <c r="BN58" i="6"/>
  <c r="BQ58" i="6" s="1"/>
  <c r="BR58" i="6" s="1"/>
  <c r="BS58" i="6" s="1"/>
  <c r="BM58" i="6"/>
  <c r="AQ67" i="6"/>
  <c r="AI67" i="6"/>
  <c r="AJ67" i="6" s="1"/>
  <c r="BC67" i="6"/>
  <c r="BD67" i="6" s="1"/>
  <c r="BI67" i="6" s="1"/>
  <c r="AS67" i="6"/>
  <c r="AP67" i="6"/>
  <c r="BT67" i="6"/>
  <c r="BM67" i="6"/>
  <c r="BN67" i="6"/>
  <c r="BQ67" i="6" s="1"/>
  <c r="BR67" i="6" s="1"/>
  <c r="AU67" i="6"/>
  <c r="AN67" i="6"/>
  <c r="AI43" i="6"/>
  <c r="AJ43" i="6" s="1"/>
  <c r="BC43" i="6"/>
  <c r="BD43" i="6" s="1"/>
  <c r="BI43" i="6" s="1"/>
  <c r="BT43" i="6"/>
  <c r="AQ43" i="6"/>
  <c r="AS43" i="6"/>
  <c r="AP43" i="6"/>
  <c r="AN43" i="6"/>
  <c r="BM43" i="6"/>
  <c r="BN43" i="6"/>
  <c r="AU43" i="6"/>
  <c r="BK95" i="6"/>
  <c r="BJ95" i="6"/>
  <c r="AY95" i="6"/>
  <c r="AX95" i="6"/>
  <c r="BJ183" i="6"/>
  <c r="BK183" i="6"/>
  <c r="AY183" i="6"/>
  <c r="AX183" i="6"/>
  <c r="AQ143" i="6"/>
  <c r="BT143" i="6"/>
  <c r="AP143" i="6"/>
  <c r="BC143" i="6"/>
  <c r="BD143" i="6" s="1"/>
  <c r="BI143" i="6" s="1"/>
  <c r="AS143" i="6"/>
  <c r="AT143" i="6" s="1"/>
  <c r="AI143" i="6"/>
  <c r="AJ143" i="6" s="1"/>
  <c r="AU143" i="6"/>
  <c r="BM143" i="6"/>
  <c r="BN143" i="6"/>
  <c r="BQ143" i="6" s="1"/>
  <c r="BR143" i="6" s="1"/>
  <c r="BS143" i="6" s="1"/>
  <c r="AN143" i="6"/>
  <c r="BJ51" i="6"/>
  <c r="BK51" i="6"/>
  <c r="AX51" i="6"/>
  <c r="AY51" i="6"/>
  <c r="BK118" i="6"/>
  <c r="BJ118" i="6"/>
  <c r="AY118" i="6"/>
  <c r="AX118" i="6"/>
  <c r="BK145" i="6"/>
  <c r="BJ145" i="6"/>
  <c r="AY145" i="6"/>
  <c r="AX145" i="6"/>
  <c r="BK111" i="6"/>
  <c r="BJ111" i="6"/>
  <c r="AY111" i="6"/>
  <c r="AX111" i="6"/>
  <c r="AV146" i="6"/>
  <c r="AW146" i="6" s="1"/>
  <c r="AE69" i="6"/>
  <c r="BK37" i="6"/>
  <c r="BJ37" i="6"/>
  <c r="AX37" i="6"/>
  <c r="AY37" i="6"/>
  <c r="BP191" i="6"/>
  <c r="BO191" i="6"/>
  <c r="AI17" i="6"/>
  <c r="AJ17" i="6" s="1"/>
  <c r="AS17" i="6"/>
  <c r="BC17" i="6"/>
  <c r="BQ17" i="6"/>
  <c r="BR17" i="6" s="1"/>
  <c r="AQ17" i="6"/>
  <c r="AP17" i="6"/>
  <c r="BT17" i="6"/>
  <c r="AU17" i="6"/>
  <c r="AN17" i="6"/>
  <c r="BN17" i="6"/>
  <c r="BM17" i="6"/>
  <c r="AI75" i="6"/>
  <c r="AJ75" i="6" s="1"/>
  <c r="AS75" i="6"/>
  <c r="BC75" i="6"/>
  <c r="BD75" i="6" s="1"/>
  <c r="BI75" i="6" s="1"/>
  <c r="AQ75" i="6"/>
  <c r="BT75" i="6"/>
  <c r="AP75" i="6"/>
  <c r="AU75" i="6"/>
  <c r="AN75" i="6"/>
  <c r="BN75" i="6"/>
  <c r="BQ75" i="6" s="1"/>
  <c r="BR75" i="6" s="1"/>
  <c r="BS75" i="6" s="1"/>
  <c r="BM75" i="6"/>
  <c r="BO201" i="6"/>
  <c r="BP201" i="6"/>
  <c r="BK168" i="6"/>
  <c r="BJ168" i="6"/>
  <c r="AX168" i="6"/>
  <c r="AY168" i="6"/>
  <c r="BJ210" i="6"/>
  <c r="BK210" i="6"/>
  <c r="AY210" i="6"/>
  <c r="AX210" i="6"/>
  <c r="BK175" i="6"/>
  <c r="BJ175" i="6"/>
  <c r="AX175" i="6"/>
  <c r="AY175" i="6"/>
  <c r="AR32" i="6"/>
  <c r="AR177" i="6"/>
  <c r="AE58" i="6"/>
  <c r="AE67" i="6"/>
  <c r="AZ9" i="6"/>
  <c r="BU9" i="6"/>
  <c r="BE9" i="6"/>
  <c r="BF9" i="6" s="1"/>
  <c r="BL9" i="6" s="1"/>
  <c r="BJ41" i="6"/>
  <c r="BK41" i="6"/>
  <c r="AX41" i="6"/>
  <c r="AY41" i="6"/>
  <c r="BK53" i="6"/>
  <c r="BJ53" i="6"/>
  <c r="AY53" i="6"/>
  <c r="AX53" i="6"/>
  <c r="BJ66" i="6"/>
  <c r="BK66" i="6"/>
  <c r="AX66" i="6"/>
  <c r="AY66" i="6"/>
  <c r="BW93" i="6"/>
  <c r="BV93" i="6"/>
  <c r="BQ203" i="6"/>
  <c r="BR203" i="6" s="1"/>
  <c r="BS203" i="6" s="1"/>
  <c r="AS215" i="6"/>
  <c r="AI215" i="6"/>
  <c r="AJ215" i="6" s="1"/>
  <c r="BT215" i="6"/>
  <c r="BC215" i="6"/>
  <c r="BD215" i="6" s="1"/>
  <c r="BI215" i="6" s="1"/>
  <c r="AQ215" i="6"/>
  <c r="AP215" i="6"/>
  <c r="AN215" i="6"/>
  <c r="AR215" i="6" s="1"/>
  <c r="AU215" i="6"/>
  <c r="BM215" i="6"/>
  <c r="BN215" i="6"/>
  <c r="BQ215" i="6" s="1"/>
  <c r="BR215" i="6" s="1"/>
  <c r="AR88" i="6"/>
  <c r="BJ24" i="6"/>
  <c r="BK24" i="6"/>
  <c r="AX24" i="6"/>
  <c r="AY24" i="6"/>
  <c r="B25" i="1"/>
  <c r="BC19" i="6"/>
  <c r="BD19" i="6" s="1"/>
  <c r="BI19" i="6" s="1"/>
  <c r="BT19" i="6"/>
  <c r="AS19" i="6"/>
  <c r="AQ19" i="6"/>
  <c r="AP19" i="6"/>
  <c r="AI19" i="6"/>
  <c r="AJ19" i="6" s="1"/>
  <c r="BM19" i="6"/>
  <c r="BN19" i="6"/>
  <c r="BQ19" i="6" s="1"/>
  <c r="BR19" i="6" s="1"/>
  <c r="BS19" i="6" s="1"/>
  <c r="AU19" i="6"/>
  <c r="AN19" i="6"/>
  <c r="BV189" i="6"/>
  <c r="BW189" i="6"/>
  <c r="AR78" i="6" l="1"/>
  <c r="AT78" i="6" s="1"/>
  <c r="AV78" i="6" s="1"/>
  <c r="AW78" i="6" s="1"/>
  <c r="BS129" i="6"/>
  <c r="BS81" i="6"/>
  <c r="B52" i="1"/>
  <c r="AT166" i="6"/>
  <c r="AV166" i="6" s="1"/>
  <c r="AW166" i="6" s="1"/>
  <c r="AL5" i="7"/>
  <c r="AM5" i="7" s="1"/>
  <c r="BO173" i="6"/>
  <c r="BP173" i="6"/>
  <c r="B28" i="8"/>
  <c r="AX87" i="6"/>
  <c r="AY87" i="6"/>
  <c r="BQ166" i="6"/>
  <c r="BR166" i="6" s="1"/>
  <c r="BS166" i="6" s="1"/>
  <c r="BP166" i="6"/>
  <c r="BO166" i="6"/>
  <c r="AR19" i="6"/>
  <c r="AR75" i="6"/>
  <c r="AT75" i="6" s="1"/>
  <c r="AV75" i="6" s="1"/>
  <c r="AW75" i="6" s="1"/>
  <c r="BO190" i="6"/>
  <c r="BP190" i="6"/>
  <c r="AT190" i="6"/>
  <c r="AV190" i="6" s="1"/>
  <c r="AW190" i="6" s="1"/>
  <c r="AY173" i="6"/>
  <c r="BU173" i="6" s="1"/>
  <c r="BE188" i="6"/>
  <c r="BF188" i="6" s="1"/>
  <c r="BL188" i="6" s="1"/>
  <c r="AZ188" i="6"/>
  <c r="BU188" i="6"/>
  <c r="BE179" i="6"/>
  <c r="BF179" i="6" s="1"/>
  <c r="BL179" i="6" s="1"/>
  <c r="AZ179" i="6"/>
  <c r="BU179" i="6"/>
  <c r="AL11" i="7"/>
  <c r="AM11" i="7" s="1"/>
  <c r="AX173" i="6"/>
  <c r="AR42" i="6"/>
  <c r="BU22" i="6"/>
  <c r="BW22" i="6" s="1"/>
  <c r="BJ173" i="6"/>
  <c r="C28" i="8" s="1"/>
  <c r="BS190" i="6"/>
  <c r="AZ22" i="6"/>
  <c r="BS174" i="6"/>
  <c r="AR67" i="6"/>
  <c r="AR174" i="6"/>
  <c r="AT174" i="6" s="1"/>
  <c r="AV174" i="6" s="1"/>
  <c r="AW174" i="6" s="1"/>
  <c r="AR179" i="6"/>
  <c r="AT179" i="6" s="1"/>
  <c r="AV179" i="6" s="1"/>
  <c r="BS67" i="6"/>
  <c r="BS69" i="6"/>
  <c r="BQ173" i="6"/>
  <c r="BR173" i="6" s="1"/>
  <c r="BS173" i="6" s="1"/>
  <c r="BP174" i="6"/>
  <c r="BO174" i="6"/>
  <c r="AR69" i="6"/>
  <c r="BJ178" i="6"/>
  <c r="BK178" i="6"/>
  <c r="AY178" i="6"/>
  <c r="AX178" i="6"/>
  <c r="BK191" i="6"/>
  <c r="BJ191" i="6"/>
  <c r="AY191" i="6"/>
  <c r="AX191" i="6"/>
  <c r="BK128" i="6"/>
  <c r="BJ128" i="6"/>
  <c r="AX128" i="6"/>
  <c r="AY128" i="6"/>
  <c r="BP17" i="6"/>
  <c r="BO17" i="6"/>
  <c r="BK161" i="6"/>
  <c r="BJ161" i="6"/>
  <c r="AY161" i="6"/>
  <c r="AX161" i="6"/>
  <c r="BV35" i="6"/>
  <c r="BW35" i="6"/>
  <c r="BV22" i="6"/>
  <c r="D19" i="8"/>
  <c r="BE139" i="6"/>
  <c r="BF139" i="6" s="1"/>
  <c r="BL139" i="6" s="1"/>
  <c r="AZ139" i="6"/>
  <c r="BU139" i="6"/>
  <c r="AZ182" i="6"/>
  <c r="BU182" i="6"/>
  <c r="BE182" i="6"/>
  <c r="BF182" i="6" s="1"/>
  <c r="BL182" i="6" s="1"/>
  <c r="BJ138" i="6"/>
  <c r="E28" i="8" s="1"/>
  <c r="BK138" i="6"/>
  <c r="AZ131" i="6"/>
  <c r="BU131" i="6"/>
  <c r="BE131" i="6"/>
  <c r="BF131" i="6" s="1"/>
  <c r="BL131" i="6" s="1"/>
  <c r="AZ72" i="6"/>
  <c r="BE72" i="6"/>
  <c r="BF72" i="6" s="1"/>
  <c r="BL72" i="6" s="1"/>
  <c r="BU72" i="6"/>
  <c r="BE103" i="6"/>
  <c r="BF103" i="6" s="1"/>
  <c r="BL103" i="6" s="1"/>
  <c r="AZ103" i="6"/>
  <c r="BU103" i="6"/>
  <c r="AL6" i="7"/>
  <c r="AM6" i="7" s="1"/>
  <c r="AR20" i="6"/>
  <c r="AR137" i="6"/>
  <c r="BU50" i="6"/>
  <c r="AZ50" i="6"/>
  <c r="BE50" i="6"/>
  <c r="BF50" i="6" s="1"/>
  <c r="BL50" i="6" s="1"/>
  <c r="BU170" i="6"/>
  <c r="BE170" i="6"/>
  <c r="BF170" i="6" s="1"/>
  <c r="BL170" i="6" s="1"/>
  <c r="AZ170" i="6"/>
  <c r="BU90" i="6"/>
  <c r="BE90" i="6"/>
  <c r="BF90" i="6" s="1"/>
  <c r="BL90" i="6" s="1"/>
  <c r="AZ90" i="6"/>
  <c r="BO215" i="6"/>
  <c r="BP215" i="6"/>
  <c r="AZ53" i="6"/>
  <c r="BE53" i="6"/>
  <c r="BF53" i="6" s="1"/>
  <c r="BL53" i="6" s="1"/>
  <c r="BU53" i="6"/>
  <c r="BE168" i="6"/>
  <c r="BF168" i="6" s="1"/>
  <c r="BL168" i="6" s="1"/>
  <c r="AZ168" i="6"/>
  <c r="BU168" i="6"/>
  <c r="AR17" i="6"/>
  <c r="AT17" i="6" s="1"/>
  <c r="AV17" i="6" s="1"/>
  <c r="AW17" i="6" s="1"/>
  <c r="BK203" i="6"/>
  <c r="BJ203" i="6"/>
  <c r="AX203" i="6"/>
  <c r="AY203" i="6"/>
  <c r="BP20" i="6"/>
  <c r="BO20" i="6"/>
  <c r="BP137" i="6"/>
  <c r="BO137" i="6"/>
  <c r="AZ23" i="6"/>
  <c r="BE23" i="6"/>
  <c r="BF23" i="6" s="1"/>
  <c r="BL23" i="6" s="1"/>
  <c r="BU23" i="6"/>
  <c r="AY138" i="6"/>
  <c r="AZ121" i="6"/>
  <c r="BU121" i="6"/>
  <c r="BE121" i="6"/>
  <c r="BF121" i="6" s="1"/>
  <c r="BL121" i="6" s="1"/>
  <c r="BE82" i="6"/>
  <c r="BF82" i="6" s="1"/>
  <c r="BL82" i="6" s="1"/>
  <c r="AZ82" i="6"/>
  <c r="BU82" i="6"/>
  <c r="BU133" i="6"/>
  <c r="AZ133" i="6"/>
  <c r="BE133" i="6"/>
  <c r="BF133" i="6" s="1"/>
  <c r="BL133" i="6" s="1"/>
  <c r="BV92" i="6"/>
  <c r="BW92" i="6"/>
  <c r="BE36" i="6"/>
  <c r="BF36" i="6" s="1"/>
  <c r="BL36" i="6" s="1"/>
  <c r="BU36" i="6"/>
  <c r="AZ36" i="6"/>
  <c r="BS159" i="6"/>
  <c r="BK154" i="6"/>
  <c r="BJ154" i="6"/>
  <c r="BE126" i="6"/>
  <c r="BF126" i="6" s="1"/>
  <c r="BL126" i="6" s="1"/>
  <c r="AZ126" i="6"/>
  <c r="BU126" i="6"/>
  <c r="BE54" i="6"/>
  <c r="BF54" i="6" s="1"/>
  <c r="BL54" i="6" s="1"/>
  <c r="BU54" i="6"/>
  <c r="AZ54" i="6"/>
  <c r="BU45" i="6"/>
  <c r="BE45" i="6"/>
  <c r="BF45" i="6" s="1"/>
  <c r="BL45" i="6" s="1"/>
  <c r="AZ45" i="6"/>
  <c r="AZ150" i="6"/>
  <c r="BE150" i="6"/>
  <c r="BF150" i="6" s="1"/>
  <c r="BL150" i="6" s="1"/>
  <c r="BU150" i="6"/>
  <c r="BV13" i="6"/>
  <c r="BW13" i="6"/>
  <c r="BE41" i="6"/>
  <c r="BF41" i="6" s="1"/>
  <c r="BL41" i="6" s="1"/>
  <c r="AZ41" i="6"/>
  <c r="BU41" i="6"/>
  <c r="AZ198" i="6"/>
  <c r="BU198" i="6"/>
  <c r="BE198" i="6"/>
  <c r="BF198" i="6" s="1"/>
  <c r="BL198" i="6" s="1"/>
  <c r="AZ213" i="6"/>
  <c r="BE213" i="6"/>
  <c r="BF213" i="6" s="1"/>
  <c r="BL213" i="6" s="1"/>
  <c r="BU213" i="6"/>
  <c r="BE157" i="6"/>
  <c r="BF157" i="6" s="1"/>
  <c r="BL157" i="6" s="1"/>
  <c r="BU157" i="6"/>
  <c r="AZ157" i="6"/>
  <c r="AZ206" i="6"/>
  <c r="BE206" i="6"/>
  <c r="BF206" i="6" s="1"/>
  <c r="BL206" i="6" s="1"/>
  <c r="BU206" i="6"/>
  <c r="AZ96" i="6"/>
  <c r="BU96" i="6"/>
  <c r="BE96" i="6"/>
  <c r="BF96" i="6" s="1"/>
  <c r="BL96" i="6" s="1"/>
  <c r="BU208" i="6"/>
  <c r="AZ208" i="6"/>
  <c r="BE208" i="6"/>
  <c r="BF208" i="6" s="1"/>
  <c r="BL208" i="6" s="1"/>
  <c r="BE40" i="6"/>
  <c r="BF40" i="6" s="1"/>
  <c r="BL40" i="6" s="1"/>
  <c r="BU40" i="6"/>
  <c r="AZ40" i="6"/>
  <c r="BJ177" i="6"/>
  <c r="BK177" i="6"/>
  <c r="AY177" i="6"/>
  <c r="AX177" i="6"/>
  <c r="BK195" i="6"/>
  <c r="BJ195" i="6"/>
  <c r="BE140" i="6"/>
  <c r="BF140" i="6" s="1"/>
  <c r="BL140" i="6" s="1"/>
  <c r="AZ140" i="6"/>
  <c r="BU140" i="6"/>
  <c r="BE164" i="6"/>
  <c r="BF164" i="6" s="1"/>
  <c r="BL164" i="6" s="1"/>
  <c r="AZ164" i="6"/>
  <c r="BU164" i="6"/>
  <c r="BU172" i="6"/>
  <c r="BE172" i="6"/>
  <c r="BF172" i="6" s="1"/>
  <c r="BL172" i="6" s="1"/>
  <c r="AZ172" i="6"/>
  <c r="AZ176" i="6"/>
  <c r="BU176" i="6"/>
  <c r="BE176" i="6"/>
  <c r="BF176" i="6" s="1"/>
  <c r="BL176" i="6" s="1"/>
  <c r="AT137" i="6"/>
  <c r="AV137" i="6" s="1"/>
  <c r="AW137" i="6" s="1"/>
  <c r="BE98" i="6"/>
  <c r="BF98" i="6" s="1"/>
  <c r="BL98" i="6" s="1"/>
  <c r="BU98" i="6"/>
  <c r="AZ98" i="6"/>
  <c r="BE113" i="6"/>
  <c r="BF113" i="6" s="1"/>
  <c r="BL113" i="6" s="1"/>
  <c r="BU113" i="6"/>
  <c r="AZ113" i="6"/>
  <c r="BO127" i="6"/>
  <c r="BP127" i="6"/>
  <c r="BU112" i="6"/>
  <c r="AZ112" i="6"/>
  <c r="BE112" i="6"/>
  <c r="BF112" i="6" s="1"/>
  <c r="BL112" i="6" s="1"/>
  <c r="AZ106" i="6"/>
  <c r="BU106" i="6"/>
  <c r="BE106" i="6"/>
  <c r="BF106" i="6" s="1"/>
  <c r="BL106" i="6" s="1"/>
  <c r="BU214" i="6"/>
  <c r="BE214" i="6"/>
  <c r="BF214" i="6" s="1"/>
  <c r="BL214" i="6" s="1"/>
  <c r="AZ214" i="6"/>
  <c r="E10" i="8"/>
  <c r="AT69" i="6"/>
  <c r="AV69" i="6" s="1"/>
  <c r="AW69" i="6" s="1"/>
  <c r="AT65" i="6"/>
  <c r="AV65" i="6" s="1"/>
  <c r="AW65" i="6" s="1"/>
  <c r="AZ124" i="6"/>
  <c r="BE124" i="6"/>
  <c r="BF124" i="6" s="1"/>
  <c r="BL124" i="6" s="1"/>
  <c r="BU124" i="6"/>
  <c r="BE14" i="6"/>
  <c r="BF14" i="6" s="1"/>
  <c r="BL14" i="6" s="1"/>
  <c r="BU14" i="6"/>
  <c r="AZ14" i="6"/>
  <c r="BO73" i="6"/>
  <c r="BP73" i="6"/>
  <c r="AV21" i="6"/>
  <c r="AW21" i="6" s="1"/>
  <c r="AR70" i="6"/>
  <c r="BU71" i="6"/>
  <c r="BE71" i="6"/>
  <c r="BF71" i="6" s="1"/>
  <c r="BL71" i="6" s="1"/>
  <c r="AZ71" i="6"/>
  <c r="BO134" i="6"/>
  <c r="BP134" i="6"/>
  <c r="AT60" i="6"/>
  <c r="AV60" i="6" s="1"/>
  <c r="AW60" i="6" s="1"/>
  <c r="BE120" i="6"/>
  <c r="BF120" i="6" s="1"/>
  <c r="BL120" i="6" s="1"/>
  <c r="BU120" i="6"/>
  <c r="AZ120" i="6"/>
  <c r="BP19" i="6"/>
  <c r="BO19" i="6"/>
  <c r="BJ148" i="6"/>
  <c r="BK148" i="6"/>
  <c r="AY148" i="6"/>
  <c r="AX148" i="6"/>
  <c r="AZ80" i="6"/>
  <c r="BU80" i="6"/>
  <c r="BE80" i="6"/>
  <c r="BF80" i="6" s="1"/>
  <c r="BL80" i="6" s="1"/>
  <c r="BU130" i="6"/>
  <c r="BE130" i="6"/>
  <c r="BF130" i="6" s="1"/>
  <c r="BL130" i="6" s="1"/>
  <c r="AZ130" i="6"/>
  <c r="AZ171" i="6"/>
  <c r="BU171" i="6"/>
  <c r="BE171" i="6"/>
  <c r="BF171" i="6" s="1"/>
  <c r="BL171" i="6" s="1"/>
  <c r="AZ51" i="6"/>
  <c r="BE51" i="6"/>
  <c r="BF51" i="6" s="1"/>
  <c r="BL51" i="6" s="1"/>
  <c r="BU51" i="6"/>
  <c r="BS215" i="6"/>
  <c r="BP30" i="6"/>
  <c r="BO30" i="6"/>
  <c r="BE31" i="6"/>
  <c r="BF31" i="6" s="1"/>
  <c r="BL31" i="6" s="1"/>
  <c r="AZ31" i="6"/>
  <c r="BU31" i="6"/>
  <c r="BP154" i="6"/>
  <c r="BO154" i="6"/>
  <c r="AT215" i="6"/>
  <c r="AV215" i="6" s="1"/>
  <c r="AW215" i="6" s="1"/>
  <c r="BE37" i="6"/>
  <c r="BF37" i="6" s="1"/>
  <c r="BL37" i="6" s="1"/>
  <c r="AZ37" i="6"/>
  <c r="BU37" i="6"/>
  <c r="AR143" i="6"/>
  <c r="BO43" i="6"/>
  <c r="BP43" i="6"/>
  <c r="AZ59" i="6"/>
  <c r="BE59" i="6"/>
  <c r="BF59" i="6" s="1"/>
  <c r="BL59" i="6" s="1"/>
  <c r="BU59" i="6"/>
  <c r="BE33" i="6"/>
  <c r="BF33" i="6" s="1"/>
  <c r="BL33" i="6" s="1"/>
  <c r="AZ33" i="6"/>
  <c r="BU33" i="6"/>
  <c r="BE48" i="6"/>
  <c r="BF48" i="6" s="1"/>
  <c r="BL48" i="6" s="1"/>
  <c r="BU48" i="6"/>
  <c r="AZ48" i="6"/>
  <c r="BU185" i="6"/>
  <c r="BE185" i="6"/>
  <c r="BF185" i="6" s="1"/>
  <c r="BL185" i="6" s="1"/>
  <c r="AZ185" i="6"/>
  <c r="AT211" i="6"/>
  <c r="AV211" i="6" s="1"/>
  <c r="AW211" i="6" s="1"/>
  <c r="BO195" i="6"/>
  <c r="BP195" i="6"/>
  <c r="C25" i="8"/>
  <c r="B7" i="8"/>
  <c r="B16" i="8"/>
  <c r="E25" i="8"/>
  <c r="C16" i="8"/>
  <c r="B25" i="8"/>
  <c r="E7" i="8"/>
  <c r="C7" i="8"/>
  <c r="E16" i="8"/>
  <c r="D16" i="8"/>
  <c r="AZ181" i="6"/>
  <c r="BU181" i="6"/>
  <c r="BE181" i="6"/>
  <c r="BF181" i="6" s="1"/>
  <c r="BL181" i="6" s="1"/>
  <c r="BO60" i="6"/>
  <c r="BP60" i="6"/>
  <c r="AR73" i="6"/>
  <c r="AR79" i="6"/>
  <c r="BO70" i="6"/>
  <c r="BP70" i="6"/>
  <c r="BU102" i="6"/>
  <c r="BE102" i="6"/>
  <c r="BF102" i="6" s="1"/>
  <c r="BL102" i="6" s="1"/>
  <c r="AZ102" i="6"/>
  <c r="BE145" i="6"/>
  <c r="BF145" i="6" s="1"/>
  <c r="BL145" i="6" s="1"/>
  <c r="AZ145" i="6"/>
  <c r="BU145" i="6"/>
  <c r="AZ16" i="6"/>
  <c r="BU16" i="6"/>
  <c r="BE16" i="6"/>
  <c r="BF16" i="6" s="1"/>
  <c r="BL16" i="6" s="1"/>
  <c r="BE153" i="6"/>
  <c r="BF153" i="6" s="1"/>
  <c r="BL153" i="6" s="1"/>
  <c r="AZ153" i="6"/>
  <c r="BU153" i="6"/>
  <c r="BE109" i="6"/>
  <c r="BF109" i="6" s="1"/>
  <c r="BL109" i="6" s="1"/>
  <c r="AZ109" i="6"/>
  <c r="BU109" i="6"/>
  <c r="AZ116" i="6"/>
  <c r="BU116" i="6"/>
  <c r="BE116" i="6"/>
  <c r="BF116" i="6" s="1"/>
  <c r="BL116" i="6" s="1"/>
  <c r="AZ77" i="6"/>
  <c r="BE77" i="6"/>
  <c r="BF77" i="6" s="1"/>
  <c r="BL77" i="6" s="1"/>
  <c r="BU77" i="6"/>
  <c r="AZ183" i="6"/>
  <c r="BU183" i="6"/>
  <c r="BE183" i="6"/>
  <c r="BF183" i="6" s="1"/>
  <c r="BL183" i="6" s="1"/>
  <c r="BU135" i="6"/>
  <c r="AZ135" i="6"/>
  <c r="BE135" i="6"/>
  <c r="BF135" i="6" s="1"/>
  <c r="BL135" i="6" s="1"/>
  <c r="BU163" i="6"/>
  <c r="AZ163" i="6"/>
  <c r="BE163" i="6"/>
  <c r="BF163" i="6" s="1"/>
  <c r="BL163" i="6" s="1"/>
  <c r="BO65" i="6"/>
  <c r="BP65" i="6"/>
  <c r="BE95" i="6"/>
  <c r="BF95" i="6" s="1"/>
  <c r="BL95" i="6" s="1"/>
  <c r="AZ95" i="6"/>
  <c r="BU95" i="6"/>
  <c r="BU56" i="6"/>
  <c r="AZ56" i="6"/>
  <c r="BE56" i="6"/>
  <c r="BF56" i="6" s="1"/>
  <c r="BL56" i="6" s="1"/>
  <c r="BS20" i="6"/>
  <c r="BV38" i="6"/>
  <c r="BW38" i="6"/>
  <c r="AZ158" i="6"/>
  <c r="BE158" i="6"/>
  <c r="BF158" i="6" s="1"/>
  <c r="BL158" i="6" s="1"/>
  <c r="BU158" i="6"/>
  <c r="BK32" i="6"/>
  <c r="BJ32" i="6"/>
  <c r="AX32" i="6"/>
  <c r="AY32" i="6"/>
  <c r="BK201" i="6"/>
  <c r="BJ201" i="6"/>
  <c r="AX201" i="6"/>
  <c r="AY201" i="6"/>
  <c r="BU52" i="6"/>
  <c r="BE52" i="6"/>
  <c r="BF52" i="6" s="1"/>
  <c r="BL52" i="6" s="1"/>
  <c r="AZ52" i="6"/>
  <c r="BU100" i="6"/>
  <c r="AZ100" i="6"/>
  <c r="BE100" i="6"/>
  <c r="BF100" i="6" s="1"/>
  <c r="BL100" i="6" s="1"/>
  <c r="BE155" i="6"/>
  <c r="BF155" i="6" s="1"/>
  <c r="BL155" i="6" s="1"/>
  <c r="AZ155" i="6"/>
  <c r="BU155" i="6"/>
  <c r="BE175" i="6"/>
  <c r="BF175" i="6" s="1"/>
  <c r="BL175" i="6" s="1"/>
  <c r="BU175" i="6"/>
  <c r="AZ175" i="6"/>
  <c r="BO143" i="6"/>
  <c r="BP143" i="6"/>
  <c r="BV12" i="6"/>
  <c r="BW12" i="6"/>
  <c r="BE204" i="6"/>
  <c r="BF204" i="6" s="1"/>
  <c r="BL204" i="6" s="1"/>
  <c r="BU204" i="6"/>
  <c r="AZ204" i="6"/>
  <c r="AR60" i="6"/>
  <c r="AV136" i="6"/>
  <c r="AW136" i="6" s="1"/>
  <c r="BW91" i="6"/>
  <c r="BV91" i="6"/>
  <c r="AR159" i="6"/>
  <c r="AR64" i="6"/>
  <c r="AT64" i="6" s="1"/>
  <c r="AV64" i="6" s="1"/>
  <c r="AW64" i="6" s="1"/>
  <c r="BU122" i="6"/>
  <c r="AZ122" i="6"/>
  <c r="BE122" i="6"/>
  <c r="BF122" i="6" s="1"/>
  <c r="BL122" i="6" s="1"/>
  <c r="BE200" i="6"/>
  <c r="BF200" i="6" s="1"/>
  <c r="BL200" i="6" s="1"/>
  <c r="BU200" i="6"/>
  <c r="AZ200" i="6"/>
  <c r="BE55" i="6"/>
  <c r="BF55" i="6" s="1"/>
  <c r="BL55" i="6" s="1"/>
  <c r="AZ55" i="6"/>
  <c r="BU55" i="6"/>
  <c r="BE46" i="6"/>
  <c r="BF46" i="6" s="1"/>
  <c r="BL46" i="6" s="1"/>
  <c r="BU46" i="6"/>
  <c r="AZ46" i="6"/>
  <c r="BE28" i="6"/>
  <c r="BF28" i="6" s="1"/>
  <c r="BL28" i="6" s="1"/>
  <c r="AZ28" i="6"/>
  <c r="BU28" i="6"/>
  <c r="BU196" i="6"/>
  <c r="AZ196" i="6"/>
  <c r="BE196" i="6"/>
  <c r="BF196" i="6" s="1"/>
  <c r="BL196" i="6" s="1"/>
  <c r="BE97" i="6"/>
  <c r="BF97" i="6" s="1"/>
  <c r="BL97" i="6" s="1"/>
  <c r="AZ97" i="6"/>
  <c r="BU97" i="6"/>
  <c r="AZ105" i="6"/>
  <c r="BE105" i="6"/>
  <c r="BF105" i="6" s="1"/>
  <c r="BL105" i="6" s="1"/>
  <c r="BU105" i="6"/>
  <c r="BE117" i="6"/>
  <c r="BF117" i="6" s="1"/>
  <c r="BL117" i="6" s="1"/>
  <c r="BU117" i="6"/>
  <c r="AZ117" i="6"/>
  <c r="AZ110" i="6"/>
  <c r="BU110" i="6"/>
  <c r="BE110" i="6"/>
  <c r="BF110" i="6" s="1"/>
  <c r="BL110" i="6" s="1"/>
  <c r="B20" i="8"/>
  <c r="B11" i="8"/>
  <c r="D11" i="8"/>
  <c r="D20" i="8"/>
  <c r="C11" i="8"/>
  <c r="E20" i="8"/>
  <c r="C20" i="8"/>
  <c r="B29" i="8"/>
  <c r="D29" i="8"/>
  <c r="BE61" i="6"/>
  <c r="BF61" i="6" s="1"/>
  <c r="BL61" i="6" s="1"/>
  <c r="BU61" i="6"/>
  <c r="AZ61" i="6"/>
  <c r="BU187" i="6"/>
  <c r="AZ187" i="6"/>
  <c r="BE187" i="6"/>
  <c r="BF187" i="6" s="1"/>
  <c r="BL187" i="6" s="1"/>
  <c r="BV94" i="6"/>
  <c r="BW94" i="6"/>
  <c r="B53" i="1"/>
  <c r="BV27" i="6"/>
  <c r="BW27" i="6"/>
  <c r="E18" i="8"/>
  <c r="D18" i="8"/>
  <c r="C18" i="8"/>
  <c r="B18" i="8"/>
  <c r="BQ65" i="6"/>
  <c r="BR65" i="6" s="1"/>
  <c r="BS65" i="6" s="1"/>
  <c r="BU39" i="6"/>
  <c r="BE39" i="6"/>
  <c r="BF39" i="6" s="1"/>
  <c r="BL39" i="6" s="1"/>
  <c r="AZ39" i="6"/>
  <c r="AR43" i="6"/>
  <c r="AT43" i="6" s="1"/>
  <c r="AV43" i="6" s="1"/>
  <c r="AW43" i="6" s="1"/>
  <c r="BE10" i="6"/>
  <c r="BF10" i="6" s="1"/>
  <c r="BL10" i="6" s="1"/>
  <c r="AZ10" i="6"/>
  <c r="BU10" i="6"/>
  <c r="BQ73" i="6"/>
  <c r="BR73" i="6" s="1"/>
  <c r="BS73" i="6" s="1"/>
  <c r="AY154" i="6"/>
  <c r="AZ142" i="6"/>
  <c r="BE142" i="6"/>
  <c r="BF142" i="6" s="1"/>
  <c r="BL142" i="6" s="1"/>
  <c r="BU142" i="6"/>
  <c r="BE194" i="6"/>
  <c r="BF194" i="6" s="1"/>
  <c r="BL194" i="6" s="1"/>
  <c r="BU194" i="6"/>
  <c r="AZ194" i="6"/>
  <c r="BU49" i="6"/>
  <c r="BE49" i="6"/>
  <c r="BF49" i="6" s="1"/>
  <c r="BL49" i="6" s="1"/>
  <c r="AZ49" i="6"/>
  <c r="BP69" i="6"/>
  <c r="BO69" i="6"/>
  <c r="BK88" i="6"/>
  <c r="BJ88" i="6"/>
  <c r="AX88" i="6"/>
  <c r="AY88" i="6"/>
  <c r="AZ47" i="6"/>
  <c r="BU47" i="6"/>
  <c r="BE47" i="6"/>
  <c r="BF47" i="6" s="1"/>
  <c r="BL47" i="6" s="1"/>
  <c r="BE63" i="6"/>
  <c r="BF63" i="6" s="1"/>
  <c r="BL63" i="6" s="1"/>
  <c r="BU63" i="6"/>
  <c r="AZ63" i="6"/>
  <c r="BP211" i="6"/>
  <c r="BO211" i="6"/>
  <c r="BP136" i="6"/>
  <c r="BO136" i="6"/>
  <c r="BE11" i="6"/>
  <c r="BF11" i="6" s="1"/>
  <c r="BL11" i="6" s="1"/>
  <c r="AZ11" i="6"/>
  <c r="BU11" i="6"/>
  <c r="BO75" i="6"/>
  <c r="BP75" i="6"/>
  <c r="BU108" i="6"/>
  <c r="BE108" i="6"/>
  <c r="BF108" i="6" s="1"/>
  <c r="BL108" i="6" s="1"/>
  <c r="AZ108" i="6"/>
  <c r="BP81" i="6"/>
  <c r="BO81" i="6"/>
  <c r="AZ107" i="6"/>
  <c r="BE107" i="6"/>
  <c r="BF107" i="6" s="1"/>
  <c r="BL107" i="6" s="1"/>
  <c r="BU107" i="6"/>
  <c r="B10" i="8"/>
  <c r="BE7" i="6"/>
  <c r="BF7" i="6" s="1"/>
  <c r="BL7" i="6" s="1"/>
  <c r="AZ7" i="6"/>
  <c r="BU7" i="6"/>
  <c r="BW18" i="6"/>
  <c r="BV18" i="6"/>
  <c r="B19" i="8"/>
  <c r="BO159" i="6"/>
  <c r="BP159" i="6"/>
  <c r="BU62" i="6"/>
  <c r="BE62" i="6"/>
  <c r="BF62" i="6" s="1"/>
  <c r="BL62" i="6" s="1"/>
  <c r="AZ62" i="6"/>
  <c r="BE207" i="6"/>
  <c r="BF207" i="6" s="1"/>
  <c r="BL207" i="6" s="1"/>
  <c r="AZ207" i="6"/>
  <c r="BU207" i="6"/>
  <c r="BP21" i="6"/>
  <c r="BO21" i="6"/>
  <c r="BP67" i="6"/>
  <c r="BO67" i="6"/>
  <c r="BE192" i="6"/>
  <c r="BF192" i="6" s="1"/>
  <c r="BL192" i="6" s="1"/>
  <c r="AZ192" i="6"/>
  <c r="BU192" i="6"/>
  <c r="BK169" i="6"/>
  <c r="BJ169" i="6"/>
  <c r="AY169" i="6"/>
  <c r="AX169" i="6"/>
  <c r="BK76" i="6"/>
  <c r="BJ76" i="6"/>
  <c r="AY76" i="6"/>
  <c r="AX76" i="6"/>
  <c r="BW9" i="6"/>
  <c r="BV9" i="6"/>
  <c r="BU167" i="6"/>
  <c r="BE167" i="6"/>
  <c r="BF167" i="6" s="1"/>
  <c r="BL167" i="6" s="1"/>
  <c r="AZ167" i="6"/>
  <c r="AT19" i="6"/>
  <c r="AV19" i="6" s="1"/>
  <c r="AW19" i="6" s="1"/>
  <c r="BU156" i="6"/>
  <c r="AZ156" i="6"/>
  <c r="BE156" i="6"/>
  <c r="BF156" i="6" s="1"/>
  <c r="BL156" i="6" s="1"/>
  <c r="BO42" i="6"/>
  <c r="BP42" i="6"/>
  <c r="BU212" i="6"/>
  <c r="BE212" i="6"/>
  <c r="BF212" i="6" s="1"/>
  <c r="BL212" i="6" s="1"/>
  <c r="AZ212" i="6"/>
  <c r="BU144" i="6"/>
  <c r="BE144" i="6"/>
  <c r="BF144" i="6" s="1"/>
  <c r="BL144" i="6" s="1"/>
  <c r="AZ144" i="6"/>
  <c r="AL9" i="7"/>
  <c r="AM9" i="7" s="1"/>
  <c r="BU101" i="6"/>
  <c r="BE101" i="6"/>
  <c r="BF101" i="6" s="1"/>
  <c r="BL101" i="6" s="1"/>
  <c r="AZ101" i="6"/>
  <c r="BE180" i="6"/>
  <c r="BF180" i="6" s="1"/>
  <c r="BL180" i="6" s="1"/>
  <c r="BU180" i="6"/>
  <c r="AZ180" i="6"/>
  <c r="AZ132" i="6"/>
  <c r="BE132" i="6"/>
  <c r="BF132" i="6" s="1"/>
  <c r="BL132" i="6" s="1"/>
  <c r="BU132" i="6"/>
  <c r="BO64" i="6"/>
  <c r="BP64" i="6"/>
  <c r="BK146" i="6"/>
  <c r="BJ146" i="6"/>
  <c r="AX146" i="6"/>
  <c r="AY146" i="6"/>
  <c r="BP58" i="6"/>
  <c r="BO58" i="6"/>
  <c r="BV25" i="6"/>
  <c r="BW25" i="6"/>
  <c r="AT30" i="6"/>
  <c r="AV30" i="6" s="1"/>
  <c r="AW30" i="6" s="1"/>
  <c r="BQ42" i="6"/>
  <c r="BR42" i="6" s="1"/>
  <c r="BS42" i="6" s="1"/>
  <c r="BO138" i="6"/>
  <c r="BP138" i="6"/>
  <c r="AV81" i="6"/>
  <c r="AW81" i="6" s="1"/>
  <c r="AZ84" i="6"/>
  <c r="BE84" i="6"/>
  <c r="BF84" i="6" s="1"/>
  <c r="BL84" i="6" s="1"/>
  <c r="BU84" i="6"/>
  <c r="AT79" i="6"/>
  <c r="AV79" i="6" s="1"/>
  <c r="AW79" i="6" s="1"/>
  <c r="BV44" i="6"/>
  <c r="BW44" i="6"/>
  <c r="BQ70" i="6"/>
  <c r="BR70" i="6" s="1"/>
  <c r="BS70" i="6" s="1"/>
  <c r="BU104" i="6"/>
  <c r="AZ104" i="6"/>
  <c r="BE104" i="6"/>
  <c r="BF104" i="6" s="1"/>
  <c r="BL104" i="6" s="1"/>
  <c r="BU152" i="6"/>
  <c r="AZ152" i="6"/>
  <c r="BE152" i="6"/>
  <c r="BF152" i="6" s="1"/>
  <c r="BL152" i="6" s="1"/>
  <c r="AZ162" i="6"/>
  <c r="BU162" i="6"/>
  <c r="BE162" i="6"/>
  <c r="BF162" i="6" s="1"/>
  <c r="BL162" i="6" s="1"/>
  <c r="BE85" i="6"/>
  <c r="BF85" i="6" s="1"/>
  <c r="BL85" i="6" s="1"/>
  <c r="AZ85" i="6"/>
  <c r="BU85" i="6"/>
  <c r="BE184" i="6"/>
  <c r="BF184" i="6" s="1"/>
  <c r="BL184" i="6" s="1"/>
  <c r="BU184" i="6"/>
  <c r="AZ184" i="6"/>
  <c r="E17" i="8"/>
  <c r="D17" i="8"/>
  <c r="B17" i="8"/>
  <c r="C17" i="8"/>
  <c r="AY195" i="6"/>
  <c r="BW119" i="6"/>
  <c r="BV119" i="6"/>
  <c r="AZ202" i="6"/>
  <c r="BU202" i="6"/>
  <c r="BE202" i="6"/>
  <c r="BF202" i="6" s="1"/>
  <c r="BL202" i="6" s="1"/>
  <c r="AX138" i="6"/>
  <c r="BE6" i="6"/>
  <c r="BF6" i="6" s="1"/>
  <c r="BL6" i="6" s="1"/>
  <c r="AZ6" i="6"/>
  <c r="BU6" i="6"/>
  <c r="AZ123" i="6"/>
  <c r="BE123" i="6"/>
  <c r="BF123" i="6" s="1"/>
  <c r="BL123" i="6" s="1"/>
  <c r="BU123" i="6"/>
  <c r="BU83" i="6"/>
  <c r="AZ83" i="6"/>
  <c r="BE83" i="6"/>
  <c r="BF83" i="6" s="1"/>
  <c r="BL83" i="6" s="1"/>
  <c r="BE118" i="6"/>
  <c r="BF118" i="6" s="1"/>
  <c r="BL118" i="6" s="1"/>
  <c r="BU118" i="6"/>
  <c r="AZ118" i="6"/>
  <c r="AZ199" i="6"/>
  <c r="BU199" i="6"/>
  <c r="BE199" i="6"/>
  <c r="BF199" i="6" s="1"/>
  <c r="BL199" i="6" s="1"/>
  <c r="BD17" i="6"/>
  <c r="BI17" i="6" s="1"/>
  <c r="B27" i="1" s="1"/>
  <c r="B28" i="1" s="1"/>
  <c r="B29" i="1" s="1"/>
  <c r="BP78" i="6"/>
  <c r="BO78" i="6"/>
  <c r="AZ114" i="6"/>
  <c r="BE114" i="6"/>
  <c r="BF114" i="6" s="1"/>
  <c r="BL114" i="6" s="1"/>
  <c r="BU114" i="6"/>
  <c r="BQ136" i="6"/>
  <c r="BR136" i="6" s="1"/>
  <c r="BS136" i="6" s="1"/>
  <c r="BP79" i="6"/>
  <c r="BO79" i="6"/>
  <c r="BU24" i="6"/>
  <c r="BE24" i="6"/>
  <c r="BF24" i="6" s="1"/>
  <c r="BL24" i="6" s="1"/>
  <c r="AZ24" i="6"/>
  <c r="AR138" i="6"/>
  <c r="BQ78" i="6"/>
  <c r="BR78" i="6" s="1"/>
  <c r="BS78" i="6" s="1"/>
  <c r="C29" i="8"/>
  <c r="AZ216" i="6"/>
  <c r="BU216" i="6"/>
  <c r="BE216" i="6"/>
  <c r="BF216" i="6" s="1"/>
  <c r="BL216" i="6" s="1"/>
  <c r="BE66" i="6"/>
  <c r="BF66" i="6" s="1"/>
  <c r="BL66" i="6" s="1"/>
  <c r="AZ66" i="6"/>
  <c r="BU66" i="6"/>
  <c r="AZ209" i="6"/>
  <c r="BU209" i="6"/>
  <c r="BE209" i="6"/>
  <c r="BF209" i="6" s="1"/>
  <c r="BL209" i="6" s="1"/>
  <c r="BE147" i="6"/>
  <c r="BF147" i="6" s="1"/>
  <c r="BL147" i="6" s="1"/>
  <c r="AZ147" i="6"/>
  <c r="BU147" i="6"/>
  <c r="BE210" i="6"/>
  <c r="BF210" i="6" s="1"/>
  <c r="BL210" i="6" s="1"/>
  <c r="BU210" i="6"/>
  <c r="AZ210" i="6"/>
  <c r="AV143" i="6"/>
  <c r="AW143" i="6" s="1"/>
  <c r="BQ43" i="6"/>
  <c r="BR43" i="6" s="1"/>
  <c r="BS43" i="6" s="1"/>
  <c r="BE141" i="6"/>
  <c r="BF141" i="6" s="1"/>
  <c r="BL141" i="6" s="1"/>
  <c r="BU141" i="6"/>
  <c r="AZ141" i="6"/>
  <c r="BV8" i="6"/>
  <c r="BW8" i="6"/>
  <c r="BE149" i="6"/>
  <c r="BF149" i="6" s="1"/>
  <c r="BL149" i="6" s="1"/>
  <c r="BU149" i="6"/>
  <c r="AZ149" i="6"/>
  <c r="BE197" i="6"/>
  <c r="BF197" i="6" s="1"/>
  <c r="BL197" i="6" s="1"/>
  <c r="BU197" i="6"/>
  <c r="AZ197" i="6"/>
  <c r="BQ30" i="6"/>
  <c r="BR30" i="6" s="1"/>
  <c r="BS30" i="6" s="1"/>
  <c r="AV42" i="6"/>
  <c r="AW42" i="6" s="1"/>
  <c r="BU57" i="6"/>
  <c r="BE57" i="6"/>
  <c r="BF57" i="6" s="1"/>
  <c r="BL57" i="6" s="1"/>
  <c r="AZ57" i="6"/>
  <c r="AT127" i="6"/>
  <c r="AV127" i="6" s="1"/>
  <c r="AW127" i="6" s="1"/>
  <c r="BE151" i="6"/>
  <c r="BF151" i="6" s="1"/>
  <c r="BL151" i="6" s="1"/>
  <c r="BU151" i="6"/>
  <c r="AZ151" i="6"/>
  <c r="BO129" i="6"/>
  <c r="BP129" i="6"/>
  <c r="AT159" i="6"/>
  <c r="AV159" i="6" s="1"/>
  <c r="AW159" i="6" s="1"/>
  <c r="BQ64" i="6"/>
  <c r="BR64" i="6" s="1"/>
  <c r="BS64" i="6" s="1"/>
  <c r="AX154" i="6"/>
  <c r="BE86" i="6"/>
  <c r="BF86" i="6" s="1"/>
  <c r="BL86" i="6" s="1"/>
  <c r="BU86" i="6"/>
  <c r="AZ86" i="6"/>
  <c r="BK193" i="6"/>
  <c r="BJ193" i="6"/>
  <c r="AX193" i="6"/>
  <c r="AY193" i="6"/>
  <c r="BQ211" i="6"/>
  <c r="BR211" i="6" s="1"/>
  <c r="BS211" i="6" s="1"/>
  <c r="AT20" i="6"/>
  <c r="AV20" i="6" s="1"/>
  <c r="AW20" i="6" s="1"/>
  <c r="AT67" i="6"/>
  <c r="AV67" i="6" s="1"/>
  <c r="AW67" i="6" s="1"/>
  <c r="BV89" i="6"/>
  <c r="AN7" i="7"/>
  <c r="BW89" i="6"/>
  <c r="BU5" i="6"/>
  <c r="BE5" i="6"/>
  <c r="AZ5" i="6"/>
  <c r="BU186" i="6"/>
  <c r="BE186" i="6"/>
  <c r="BF186" i="6" s="1"/>
  <c r="BL186" i="6" s="1"/>
  <c r="AZ186" i="6"/>
  <c r="AZ160" i="6"/>
  <c r="BE160" i="6"/>
  <c r="BF160" i="6" s="1"/>
  <c r="BL160" i="6" s="1"/>
  <c r="BU160" i="6"/>
  <c r="BE15" i="6"/>
  <c r="BF15" i="6" s="1"/>
  <c r="BL15" i="6" s="1"/>
  <c r="AZ15" i="6"/>
  <c r="BU15" i="6"/>
  <c r="BE165" i="6"/>
  <c r="BF165" i="6" s="1"/>
  <c r="BL165" i="6" s="1"/>
  <c r="BU165" i="6"/>
  <c r="AZ165" i="6"/>
  <c r="BE26" i="6"/>
  <c r="BF26" i="6" s="1"/>
  <c r="BL26" i="6" s="1"/>
  <c r="AZ26" i="6"/>
  <c r="BU26" i="6"/>
  <c r="AR129" i="6"/>
  <c r="AT129" i="6" s="1"/>
  <c r="AV129" i="6" s="1"/>
  <c r="AW129" i="6" s="1"/>
  <c r="B39" i="1"/>
  <c r="BU111" i="6"/>
  <c r="BE111" i="6"/>
  <c r="BF111" i="6" s="1"/>
  <c r="BL111" i="6" s="1"/>
  <c r="AZ111" i="6"/>
  <c r="AR58" i="6"/>
  <c r="AT58" i="6" s="1"/>
  <c r="AV58" i="6" s="1"/>
  <c r="AW58" i="6" s="1"/>
  <c r="AR134" i="6"/>
  <c r="AT134" i="6" s="1"/>
  <c r="AV134" i="6" s="1"/>
  <c r="AW134" i="6" s="1"/>
  <c r="BV34" i="6"/>
  <c r="BW34" i="6"/>
  <c r="BU205" i="6"/>
  <c r="BE205" i="6"/>
  <c r="BF205" i="6" s="1"/>
  <c r="BL205" i="6" s="1"/>
  <c r="AZ205" i="6"/>
  <c r="C10" i="8"/>
  <c r="BQ127" i="6"/>
  <c r="BR127" i="6" s="1"/>
  <c r="BS127" i="6" s="1"/>
  <c r="AZ29" i="6"/>
  <c r="BU29" i="6"/>
  <c r="BE29" i="6"/>
  <c r="BF29" i="6" s="1"/>
  <c r="BL29" i="6" s="1"/>
  <c r="AT73" i="6"/>
  <c r="AV73" i="6" s="1"/>
  <c r="AW73" i="6" s="1"/>
  <c r="BQ154" i="6"/>
  <c r="BR154" i="6" s="1"/>
  <c r="BS154" i="6" s="1"/>
  <c r="AT70" i="6"/>
  <c r="AV70" i="6" s="1"/>
  <c r="AW70" i="6" s="1"/>
  <c r="BE125" i="6"/>
  <c r="BF125" i="6" s="1"/>
  <c r="BL125" i="6" s="1"/>
  <c r="BU125" i="6"/>
  <c r="AZ125" i="6"/>
  <c r="BU74" i="6"/>
  <c r="AZ74" i="6"/>
  <c r="BE74" i="6"/>
  <c r="BF74" i="6" s="1"/>
  <c r="BL74" i="6" s="1"/>
  <c r="BE99" i="6"/>
  <c r="BF99" i="6" s="1"/>
  <c r="BL99" i="6" s="1"/>
  <c r="AZ99" i="6"/>
  <c r="BU99" i="6"/>
  <c r="BK190" i="6" l="1"/>
  <c r="AX190" i="6"/>
  <c r="BJ190" i="6"/>
  <c r="AY190" i="6"/>
  <c r="BS17" i="6"/>
  <c r="B46" i="1" s="1"/>
  <c r="AZ87" i="6"/>
  <c r="BU87" i="6"/>
  <c r="BE87" i="6"/>
  <c r="BF87" i="6" s="1"/>
  <c r="BL87" i="6" s="1"/>
  <c r="AZ173" i="6"/>
  <c r="BJ166" i="6"/>
  <c r="AX166" i="6"/>
  <c r="AY166" i="6"/>
  <c r="BK166" i="6"/>
  <c r="BE173" i="6"/>
  <c r="BF173" i="6" s="1"/>
  <c r="BL173" i="6" s="1"/>
  <c r="BV179" i="6"/>
  <c r="BW179" i="6"/>
  <c r="AY174" i="6"/>
  <c r="AX174" i="6"/>
  <c r="BK174" i="6"/>
  <c r="BJ174" i="6"/>
  <c r="BV188" i="6"/>
  <c r="BW188" i="6"/>
  <c r="BJ129" i="6"/>
  <c r="BK129" i="6"/>
  <c r="AY129" i="6"/>
  <c r="AX129" i="6"/>
  <c r="BJ134" i="6"/>
  <c r="BK134" i="6"/>
  <c r="AX134" i="6"/>
  <c r="AY134" i="6"/>
  <c r="BK58" i="6"/>
  <c r="BJ58" i="6"/>
  <c r="AX58" i="6"/>
  <c r="AY58" i="6"/>
  <c r="BK64" i="6"/>
  <c r="BJ64" i="6"/>
  <c r="AY64" i="6"/>
  <c r="AX64" i="6"/>
  <c r="BJ43" i="6"/>
  <c r="BK43" i="6"/>
  <c r="AX43" i="6"/>
  <c r="AY43" i="6"/>
  <c r="BJ70" i="6"/>
  <c r="BK70" i="6"/>
  <c r="AY70" i="6"/>
  <c r="AX70" i="6"/>
  <c r="BK42" i="6"/>
  <c r="BJ42" i="6"/>
  <c r="AY42" i="6"/>
  <c r="AX42" i="6"/>
  <c r="BE76" i="6"/>
  <c r="BF76" i="6" s="1"/>
  <c r="BL76" i="6" s="1"/>
  <c r="AZ76" i="6"/>
  <c r="BU76" i="6"/>
  <c r="BK78" i="6"/>
  <c r="BJ78" i="6"/>
  <c r="AX78" i="6"/>
  <c r="AY78" i="6"/>
  <c r="AZ195" i="6"/>
  <c r="BU195" i="6"/>
  <c r="BE195" i="6"/>
  <c r="BF195" i="6" s="1"/>
  <c r="BL195" i="6" s="1"/>
  <c r="BV173" i="6"/>
  <c r="BW173" i="6"/>
  <c r="BV192" i="6"/>
  <c r="BW192" i="6"/>
  <c r="AN11" i="7"/>
  <c r="BV107" i="6"/>
  <c r="BW107" i="6"/>
  <c r="BV10" i="6"/>
  <c r="BW10" i="6"/>
  <c r="BK17" i="6"/>
  <c r="BJ17" i="6"/>
  <c r="AX17" i="6"/>
  <c r="AY17" i="6"/>
  <c r="BK211" i="6"/>
  <c r="BJ211" i="6"/>
  <c r="AY211" i="6"/>
  <c r="AX211" i="6"/>
  <c r="BV31" i="6"/>
  <c r="BW31" i="6"/>
  <c r="BV41" i="6"/>
  <c r="BW41" i="6"/>
  <c r="BV160" i="6"/>
  <c r="BW160" i="6"/>
  <c r="BV86" i="6"/>
  <c r="BW86" i="6"/>
  <c r="BW216" i="6"/>
  <c r="BV216" i="6"/>
  <c r="BE146" i="6"/>
  <c r="BF146" i="6" s="1"/>
  <c r="BL146" i="6" s="1"/>
  <c r="AZ146" i="6"/>
  <c r="BU146" i="6"/>
  <c r="BV212" i="6"/>
  <c r="BW212" i="6"/>
  <c r="BW200" i="6"/>
  <c r="BV200" i="6"/>
  <c r="BV155" i="6"/>
  <c r="BW155" i="6"/>
  <c r="BV124" i="6"/>
  <c r="BW124" i="6"/>
  <c r="BV98" i="6"/>
  <c r="BW98" i="6"/>
  <c r="BV103" i="6"/>
  <c r="BW103" i="6"/>
  <c r="BV152" i="6"/>
  <c r="BW152" i="6"/>
  <c r="BV185" i="6"/>
  <c r="BW185" i="6"/>
  <c r="BJ137" i="6"/>
  <c r="BK137" i="6"/>
  <c r="AY137" i="6"/>
  <c r="AX137" i="6"/>
  <c r="BV168" i="6"/>
  <c r="BW168" i="6"/>
  <c r="BV205" i="6"/>
  <c r="BW205" i="6"/>
  <c r="BV105" i="6"/>
  <c r="BW105" i="6"/>
  <c r="BV56" i="6"/>
  <c r="BW56" i="6"/>
  <c r="BV109" i="6"/>
  <c r="BW109" i="6"/>
  <c r="BJ65" i="6"/>
  <c r="BK65" i="6"/>
  <c r="AY65" i="6"/>
  <c r="AX65" i="6"/>
  <c r="BV72" i="6"/>
  <c r="BW72" i="6"/>
  <c r="BK159" i="6"/>
  <c r="BJ159" i="6"/>
  <c r="AX159" i="6"/>
  <c r="AY159" i="6"/>
  <c r="BV141" i="6"/>
  <c r="BW141" i="6"/>
  <c r="BV118" i="6"/>
  <c r="BW118" i="6"/>
  <c r="BV28" i="6"/>
  <c r="BW28" i="6"/>
  <c r="BV145" i="6"/>
  <c r="BW145" i="6"/>
  <c r="BV140" i="6"/>
  <c r="BW140" i="6"/>
  <c r="BW23" i="6"/>
  <c r="BV23" i="6"/>
  <c r="BV90" i="6"/>
  <c r="BW90" i="6"/>
  <c r="BV26" i="6"/>
  <c r="BW26" i="6"/>
  <c r="BJ67" i="6"/>
  <c r="BK67" i="6"/>
  <c r="AX67" i="6"/>
  <c r="AY67" i="6"/>
  <c r="BV57" i="6"/>
  <c r="BW57" i="6"/>
  <c r="BW85" i="6"/>
  <c r="BV85" i="6"/>
  <c r="BJ81" i="6"/>
  <c r="BK81" i="6"/>
  <c r="AY81" i="6"/>
  <c r="AX81" i="6"/>
  <c r="BK20" i="6"/>
  <c r="BJ20" i="6"/>
  <c r="AY20" i="6"/>
  <c r="AX20" i="6"/>
  <c r="BW199" i="6"/>
  <c r="BV199" i="6"/>
  <c r="BV47" i="6"/>
  <c r="BW47" i="6"/>
  <c r="BV117" i="6"/>
  <c r="BW117" i="6"/>
  <c r="BW116" i="6"/>
  <c r="BV116" i="6"/>
  <c r="BW40" i="6"/>
  <c r="BV40" i="6"/>
  <c r="BV132" i="6"/>
  <c r="BW132" i="6"/>
  <c r="BK19" i="6"/>
  <c r="BJ19" i="6"/>
  <c r="AX19" i="6"/>
  <c r="AY19" i="6"/>
  <c r="BV207" i="6"/>
  <c r="BW207" i="6"/>
  <c r="BV108" i="6"/>
  <c r="BW108" i="6"/>
  <c r="BV39" i="6"/>
  <c r="BW39" i="6"/>
  <c r="BV61" i="6"/>
  <c r="BW61" i="6"/>
  <c r="BV97" i="6"/>
  <c r="BW97" i="6"/>
  <c r="BV153" i="6"/>
  <c r="BW153" i="6"/>
  <c r="BW33" i="6"/>
  <c r="BV33" i="6"/>
  <c r="BV120" i="6"/>
  <c r="BW120" i="6"/>
  <c r="BK143" i="6"/>
  <c r="BJ143" i="6"/>
  <c r="AY143" i="6"/>
  <c r="AX143" i="6"/>
  <c r="BV24" i="6"/>
  <c r="BW24" i="6"/>
  <c r="BV96" i="6"/>
  <c r="AO8" i="7"/>
  <c r="BW96" i="6"/>
  <c r="BK136" i="6"/>
  <c r="BJ136" i="6"/>
  <c r="AX136" i="6"/>
  <c r="AY136" i="6"/>
  <c r="BV16" i="6"/>
  <c r="BW16" i="6"/>
  <c r="AZ128" i="6"/>
  <c r="BE128" i="6"/>
  <c r="BF128" i="6" s="1"/>
  <c r="BL128" i="6" s="1"/>
  <c r="BU128" i="6"/>
  <c r="BJ60" i="6"/>
  <c r="BK60" i="6"/>
  <c r="AX60" i="6"/>
  <c r="AY60" i="6"/>
  <c r="BV172" i="6"/>
  <c r="BW172" i="6"/>
  <c r="BW131" i="6"/>
  <c r="BV131" i="6"/>
  <c r="B44" i="1"/>
  <c r="B43" i="1" s="1"/>
  <c r="B48" i="1" s="1"/>
  <c r="BV5" i="6"/>
  <c r="BW5" i="6"/>
  <c r="AN5" i="7"/>
  <c r="BV210" i="6"/>
  <c r="BW210" i="6"/>
  <c r="BV123" i="6"/>
  <c r="BW123" i="6"/>
  <c r="BJ79" i="6"/>
  <c r="BK79" i="6"/>
  <c r="AY79" i="6"/>
  <c r="AX79" i="6"/>
  <c r="BV167" i="6"/>
  <c r="BW167" i="6"/>
  <c r="BV11" i="6"/>
  <c r="BW11" i="6"/>
  <c r="BE201" i="6"/>
  <c r="BF201" i="6" s="1"/>
  <c r="BL201" i="6" s="1"/>
  <c r="BU201" i="6"/>
  <c r="AZ201" i="6"/>
  <c r="BV196" i="6"/>
  <c r="BW196" i="6"/>
  <c r="BV163" i="6"/>
  <c r="BW163" i="6"/>
  <c r="BV106" i="6"/>
  <c r="BW106" i="6"/>
  <c r="BV54" i="6"/>
  <c r="BW54" i="6"/>
  <c r="BU138" i="6"/>
  <c r="AZ138" i="6"/>
  <c r="BE138" i="6"/>
  <c r="BF138" i="6" s="1"/>
  <c r="BL138" i="6" s="1"/>
  <c r="BV125" i="6"/>
  <c r="BW125" i="6"/>
  <c r="BV6" i="6"/>
  <c r="BW6" i="6"/>
  <c r="BV49" i="6"/>
  <c r="BW49" i="6"/>
  <c r="BV59" i="6"/>
  <c r="BW59" i="6"/>
  <c r="BV171" i="6"/>
  <c r="BW171" i="6"/>
  <c r="BV214" i="6"/>
  <c r="BW214" i="6"/>
  <c r="BV164" i="6"/>
  <c r="BW164" i="6"/>
  <c r="BV206" i="6"/>
  <c r="BW206" i="6"/>
  <c r="BV45" i="6"/>
  <c r="BW45" i="6"/>
  <c r="BV121" i="6"/>
  <c r="AN9" i="7"/>
  <c r="BW121" i="6"/>
  <c r="B45" i="1"/>
  <c r="BV74" i="6"/>
  <c r="BW74" i="6"/>
  <c r="BV111" i="6"/>
  <c r="BW111" i="6"/>
  <c r="BK127" i="6"/>
  <c r="BJ127" i="6"/>
  <c r="AY127" i="6"/>
  <c r="AX127" i="6"/>
  <c r="BW84" i="6"/>
  <c r="BV84" i="6"/>
  <c r="BV147" i="6"/>
  <c r="BW147" i="6"/>
  <c r="BV114" i="6"/>
  <c r="BW114" i="6"/>
  <c r="BV184" i="6"/>
  <c r="BW184" i="6"/>
  <c r="BV180" i="6"/>
  <c r="BW180" i="6"/>
  <c r="BW62" i="6"/>
  <c r="BV62" i="6"/>
  <c r="BV204" i="6"/>
  <c r="BW204" i="6"/>
  <c r="AZ32" i="6"/>
  <c r="BU32" i="6"/>
  <c r="BE32" i="6"/>
  <c r="BF32" i="6" s="1"/>
  <c r="BL32" i="6" s="1"/>
  <c r="BV130" i="6"/>
  <c r="BW130" i="6"/>
  <c r="BV71" i="6"/>
  <c r="BW71" i="6"/>
  <c r="BV157" i="6"/>
  <c r="BW157" i="6"/>
  <c r="BV126" i="6"/>
  <c r="BW126" i="6"/>
  <c r="BV182" i="6"/>
  <c r="BW182" i="6"/>
  <c r="D10" i="8"/>
  <c r="D28" i="8"/>
  <c r="BV37" i="6"/>
  <c r="BW37" i="6"/>
  <c r="BV112" i="6"/>
  <c r="BW112" i="6"/>
  <c r="BV213" i="6"/>
  <c r="BW213" i="6"/>
  <c r="BW170" i="6"/>
  <c r="BV170" i="6"/>
  <c r="AZ191" i="6"/>
  <c r="BE191" i="6"/>
  <c r="BF191" i="6" s="1"/>
  <c r="BL191" i="6" s="1"/>
  <c r="BU191" i="6"/>
  <c r="BE88" i="6"/>
  <c r="BF88" i="6" s="1"/>
  <c r="BL88" i="6" s="1"/>
  <c r="BU88" i="6"/>
  <c r="AZ88" i="6"/>
  <c r="BW187" i="6"/>
  <c r="BV187" i="6"/>
  <c r="BV122" i="6"/>
  <c r="BW122" i="6"/>
  <c r="BW95" i="6"/>
  <c r="BV95" i="6"/>
  <c r="AR8" i="7"/>
  <c r="AN8" i="7"/>
  <c r="BV48" i="6"/>
  <c r="BW48" i="6"/>
  <c r="BV176" i="6"/>
  <c r="BW176" i="6"/>
  <c r="BV150" i="6"/>
  <c r="BW150" i="6"/>
  <c r="BV133" i="6"/>
  <c r="BW133" i="6"/>
  <c r="BW99" i="6"/>
  <c r="BV99" i="6"/>
  <c r="BV186" i="6"/>
  <c r="BW186" i="6"/>
  <c r="BW80" i="6"/>
  <c r="BV80" i="6"/>
  <c r="BK21" i="6"/>
  <c r="BJ21" i="6"/>
  <c r="AY21" i="6"/>
  <c r="AX21" i="6"/>
  <c r="BV142" i="6"/>
  <c r="BW142" i="6"/>
  <c r="BV165" i="6"/>
  <c r="BW165" i="6"/>
  <c r="BV162" i="6"/>
  <c r="AN10" i="7"/>
  <c r="BW162" i="6"/>
  <c r="BV104" i="6"/>
  <c r="BW104" i="6"/>
  <c r="BV156" i="6"/>
  <c r="BW156" i="6"/>
  <c r="BV100" i="6"/>
  <c r="BW100" i="6"/>
  <c r="BV181" i="6"/>
  <c r="BW181" i="6"/>
  <c r="BV51" i="6"/>
  <c r="BW51" i="6"/>
  <c r="BK69" i="6"/>
  <c r="BJ69" i="6"/>
  <c r="AY69" i="6"/>
  <c r="AX69" i="6"/>
  <c r="BV208" i="6"/>
  <c r="BW208" i="6"/>
  <c r="BV82" i="6"/>
  <c r="BW82" i="6"/>
  <c r="BV53" i="6"/>
  <c r="BW53" i="6"/>
  <c r="AZ161" i="6"/>
  <c r="BU161" i="6"/>
  <c r="BE161" i="6"/>
  <c r="BF161" i="6" s="1"/>
  <c r="BL161" i="6" s="1"/>
  <c r="BJ75" i="6"/>
  <c r="BK75" i="6"/>
  <c r="AY75" i="6"/>
  <c r="AX75" i="6"/>
  <c r="BF5" i="6"/>
  <c r="BL5" i="6" s="1"/>
  <c r="BV151" i="6"/>
  <c r="BW151" i="6"/>
  <c r="BV83" i="6"/>
  <c r="BW83" i="6"/>
  <c r="BV52" i="6"/>
  <c r="BW52" i="6"/>
  <c r="BW55" i="6"/>
  <c r="BV55" i="6"/>
  <c r="BV77" i="6"/>
  <c r="BW77" i="6"/>
  <c r="BK215" i="6"/>
  <c r="BJ215" i="6"/>
  <c r="AX215" i="6"/>
  <c r="AY215" i="6"/>
  <c r="BU177" i="6"/>
  <c r="AZ177" i="6"/>
  <c r="BE177" i="6"/>
  <c r="BF177" i="6" s="1"/>
  <c r="BL177" i="6" s="1"/>
  <c r="BW50" i="6"/>
  <c r="BV50" i="6"/>
  <c r="AN6" i="7"/>
  <c r="BV139" i="6"/>
  <c r="BW139" i="6"/>
  <c r="BV194" i="6"/>
  <c r="BW194" i="6"/>
  <c r="BV202" i="6"/>
  <c r="BW202" i="6"/>
  <c r="BK30" i="6"/>
  <c r="BJ30" i="6"/>
  <c r="AX30" i="6"/>
  <c r="AY30" i="6"/>
  <c r="BV7" i="6"/>
  <c r="BW7" i="6"/>
  <c r="BW15" i="6"/>
  <c r="BV15" i="6"/>
  <c r="BV144" i="6"/>
  <c r="BW144" i="6"/>
  <c r="AZ154" i="6"/>
  <c r="BU154" i="6"/>
  <c r="BE154" i="6"/>
  <c r="BF154" i="6" s="1"/>
  <c r="BL154" i="6" s="1"/>
  <c r="BW102" i="6"/>
  <c r="BV102" i="6"/>
  <c r="AZ148" i="6"/>
  <c r="BE148" i="6"/>
  <c r="BF148" i="6" s="1"/>
  <c r="BL148" i="6" s="1"/>
  <c r="BU148" i="6"/>
  <c r="BW113" i="6"/>
  <c r="BV113" i="6"/>
  <c r="BV198" i="6"/>
  <c r="BW198" i="6"/>
  <c r="AZ203" i="6"/>
  <c r="BE203" i="6"/>
  <c r="BF203" i="6" s="1"/>
  <c r="BL203" i="6" s="1"/>
  <c r="BU203" i="6"/>
  <c r="BU178" i="6"/>
  <c r="BE178" i="6"/>
  <c r="BF178" i="6" s="1"/>
  <c r="BL178" i="6" s="1"/>
  <c r="AZ178" i="6"/>
  <c r="BW135" i="6"/>
  <c r="BV135" i="6"/>
  <c r="BV209" i="6"/>
  <c r="BW209" i="6"/>
  <c r="BV101" i="6"/>
  <c r="BW101" i="6"/>
  <c r="BK73" i="6"/>
  <c r="BJ73" i="6"/>
  <c r="AY73" i="6"/>
  <c r="AX73" i="6"/>
  <c r="AZ193" i="6"/>
  <c r="BU193" i="6"/>
  <c r="BE193" i="6"/>
  <c r="BF193" i="6" s="1"/>
  <c r="BL193" i="6" s="1"/>
  <c r="BV46" i="6"/>
  <c r="BW46" i="6"/>
  <c r="BV183" i="6"/>
  <c r="BW183" i="6"/>
  <c r="BW197" i="6"/>
  <c r="BV197" i="6"/>
  <c r="BV158" i="6"/>
  <c r="BW158" i="6"/>
  <c r="BV29" i="6"/>
  <c r="BW29" i="6"/>
  <c r="BW66" i="6"/>
  <c r="BV66" i="6"/>
  <c r="BE169" i="6"/>
  <c r="BF169" i="6" s="1"/>
  <c r="BL169" i="6" s="1"/>
  <c r="AZ169" i="6"/>
  <c r="BU169" i="6"/>
  <c r="BV149" i="6"/>
  <c r="BW149" i="6"/>
  <c r="B11" i="1"/>
  <c r="B13" i="1" s="1"/>
  <c r="B19" i="1" s="1"/>
  <c r="BV63" i="6"/>
  <c r="BW63" i="6"/>
  <c r="BV110" i="6"/>
  <c r="BW110" i="6"/>
  <c r="BV175" i="6"/>
  <c r="BW175" i="6"/>
  <c r="BW14" i="6"/>
  <c r="BV14" i="6"/>
  <c r="BV36" i="6"/>
  <c r="BW36" i="6"/>
  <c r="BE174" i="6" l="1"/>
  <c r="BF174" i="6" s="1"/>
  <c r="BL174" i="6" s="1"/>
  <c r="BU174" i="6"/>
  <c r="AZ174" i="6"/>
  <c r="BE166" i="6"/>
  <c r="BF166" i="6" s="1"/>
  <c r="BL166" i="6" s="1"/>
  <c r="AZ166" i="6"/>
  <c r="BU166" i="6"/>
  <c r="BV87" i="6"/>
  <c r="BW87" i="6"/>
  <c r="BU190" i="6"/>
  <c r="BE190" i="6"/>
  <c r="BF190" i="6" s="1"/>
  <c r="BL190" i="6" s="1"/>
  <c r="AZ190" i="6"/>
  <c r="BV32" i="6"/>
  <c r="BW32" i="6"/>
  <c r="AZ60" i="6"/>
  <c r="BE60" i="6"/>
  <c r="BF60" i="6" s="1"/>
  <c r="BL60" i="6" s="1"/>
  <c r="BU60" i="6"/>
  <c r="BU137" i="6"/>
  <c r="BE137" i="6"/>
  <c r="BF137" i="6" s="1"/>
  <c r="BL137" i="6" s="1"/>
  <c r="AZ137" i="6"/>
  <c r="BV154" i="6"/>
  <c r="BW154" i="6"/>
  <c r="BV177" i="6"/>
  <c r="BW177" i="6"/>
  <c r="BV161" i="6"/>
  <c r="AO10" i="7"/>
  <c r="AP10" i="7" s="1"/>
  <c r="BW161" i="6"/>
  <c r="BU67" i="6"/>
  <c r="AZ67" i="6"/>
  <c r="BE67" i="6"/>
  <c r="BF67" i="6" s="1"/>
  <c r="BL67" i="6" s="1"/>
  <c r="AZ43" i="6"/>
  <c r="BU43" i="6"/>
  <c r="BE43" i="6"/>
  <c r="BF43" i="6" s="1"/>
  <c r="BL43" i="6" s="1"/>
  <c r="AZ215" i="6"/>
  <c r="BU215" i="6"/>
  <c r="BE215" i="6"/>
  <c r="BF215" i="6" s="1"/>
  <c r="BL215" i="6" s="1"/>
  <c r="BV128" i="6"/>
  <c r="BW128" i="6"/>
  <c r="D26" i="8"/>
  <c r="D8" i="8"/>
  <c r="AZ58" i="6"/>
  <c r="BE58" i="6"/>
  <c r="BF58" i="6" s="1"/>
  <c r="BL58" i="6" s="1"/>
  <c r="BU58" i="6"/>
  <c r="AS8" i="7"/>
  <c r="AU8" i="7" s="1"/>
  <c r="BV138" i="6"/>
  <c r="BW138" i="6"/>
  <c r="BU211" i="6"/>
  <c r="AO11" i="7" s="1"/>
  <c r="AP11" i="7" s="1"/>
  <c r="BE211" i="6"/>
  <c r="BF211" i="6" s="1"/>
  <c r="BL211" i="6" s="1"/>
  <c r="AZ211" i="6"/>
  <c r="C26" i="8"/>
  <c r="C8" i="8"/>
  <c r="BU65" i="6"/>
  <c r="AZ65" i="6"/>
  <c r="BE65" i="6"/>
  <c r="BF65" i="6" s="1"/>
  <c r="BL65" i="6" s="1"/>
  <c r="AP8" i="7"/>
  <c r="BU136" i="6"/>
  <c r="AZ136" i="6"/>
  <c r="BE136" i="6"/>
  <c r="BF136" i="6" s="1"/>
  <c r="BL136" i="6" s="1"/>
  <c r="AZ69" i="6"/>
  <c r="BU69" i="6"/>
  <c r="BE69" i="6"/>
  <c r="BF69" i="6" s="1"/>
  <c r="BL69" i="6" s="1"/>
  <c r="AT8" i="7"/>
  <c r="AV8" i="7" s="1"/>
  <c r="AZ20" i="6"/>
  <c r="BU20" i="6"/>
  <c r="BE20" i="6"/>
  <c r="BF20" i="6" s="1"/>
  <c r="BL20" i="6" s="1"/>
  <c r="BV76" i="6"/>
  <c r="BW76" i="6"/>
  <c r="BV169" i="6"/>
  <c r="BW169" i="6"/>
  <c r="BE78" i="6"/>
  <c r="BF78" i="6" s="1"/>
  <c r="BL78" i="6" s="1"/>
  <c r="AZ78" i="6"/>
  <c r="BU78" i="6"/>
  <c r="C9" i="8"/>
  <c r="C27" i="8"/>
  <c r="AZ134" i="6"/>
  <c r="BU134" i="6"/>
  <c r="BE134" i="6"/>
  <c r="BF134" i="6" s="1"/>
  <c r="BL134" i="6" s="1"/>
  <c r="BU21" i="6"/>
  <c r="BE21" i="6"/>
  <c r="BF21" i="6" s="1"/>
  <c r="BL21" i="6" s="1"/>
  <c r="AZ21" i="6"/>
  <c r="BE17" i="6"/>
  <c r="AZ17" i="6"/>
  <c r="BU17" i="6"/>
  <c r="BU79" i="6"/>
  <c r="BE79" i="6"/>
  <c r="BF79" i="6" s="1"/>
  <c r="BL79" i="6" s="1"/>
  <c r="AZ79" i="6"/>
  <c r="BV178" i="6"/>
  <c r="BW178" i="6"/>
  <c r="BV195" i="6"/>
  <c r="BW195" i="6"/>
  <c r="B26" i="8"/>
  <c r="B8" i="8"/>
  <c r="BU81" i="6"/>
  <c r="AZ81" i="6"/>
  <c r="BE81" i="6"/>
  <c r="BF81" i="6" s="1"/>
  <c r="BL81" i="6" s="1"/>
  <c r="D9" i="8"/>
  <c r="B32" i="1"/>
  <c r="D27" i="8"/>
  <c r="BU42" i="6"/>
  <c r="AZ42" i="6"/>
  <c r="BE42" i="6"/>
  <c r="BF42" i="6" s="1"/>
  <c r="BL42" i="6" s="1"/>
  <c r="BV201" i="6"/>
  <c r="BW201" i="6"/>
  <c r="BU64" i="6"/>
  <c r="BE64" i="6"/>
  <c r="BF64" i="6" s="1"/>
  <c r="BL64" i="6" s="1"/>
  <c r="AZ64" i="6"/>
  <c r="BU30" i="6"/>
  <c r="BE30" i="6"/>
  <c r="BF30" i="6" s="1"/>
  <c r="BL30" i="6" s="1"/>
  <c r="AZ30" i="6"/>
  <c r="BV203" i="6"/>
  <c r="BW203" i="6"/>
  <c r="BW148" i="6"/>
  <c r="BV148" i="6"/>
  <c r="E29" i="8"/>
  <c r="E11" i="8"/>
  <c r="BV88" i="6"/>
  <c r="AS7" i="7" s="1"/>
  <c r="BW88" i="6"/>
  <c r="AT7" i="7" s="1"/>
  <c r="AR7" i="7"/>
  <c r="AO7" i="7"/>
  <c r="AP7" i="7" s="1"/>
  <c r="D7" i="8"/>
  <c r="D25" i="8"/>
  <c r="BE129" i="6"/>
  <c r="BF129" i="6" s="1"/>
  <c r="BL129" i="6" s="1"/>
  <c r="AZ129" i="6"/>
  <c r="BU129" i="6"/>
  <c r="BE159" i="6"/>
  <c r="BF159" i="6" s="1"/>
  <c r="BL159" i="6" s="1"/>
  <c r="AZ159" i="6"/>
  <c r="BU159" i="6"/>
  <c r="BV193" i="6"/>
  <c r="BW193" i="6"/>
  <c r="AZ19" i="6"/>
  <c r="BE19" i="6"/>
  <c r="BF19" i="6" s="1"/>
  <c r="BL19" i="6" s="1"/>
  <c r="BU19" i="6"/>
  <c r="B33" i="1"/>
  <c r="E9" i="8"/>
  <c r="E27" i="8"/>
  <c r="BE75" i="6"/>
  <c r="BF75" i="6" s="1"/>
  <c r="BL75" i="6" s="1"/>
  <c r="BU75" i="6"/>
  <c r="AZ75" i="6"/>
  <c r="BE143" i="6"/>
  <c r="BF143" i="6" s="1"/>
  <c r="BL143" i="6" s="1"/>
  <c r="AZ143" i="6"/>
  <c r="BU143" i="6"/>
  <c r="B9" i="8"/>
  <c r="B27" i="8"/>
  <c r="BW146" i="6"/>
  <c r="BV146" i="6"/>
  <c r="AZ73" i="6"/>
  <c r="BE73" i="6"/>
  <c r="BF73" i="6" s="1"/>
  <c r="BL73" i="6" s="1"/>
  <c r="BU73" i="6"/>
  <c r="BV191" i="6"/>
  <c r="BW191" i="6"/>
  <c r="AZ127" i="6"/>
  <c r="BU127" i="6"/>
  <c r="BE127" i="6"/>
  <c r="BF127" i="6" s="1"/>
  <c r="BL127" i="6" s="1"/>
  <c r="E8" i="8"/>
  <c r="E26" i="8"/>
  <c r="BE70" i="6"/>
  <c r="BF70" i="6" s="1"/>
  <c r="BL70" i="6" s="1"/>
  <c r="AZ70" i="6"/>
  <c r="BU70" i="6"/>
  <c r="AW8" i="7" l="1"/>
  <c r="BV190" i="6"/>
  <c r="BW190" i="6"/>
  <c r="BW166" i="6"/>
  <c r="BV166" i="6"/>
  <c r="AR10" i="7"/>
  <c r="BW174" i="6"/>
  <c r="AT10" i="7" s="1"/>
  <c r="AV10" i="7" s="1"/>
  <c r="BV174" i="6"/>
  <c r="BV159" i="6"/>
  <c r="BW159" i="6"/>
  <c r="BV30" i="6"/>
  <c r="BW30" i="6"/>
  <c r="BV69" i="6"/>
  <c r="BW69" i="6"/>
  <c r="BV73" i="6"/>
  <c r="BW73" i="6"/>
  <c r="B35" i="1"/>
  <c r="B41" i="1"/>
  <c r="B42" i="1" s="1"/>
  <c r="BV75" i="6"/>
  <c r="BW75" i="6"/>
  <c r="BV64" i="6"/>
  <c r="BW64" i="6"/>
  <c r="BV67" i="6"/>
  <c r="BW67" i="6"/>
  <c r="B54" i="1"/>
  <c r="BV42" i="6"/>
  <c r="BW42" i="6"/>
  <c r="BV134" i="6"/>
  <c r="BW134" i="6"/>
  <c r="BV81" i="6"/>
  <c r="BW81" i="6"/>
  <c r="BW136" i="6"/>
  <c r="BV136" i="6"/>
  <c r="BF17" i="6"/>
  <c r="BL17" i="6" s="1"/>
  <c r="B34" i="1" s="1"/>
  <c r="B12" i="1"/>
  <c r="BV58" i="6"/>
  <c r="BW58" i="6"/>
  <c r="AR6" i="7"/>
  <c r="AO6" i="7"/>
  <c r="AP6" i="7" s="1"/>
  <c r="AV7" i="7"/>
  <c r="AX7" i="7" s="1"/>
  <c r="BV21" i="6"/>
  <c r="BW21" i="6"/>
  <c r="BV137" i="6"/>
  <c r="BW137" i="6"/>
  <c r="BV70" i="6"/>
  <c r="BW70" i="6"/>
  <c r="AU7" i="7"/>
  <c r="BV215" i="6"/>
  <c r="BW215" i="6"/>
  <c r="BV79" i="6"/>
  <c r="BW79" i="6"/>
  <c r="AS10" i="7"/>
  <c r="AX8" i="7"/>
  <c r="AY8" i="7" s="1"/>
  <c r="AZ8" i="7" s="1"/>
  <c r="BA8" i="7" s="1"/>
  <c r="AR11" i="7"/>
  <c r="AT11" i="7"/>
  <c r="AV11" i="7" s="1"/>
  <c r="BV78" i="6"/>
  <c r="BW78" i="6"/>
  <c r="BV20" i="6"/>
  <c r="BW20" i="6"/>
  <c r="BV127" i="6"/>
  <c r="BW127" i="6"/>
  <c r="AT9" i="7" s="1"/>
  <c r="AO9" i="7"/>
  <c r="AP9" i="7" s="1"/>
  <c r="AR9" i="7"/>
  <c r="BV19" i="6"/>
  <c r="BW19" i="6"/>
  <c r="BV60" i="6"/>
  <c r="BW60" i="6"/>
  <c r="BV65" i="6"/>
  <c r="BW65" i="6"/>
  <c r="BV129" i="6"/>
  <c r="BW129" i="6"/>
  <c r="BV211" i="6"/>
  <c r="AS11" i="7" s="1"/>
  <c r="BW211" i="6"/>
  <c r="BV17" i="6"/>
  <c r="BW17" i="6"/>
  <c r="AO5" i="7"/>
  <c r="AP5" i="7" s="1"/>
  <c r="AR5" i="7"/>
  <c r="BV143" i="6"/>
  <c r="BW143" i="6"/>
  <c r="BV43" i="6"/>
  <c r="BW43" i="6"/>
  <c r="AS9" i="7" l="1"/>
  <c r="AU9" i="7" s="1"/>
  <c r="AU10" i="7"/>
  <c r="AW10" i="7" s="1"/>
  <c r="AU11" i="7"/>
  <c r="AW11" i="7" s="1"/>
  <c r="B36" i="1"/>
  <c r="B49" i="1" s="1"/>
  <c r="B47" i="1"/>
  <c r="B15" i="1"/>
  <c r="B16" i="1" s="1"/>
  <c r="B14" i="1"/>
  <c r="B20" i="1" s="1"/>
  <c r="B21" i="1" s="1"/>
  <c r="B22" i="1" s="1"/>
  <c r="AT6" i="7"/>
  <c r="AV6" i="7" s="1"/>
  <c r="AX11" i="7"/>
  <c r="AY11" i="7" s="1"/>
  <c r="AZ11" i="7" s="1"/>
  <c r="BA11" i="7" s="1"/>
  <c r="AX10" i="7"/>
  <c r="AY10" i="7" s="1"/>
  <c r="AZ10" i="7" s="1"/>
  <c r="BA10" i="7" s="1"/>
  <c r="AS5" i="7"/>
  <c r="AU5" i="7" s="1"/>
  <c r="AW7" i="7"/>
  <c r="AY7" i="7" s="1"/>
  <c r="AZ7" i="7" s="1"/>
  <c r="BA7" i="7" s="1"/>
  <c r="AV9" i="7"/>
  <c r="AS6" i="7"/>
  <c r="AU6" i="7" s="1"/>
  <c r="AW6" i="7" s="1"/>
  <c r="AT5" i="7"/>
  <c r="AV5" i="7" s="1"/>
  <c r="AX5" i="7" s="1"/>
  <c r="AX9" i="7" l="1"/>
  <c r="AW5" i="7"/>
  <c r="AY5" i="7" s="1"/>
  <c r="AZ5" i="7" s="1"/>
  <c r="BA5" i="7" s="1"/>
  <c r="AX6" i="7"/>
  <c r="AY6" i="7" s="1"/>
  <c r="AZ6" i="7" s="1"/>
  <c r="BA6" i="7" s="1"/>
  <c r="AW9" i="7"/>
  <c r="AY9" i="7" s="1"/>
  <c r="AZ9" i="7" s="1"/>
  <c r="BA9" i="7" s="1"/>
</calcChain>
</file>

<file path=xl/sharedStrings.xml><?xml version="1.0" encoding="utf-8"?>
<sst xmlns="http://schemas.openxmlformats.org/spreadsheetml/2006/main" count="1017" uniqueCount="541">
  <si>
    <t>Summary: what the review costs</t>
  </si>
  <si>
    <t>Value</t>
  </si>
  <si>
    <t>Headcount</t>
  </si>
  <si>
    <t>Eligible for merit</t>
  </si>
  <si>
    <t>PAYROLL COST: full year, incl. employer contributions</t>
  </si>
  <si>
    <t>Current payroll cost</t>
  </si>
  <si>
    <t xml:space="preserve">   of which total cash (base + bonus)</t>
  </si>
  <si>
    <t xml:space="preserve">   of which employer contributions</t>
  </si>
  <si>
    <t>Payroll cost after pay equity</t>
  </si>
  <si>
    <t>Payroll cost after merit review</t>
  </si>
  <si>
    <t>Change: pay equity</t>
  </si>
  <si>
    <t>Change: merit review</t>
  </si>
  <si>
    <t>Change: total</t>
  </si>
  <si>
    <t>Change: total, % of current payroll cost</t>
  </si>
  <si>
    <t>THIS YEAR: from the effective month</t>
  </si>
  <si>
    <t>Change this year: pay equity</t>
  </si>
  <si>
    <t>Change this year: merit review</t>
  </si>
  <si>
    <t>Change this year: total</t>
  </si>
  <si>
    <t>Change this year, % of current payroll cost</t>
  </si>
  <si>
    <t>PAY EQUITY ADJUSTMENT (Calc step 2), breakdown</t>
  </si>
  <si>
    <t>Base adjustment</t>
  </si>
  <si>
    <t>Bonus effect</t>
  </si>
  <si>
    <t>Employer contributions</t>
  </si>
  <si>
    <t>Total, full year</t>
  </si>
  <si>
    <t>Total, this year</t>
  </si>
  <si>
    <t>MERIT INCREASE from the aligned base (Calc step 5), breakdown</t>
  </si>
  <si>
    <t>Merit increase (base)</t>
  </si>
  <si>
    <t>MERIT REVIEW VS TARGET BUDGET, incl. bonus and employer contributions</t>
  </si>
  <si>
    <t>Eligible base payroll</t>
  </si>
  <si>
    <t>Target merit increase, % of eligible base payroll (change on Inputs)</t>
  </si>
  <si>
    <t>Merit increase as calculated, % of eligible base payroll</t>
  </si>
  <si>
    <t>Variance vs target, pp (+ over, − under)</t>
  </si>
  <si>
    <t>Target budget, full year</t>
  </si>
  <si>
    <t xml:space="preserve">   of which base</t>
  </si>
  <si>
    <t xml:space="preserve">   of which bonus</t>
  </si>
  <si>
    <t>Variance vs target budget, € full year (+ over)</t>
  </si>
  <si>
    <t>Target budget, this year</t>
  </si>
  <si>
    <t>Variance vs target budget, € this year (+ over)</t>
  </si>
  <si>
    <t>FLAGS</t>
  </si>
  <si>
    <t>Above range max after equity adjustment (amber: check, not an error)</t>
  </si>
  <si>
    <t>At or above range max: no merit increase (red-circled if above)</t>
  </si>
  <si>
    <t>Below range min after review</t>
  </si>
  <si>
    <t>DATA CHECKS: all should be 0</t>
  </si>
  <si>
    <t>Employee rows not in the calculation</t>
  </si>
  <si>
    <t>Employees without a range on Bands</t>
  </si>
  <si>
    <t>Employees in categories missing from Categories</t>
  </si>
  <si>
    <t>Employees with a rating missing from the rating table</t>
  </si>
  <si>
    <t>Inputs: change the yellow cells</t>
  </si>
  <si>
    <t>Setting</t>
  </si>
  <si>
    <t>Note</t>
  </si>
  <si>
    <t>Effective from (pick a month)</t>
  </si>
  <si>
    <t>Increases take effect on the 1st of this month. Eligibility is counted up to it. Pick from the list.</t>
  </si>
  <si>
    <t>Effective month</t>
  </si>
  <si>
    <t>Month number of the effective date.</t>
  </si>
  <si>
    <t>In-year proration factor</t>
  </si>
  <si>
    <t>Months from the effective month to December inclusive, ÷ 12; the increase is assumed to start on the 1st of that month.</t>
  </si>
  <si>
    <t>Target merit increase, % of eligible base payroll</t>
  </si>
  <si>
    <t>The planned average increase, as % of eligible staff's annual base after the pay equity step, FTE-weighted. The target budget on Summary is this % given to every eligible person, with bonus and employer contributions.</t>
  </si>
  <si>
    <t>Minimum tenure, months</t>
  </si>
  <si>
    <t>Hired fewer months before the effective date than this: not in the review. Hired after the effective date: never in it.</t>
  </si>
  <si>
    <t>No individual pay change in the last, months</t>
  </si>
  <si>
    <t>Individual pay change fewer months before the effective date than this: not in the review.</t>
  </si>
  <si>
    <t>Increase cap per person, % of aligned base</t>
  </si>
  <si>
    <t>A safety limit. The increase is each person's gap to target, or the rating minimum if higher; the cap only cuts it if it is larger. 'No cap' (or an empty cell, or 0%) = no limit.</t>
  </si>
  <si>
    <t>Clip increases at range maximum</t>
  </si>
  <si>
    <t>Yes</t>
  </si>
  <si>
    <t>Yes: a merit increase never takes base pay above the range maximum. The pay equity adjustment is not clipped.</t>
  </si>
  <si>
    <t>Pay policy position, % of range midpoint</t>
  </si>
  <si>
    <t>Leave at 100% if your range midpoints already reflect your pay policy.</t>
  </si>
  <si>
    <t>Employer contribution rate up to the ceiling</t>
  </si>
  <si>
    <t>Default: Spain 2026, 30.65% (permanent contracts; fixed-term 31.85%) + AT/EP occupational accident and disease premium, office-work rate 1.50% (RDL 3/2026, Cuadro II a) = 32.15%. Use your activity's AT/EP rate. These are 2026 rates. Rates for 2027 are already set and slightly higher (MEI employer share 0.83%, higher solidarity rates); 2026 rates are kept, so the contribution cost of a 2027 review is slightly understated.</t>
  </si>
  <si>
    <t>Annual contribution ceiling</t>
  </si>
  <si>
    <t>Default: Spain 2026, €5,101.20 a month × 12 (Orden PJC/297/2026). 2027 not yet published: 2026 assumed.</t>
  </si>
  <si>
    <t>Rate above the ceiling, tier 1: up to 10% over the ceiling</t>
  </si>
  <si>
    <t>Employer rate on the part of pay above the ceiling. Set 0% in all three tiers if your country charges nothing above it. Default: Spain 2026 (cuota de solidaridad), employer share, 0.96%.</t>
  </si>
  <si>
    <t>Rate above the ceiling, tier 2: 10% to 50% over the ceiling</t>
  </si>
  <si>
    <t>Default: Spain 2026, employer share, 1.04%.</t>
  </si>
  <si>
    <t>Rate above the ceiling, tier 3: more than 50% over the ceiling</t>
  </si>
  <si>
    <t>Default: Spain 2026, employer share, 1.22%.</t>
  </si>
  <si>
    <t>Targets by performance rating (illustrative assumption: set your own)</t>
  </si>
  <si>
    <t>Rating</t>
  </si>
  <si>
    <t>Label</t>
  </si>
  <si>
    <t>Target compa-ratio</t>
  </si>
  <si>
    <t>Minimum increase, % of aligned base</t>
  </si>
  <si>
    <t>Unsatisfactory</t>
  </si>
  <si>
    <t>Partially meets</t>
  </si>
  <si>
    <t>Meets</t>
  </si>
  <si>
    <t>Exceeds</t>
  </si>
  <si>
    <t>Outstanding</t>
  </si>
  <si>
    <t>Target compa-ratio: the compa-ratio each rating is raised to. The increase is the gap from aligned base to mid × pay policy position × this target. Set 0% to give a rating no increase at all. A target above a grade's range max (max / mid) is cut at the max when 'Clip increases at range maximum' = Yes.</t>
  </si>
  <si>
    <t>Minimum increase: a floor for a rating, paid even when the person is already at or above the target. 0% = no floor. It does not apply at or above the range maximum or to ineligible staff, and it is limited by the per-person cap and, when the clip at max is on, by the headroom to the max.</t>
  </si>
  <si>
    <t>Compa-ratio zones: only for the Matrix sheet view</t>
  </si>
  <si>
    <t>Increases do not depend on zones. Zones only group people into the classic rating × compa-ratio grid on the Matrix sheet.</t>
  </si>
  <si>
    <t>Zone</t>
  </si>
  <si>
    <t>Lower bound (CR from)</t>
  </si>
  <si>
    <t>Effective from</t>
  </si>
  <si>
    <t>No pay change in the last, months</t>
  </si>
  <si>
    <t>Increase cap</t>
  </si>
  <si>
    <t>Clip at range max</t>
  </si>
  <si>
    <t>No cap</t>
  </si>
  <si>
    <t>No</t>
  </si>
  <si>
    <t>Category</t>
  </si>
  <si>
    <t>Grade</t>
  </si>
  <si>
    <t>Range min</t>
  </si>
  <si>
    <t>Range mid</t>
  </si>
  <si>
    <t>Range max</t>
  </si>
  <si>
    <t>Lookup key</t>
  </si>
  <si>
    <t>Customer Support</t>
  </si>
  <si>
    <t>Manufacturing</t>
  </si>
  <si>
    <t>Operations</t>
  </si>
  <si>
    <t>Marketing</t>
  </si>
  <si>
    <t>Engineering</t>
  </si>
  <si>
    <t>Sales</t>
  </si>
  <si>
    <t>Legal</t>
  </si>
  <si>
    <t>id</t>
  </si>
  <si>
    <t>category</t>
  </si>
  <si>
    <t>gender</t>
  </si>
  <si>
    <t>grade</t>
  </si>
  <si>
    <t>rating</t>
  </si>
  <si>
    <t>hire_date</t>
  </si>
  <si>
    <t>last_change_date</t>
  </si>
  <si>
    <t>base_salary</t>
  </si>
  <si>
    <t>bonus_pct</t>
  </si>
  <si>
    <t>fte</t>
  </si>
  <si>
    <t>E001</t>
  </si>
  <si>
    <t>M</t>
  </si>
  <si>
    <t>E002</t>
  </si>
  <si>
    <t>E003</t>
  </si>
  <si>
    <t>E004</t>
  </si>
  <si>
    <t>E005</t>
  </si>
  <si>
    <t>F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</si>
  <si>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</si>
  <si>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</si>
  <si>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</si>
  <si>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</si>
  <si>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</si>
  <si>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</si>
  <si>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</si>
  <si>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</si>
  <si>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</si>
  <si>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</si>
  <si>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</si>
  <si>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</si>
  <si>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</si>
  <si>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</si>
  <si>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</si>
  <si>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</si>
  <si>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</si>
  <si>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</si>
  <si>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</si>
  <si>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</si>
  <si>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</si>
  <si>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</si>
  <si>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</si>
  <si>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</si>
  <si>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</si>
  <si>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</si>
  <si>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</si>
  <si>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</si>
  <si>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</si>
  <si>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</si>
  <si>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</si>
  <si>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</si>
  <si>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</si>
  <si>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</si>
  <si>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</si>
  <si>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</si>
  <si>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</si>
  <si>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</si>
  <si>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</si>
  <si>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</si>
  <si>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</si>
  <si>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</si>
  <si>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</si>
  <si>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</si>
  <si>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</si>
  <si>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</si>
  <si>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</si>
  <si>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</si>
  <si>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</si>
  <si>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</si>
  <si>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</si>
  <si>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</si>
  <si>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</si>
  <si>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</si>
  <si>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</si>
  <si>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</si>
  <si>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</si>
  <si>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</si>
  <si>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</si>
  <si>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</si>
  <si>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</si>
  <si>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</si>
  <si>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</si>
  <si>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</si>
  <si>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</si>
  <si>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</si>
  <si>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</si>
  <si>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</si>
  <si>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</si>
  <si>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</si>
  <si>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</si>
  <si>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</si>
  <si>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</si>
  <si>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</si>
  <si>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</si>
  <si>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</si>
  <si>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</si>
  <si>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</si>
  <si>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</si>
  <si>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</si>
  <si>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</si>
  <si>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</si>
  <si>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</si>
  <si>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</si>
  <si>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</si>
  <si>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</si>
  <si>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</si>
  <si>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</si>
  <si>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</si>
  <si>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</si>
  <si>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</si>
  <si>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</si>
  <si>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</si>
  <si>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</si>
  <si>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</si>
  <si>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</si>
  <si>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</si>
  <si>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</si>
  <si>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</si>
  <si>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</si>
  <si>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</si>
  <si>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</si>
  <si>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</si>
  <si>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</si>
  <si>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</si>
  <si>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</si>
  <si>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</si>
  <si>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</si>
  <si>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</si>
  <si>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</si>
  <si>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</si>
  <si>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</si>
  <si>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</si>
  <si>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</si>
  <si>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</si>
  <si>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</si>
  <si>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</si>
  <si>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</si>
  <si>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</si>
  <si>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</si>
  <si>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</si>
  <si>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</si>
  <si>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</si>
  <si>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</si>
  <si>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</si>
  <si>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</si>
  <si>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</si>
  <si>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</si>
  <si>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</si>
  <si>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</si>
  <si>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</si>
  <si>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</si>
  <si>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</si>
  <si>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</si>
  <si>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</si>
  <si>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</si>
  <si>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</si>
  <si>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</si>
  <si>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</si>
  <si>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</si>
  <si>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</si>
  <si>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</si>
  <si>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</si>
  <si>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</si>
  <si>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</si>
  <si>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</si>
  <si>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</si>
  <si>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</si>
  <si>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</si>
  <si>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</si>
  <si>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</si>
  <si>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</si>
  <si>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</si>
  <si>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</si>
  <si>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</si>
  <si>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</si>
  <si>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</si>
  <si>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</si>
  <si>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</si>
  <si>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</si>
  <si>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</si>
  <si>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</si>
  <si>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</si>
  <si>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</si>
  <si>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</si>
  <si>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</si>
  <si>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</si>
  <si>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</si>
  <si>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</si>
  <si>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</si>
  <si>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</si>
  <si>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</si>
  <si>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</si>
  <si>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</si>
  <si>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</si>
  <si>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</si>
  <si>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</si>
  <si>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</si>
  <si>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</si>
  <si>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</si>
  <si>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</si>
  <si>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</si>
  <si>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</si>
  <si>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</si>
  <si>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</si>
  <si>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</si>
  <si>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</si>
  <si>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</si>
  <si>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</si>
  <si>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</si>
  <si>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</si>
  <si>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</si>
  <si>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</si>
  <si>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</si>
  <si>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</si>
  <si>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</si>
  <si>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</si>
  <si>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</si>
  <si>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</si>
  <si>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</si>
  <si>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</si>
  <si>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</si>
  <si>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</si>
  <si>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</si>
  <si>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</si>
  <si>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</si>
  <si>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</si>
  <si>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Step 0: Input</t>
  </si>
  <si>
    <t>Step 1: Range and total cash</t>
  </si>
  <si>
    <t>Step 2: Pay equity adjustment (unexplained gap closed in full)</t>
  </si>
  <si>
    <t>Step 3: Eligibility</t>
  </si>
  <si>
    <t>Step 4: Target salary</t>
  </si>
  <si>
    <t>Step 5: Merit increase</t>
  </si>
  <si>
    <t>Step 6: Cost (annual, FTE-weighted)</t>
  </si>
  <si>
    <t>Step 6a: Target budget, the target % to every eligible person</t>
  </si>
  <si>
    <t>Step 7: Total cash for the gap check</t>
  </si>
  <si>
    <t>Row number in the list.</t>
  </si>
  <si>
    <t>The n-th ID on Employees.</t>
  </si>
  <si>
    <t>Category of workers (same work or work of equal value); looked up by ID.</t>
  </si>
  <si>
    <t>F or M.</t>
  </si>
  <si>
    <t>1 to 5.</t>
  </si>
  <si>
    <t>Last individual change.</t>
  </si>
  <si>
    <t>Annual gross base, full time; in Spain including the extra payments (pagas extra).</t>
  </si>
  <si>
    <t>Bonus as a share of base.</t>
  </si>
  <si>
    <t>1 = full time.</t>
  </si>
  <si>
    <t>0: no row for this category and grade on Bands; totals show #N/A until it is added.</t>
  </si>
  <si>
    <t>From Bands by category and grade.</t>
  </si>
  <si>
    <t>Years from hire to effective date.</t>
  </si>
  <si>
    <t>Base plus bonus, full time.</t>
  </si>
  <si>
    <t>Helper sums for the regression on Categories.</t>
  </si>
  <si>
    <t>Rounded to the cent so that ranking compares exact values.</t>
  </si>
  <si>
    <t>Order by total cash within the category, for the median.</t>
  </si>
  <si>
    <t>From Categories.</t>
  </si>
  <si>
    <t>1: woman below the category median, and the category has an unexplained gap against women.</t>
  </si>
  <si>
    <t>Category amount shared in proportion to each shortfall.</t>
  </si>
  <si>
    <t>Paid through base; the bonus follows the base.</t>
  </si>
  <si>
    <t>Merit is computed from this base.</t>
  </si>
  <si>
    <t>Amber flag, not an error. The adjustment is paid in full. The category's amount is shared in proportion to each woman's shortfall to the category median, and a category spans several grades, so her new pay can sit above her grade's range maximum. Worth a look: her grade, the range, or how the category is defined.</t>
  </si>
  <si>
    <t>Complete months up to the effective date; −1 if hired after it.</t>
  </si>
  <si>
    <t>−1 if the change is after the effective date.</t>
  </si>
  <si>
    <t>1: in the review.</t>
  </si>
  <si>
    <t>Aligned base / range mid.</t>
  </si>
  <si>
    <t>Not used in the increase. Only places the person in a column of the Matrix sheet grid (rating × compa-ratio).</t>
  </si>
  <si>
    <t>From the rating table.</t>
  </si>
  <si>
    <t>Floor for the rating, paid even at or above target; see Inputs.</t>
  </si>
  <si>
    <t>Mid × pay policy position × target compa-ratio.</t>
  </si>
  <si>
    <t>0 if already at or above target.</t>
  </si>
  <si>
    <t>0: 'No cap', empty or 0% on Inputs.</t>
  </si>
  <si>
    <t>Largest increase for this person: the cap × their aligned base; 0 when there is no cap.</t>
  </si>
  <si>
    <t>Gap to target, at least the minimum, never above the cap (if there is one).</t>
  </si>
  <si>
    <t>At or above range max: no merit increase.</t>
  </si>
  <si>
    <t>Already at or above max: increase set to 0, whatever the rule gave.</t>
  </si>
  <si>
    <t>Range max − aligned base: the most an increase can add without leaving the range.</t>
  </si>
  <si>
    <t>If 'Clip increases at range maximum' = Yes, an increase larger than the headroom is cut to the headroom, so new base = range max.</t>
  </si>
  <si>
    <t>Annual full-time base increase.</t>
  </si>
  <si>
    <t>Flag.</t>
  </si>
  <si>
    <t>(Annual base + bonus) × FTE.</t>
  </si>
  <si>
    <t>Full rate up to the contribution ceiling, tiered rates above it (Inputs).</t>
  </si>
  <si>
    <t>Bonus grows with base.</t>
  </si>
  <si>
    <t>Extra employer contributions on the increase.</t>
  </si>
  <si>
    <t>Aligned base of eligible staff, FTE-weighted: the denominator for the target %.</t>
  </si>
  <si>
    <t>Aligned base × target %, full time. A benchmark, not a payout.</t>
  </si>
  <si>
    <t>Each person's own bonus %.</t>
  </si>
  <si>
    <t>Depends on where each person sits against the ceiling, so it is not a flat rate on the target base.</t>
  </si>
  <si>
    <t>Helper sums for the regression after merit on Categories.</t>
  </si>
  <si>
    <t>No.</t>
  </si>
  <si>
    <t>ID</t>
  </si>
  <si>
    <t>Gender</t>
  </si>
  <si>
    <t>Hire date</t>
  </si>
  <si>
    <t>Last pay change</t>
  </si>
  <si>
    <t>Base salary</t>
  </si>
  <si>
    <t>Bonus % of base</t>
  </si>
  <si>
    <t>FTE</t>
  </si>
  <si>
    <t>Range found</t>
  </si>
  <si>
    <t>Tenure, years</t>
  </si>
  <si>
    <t>Total cash</t>
  </si>
  <si>
    <t>grade²</t>
  </si>
  <si>
    <t>tenure²</t>
  </si>
  <si>
    <t>grade×tenure</t>
  </si>
  <si>
    <t>grade×cash</t>
  </si>
  <si>
    <t>tenure×cash</t>
  </si>
  <si>
    <t>Total cash, rounded</t>
  </si>
  <si>
    <t>Rank in category</t>
  </si>
  <si>
    <t>Category median total cash</t>
  </si>
  <si>
    <t>Receives adjustment</t>
  </si>
  <si>
    <t>Shortfall to median</t>
  </si>
  <si>
    <t>Adjustment, total cash</t>
  </si>
  <si>
    <t>Adjustment, base</t>
  </si>
  <si>
    <t>Aligned base</t>
  </si>
  <si>
    <t>Above range max after equity adjustment</t>
  </si>
  <si>
    <t>Months since hire</t>
  </si>
  <si>
    <t>Months since change</t>
  </si>
  <si>
    <t>Eligible</t>
  </si>
  <si>
    <t>Compa-ratio</t>
  </si>
  <si>
    <t>Compa-ratio zone</t>
  </si>
  <si>
    <t>Target compa-ratio for rating</t>
  </si>
  <si>
    <t>Minimum increase</t>
  </si>
  <si>
    <t>Target salary</t>
  </si>
  <si>
    <t>Gap to target</t>
  </si>
  <si>
    <t>Cap applies</t>
  </si>
  <si>
    <t>Increase cap, €</t>
  </si>
  <si>
    <t>Minimum increase, €</t>
  </si>
  <si>
    <t>Increase before range limits</t>
  </si>
  <si>
    <t>At or above range max (red-circled)</t>
  </si>
  <si>
    <t>After red-circle rule</t>
  </si>
  <si>
    <t>Headroom to range max</t>
  </si>
  <si>
    <t>After clip at max</t>
  </si>
  <si>
    <t>Merit increase</t>
  </si>
  <si>
    <t>Increase %</t>
  </si>
  <si>
    <t>New base</t>
  </si>
  <si>
    <t>Total cash before equity, at actual FTE</t>
  </si>
  <si>
    <t>Employer contributions before equity</t>
  </si>
  <si>
    <t>Total cash after equity, at actual FTE</t>
  </si>
  <si>
    <t>Employer contributions after equity</t>
  </si>
  <si>
    <t>Total cash after merit, at actual FTE</t>
  </si>
  <si>
    <t>Employer contributions after merit</t>
  </si>
  <si>
    <t>Equity: base</t>
  </si>
  <si>
    <t>Equity: bonus</t>
  </si>
  <si>
    <t>Equity: employer contributions</t>
  </si>
  <si>
    <t>Merit: base</t>
  </si>
  <si>
    <t>Merit: bonus</t>
  </si>
  <si>
    <t>Merit: employer contributions</t>
  </si>
  <si>
    <t>Eligible base</t>
  </si>
  <si>
    <t>Target increase</t>
  </si>
  <si>
    <t>Target: base</t>
  </si>
  <si>
    <t>Target: bonus</t>
  </si>
  <si>
    <t>Total cash at target, at actual FTE</t>
  </si>
  <si>
    <t>Employer contributions at target</t>
  </si>
  <si>
    <t>Target: employer contributions</t>
  </si>
  <si>
    <t>Total cash after equity, full time</t>
  </si>
  <si>
    <t>Total cash after merit, full time</t>
  </si>
  <si>
    <t>grade×cash after merit</t>
  </si>
  <si>
    <t>tenure×cash after merit</t>
  </si>
  <si>
    <t>Pay equity per category: unexplained gap closed in full</t>
  </si>
  <si>
    <t>Regression of total cash on grade and tenure (explicit sums)</t>
  </si>
  <si>
    <t>Explained and unexplained gap</t>
  </si>
  <si>
    <t>Who receives it and how much</t>
  </si>
  <si>
    <t>Gap after each step</t>
  </si>
  <si>
    <t>Unexplained gap after each step</t>
  </si>
  <si>
    <t>Type your categories here.</t>
  </si>
  <si>
    <t>Base + bonus, full time.</t>
  </si>
  <si>
    <t>(men − women) / men.</t>
  </si>
  <si>
    <t>Sums over the category.</t>
  </si>
  <si>
    <t>Centred sums.</t>
  </si>
  <si>
    <t>Cramer's rule.</t>
  </si>
  <si>
    <t>Part of the gap explained by differences in grade and tenure.</t>
  </si>
  <si>
    <t>Kept between 0 and the raw gap.</t>
  </si>
  <si>
    <t>Closed in full when it is against women (positive). A gap in women's favour is not adjusted.</t>
  </si>
  <si>
    <t>The middle place(s) in the category list sorted by total cash. Odd headcount: both ranks are the same person.</t>
  </si>
  <si>
    <t>Category median of total cash: the average of the two middle values (one value twice if the headcount is odd).</t>
  </si>
  <si>
    <t>Unexplained gap × men's mean total cash × number of women.</t>
  </si>
  <si>
    <t>Did the review widen the gap again?</t>
  </si>
  <si>
    <t>Zero where pay equity closed it; otherwise unchanged.</t>
  </si>
  <si>
    <t>The same regression, re-run on total cash after merit.</t>
  </si>
  <si>
    <t>Did the review open an unexplained gap again?</t>
  </si>
  <si>
    <t>Women</t>
  </si>
  <si>
    <t>Men</t>
  </si>
  <si>
    <t>Mean total cash, men</t>
  </si>
  <si>
    <t>Mean total cash, women</t>
  </si>
  <si>
    <t>Raw gap</t>
  </si>
  <si>
    <t>Σ grade</t>
  </si>
  <si>
    <t>Σ tenure</t>
  </si>
  <si>
    <t>Σ total cash</t>
  </si>
  <si>
    <t>Σ grade²</t>
  </si>
  <si>
    <t>Σ tenure²</t>
  </si>
  <si>
    <t>Σ grade×tenure</t>
  </si>
  <si>
    <t>Σ grade×cash</t>
  </si>
  <si>
    <t>Σ tenure×cash</t>
  </si>
  <si>
    <t>Sgg</t>
  </si>
  <si>
    <t>Stt</t>
  </si>
  <si>
    <t>Sgt</t>
  </si>
  <si>
    <t>Sgy</t>
  </si>
  <si>
    <t>Sty</t>
  </si>
  <si>
    <t>Determinant</t>
  </si>
  <si>
    <t>Regression usable</t>
  </si>
  <si>
    <t>€ per grade</t>
  </si>
  <si>
    <t>€ per tenure year</t>
  </si>
  <si>
    <t>Mean grade, men</t>
  </si>
  <si>
    <t>Mean grade, women</t>
  </si>
  <si>
    <t>Mean tenure, men</t>
  </si>
  <si>
    <t>Mean tenure, women</t>
  </si>
  <si>
    <t>Explained, before bounds</t>
  </si>
  <si>
    <t>Explained</t>
  </si>
  <si>
    <t>Unexplained</t>
  </si>
  <si>
    <t>Median rank 1</t>
  </si>
  <si>
    <t>Median rank 2</t>
  </si>
  <si>
    <t>Median total cash</t>
  </si>
  <si>
    <t>Amount to close</t>
  </si>
  <si>
    <t>Sum of shortfalls</t>
  </si>
  <si>
    <t>Mean men, after equity</t>
  </si>
  <si>
    <t>Mean women, after equity</t>
  </si>
  <si>
    <t>Raw gap after equity</t>
  </si>
  <si>
    <t>Mean men, after merit</t>
  </si>
  <si>
    <t>Mean women, after merit</t>
  </si>
  <si>
    <t>Raw gap after merit</t>
  </si>
  <si>
    <t>Unexplained after equity</t>
  </si>
  <si>
    <t>Σ total cash after merit</t>
  </si>
  <si>
    <t>Σ grade×cash after merit</t>
  </si>
  <si>
    <t>Σ tenure×cash after merit</t>
  </si>
  <si>
    <t>Sgy after merit</t>
  </si>
  <si>
    <t>Sty after merit</t>
  </si>
  <si>
    <t>€ per grade after merit</t>
  </si>
  <si>
    <t>€ per tenure year after merit</t>
  </si>
  <si>
    <t>Explained after merit, before bounds</t>
  </si>
  <si>
    <t>Explained after merit</t>
  </si>
  <si>
    <t>Unexplained after merit</t>
  </si>
  <si>
    <t>Merit matrix: the result, computed person by person</t>
  </si>
  <si>
    <t>Rows: rating. Columns: compa-ratio (CR) zone after equity. Eligible staff only.</t>
  </si>
  <si>
    <t>Merit increase, % of eligible base payroll</t>
  </si>
  <si>
    <t>Merit increase, € (annual, FTE-weighted)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</si>
</sst>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mmm\ yyyy"/>
    <numFmt numFmtId="166" formatCode="0\ &quot;mo&quot;"/>
    <numFmt numFmtId="167" formatCode="#,##0.00\ &quot;€&quot;"/>
    <numFmt numFmtId="168" formatCode="0.0000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DC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3" fillId="0" borderId="0" xfId="0" applyFont="1"/>
    <xf numFmtId="2" fontId="0" fillId="0" borderId="0" xfId="0" applyNumberFormat="1"/>
    <xf numFmtId="165" fontId="0" fillId="2" borderId="0" xfId="0" applyNumberFormat="1" applyFill="1"/>
    <xf numFmtId="0" fontId="0" fillId="0" borderId="0" xfId="0" applyAlignment="1">
      <alignment vertical="top" wrapText="1"/>
    </xf>
    <xf numFmtId="10" fontId="0" fillId="2" borderId="0" xfId="0" applyNumberFormat="1" applyFill="1"/>
    <xf numFmtId="166" fontId="0" fillId="2" borderId="0" xfId="0" applyNumberFormat="1" applyFill="1"/>
    <xf numFmtId="49" fontId="0" fillId="2" borderId="0" xfId="0" applyNumberFormat="1" applyFill="1"/>
    <xf numFmtId="167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3" borderId="0" xfId="0" applyFont="1" applyFill="1"/>
    <xf numFmtId="0" fontId="0" fillId="3" borderId="0" xfId="0" applyFill="1"/>
    <xf numFmtId="0" fontId="2" fillId="0" borderId="0" xfId="0" applyFont="1" applyAlignment="1">
      <alignment vertical="top" wrapText="1"/>
    </xf>
    <xf numFmtId="16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/>
  </sheetViews>
  <sheetFormatPr defaultRowHeight="14.4" x14ac:dyDescent="0.3"/>
  <cols>
    <col min="1" max="1" width="46" customWidth="1"/>
    <col min="2" max="2" width="18" customWidth="1"/>
    <col min="3" max="3" width="48" customWidth="1"/>
  </cols>
  <sheetData>
    <row r="1" spans="1:2" ht="17.399999999999999" x14ac:dyDescent="0.35">
      <c r="A1" s="1" t="s">
        <v>0</v>
      </c>
    </row>
    <row r="3" spans="1:2" x14ac:dyDescent="0.3">
      <c r="A3" s="2"/>
      <c r="B3" s="2" t="s">
        <v>1</v>
      </c>
    </row>
    <row r="4" spans="1:2" x14ac:dyDescent="0.3">
      <c r="A4" t="s">
        <v>2</v>
      </c>
      <c r="B4" s="3">
        <f>COUNT(Calc!$I:$I)</f>
        <v>212</v>
      </c>
    </row>
    <row r="5" spans="1:2" x14ac:dyDescent="0.3">
      <c r="A5" t="s">
        <v>3</v>
      </c>
      <c r="B5" s="3">
        <f>SUM(Calc!$AH:$AH)</f>
        <v>209</v>
      </c>
    </row>
    <row r="7" spans="1:2" x14ac:dyDescent="0.3">
      <c r="A7" s="2" t="s">
        <v>4</v>
      </c>
    </row>
    <row r="8" spans="1:2" x14ac:dyDescent="0.3">
      <c r="A8" t="s">
        <v>5</v>
      </c>
      <c r="B8" s="4">
        <f>SUM(Calc!$BA:$BA)+SUM(Calc!$BB:$BB)</f>
        <v>16557322.450598869</v>
      </c>
    </row>
    <row r="9" spans="1:2" x14ac:dyDescent="0.3">
      <c r="A9" t="s">
        <v>6</v>
      </c>
      <c r="B9" s="4">
        <f>SUM(Calc!$BA:$BA)</f>
        <v>12970151.463217191</v>
      </c>
    </row>
    <row r="10" spans="1:2" x14ac:dyDescent="0.3">
      <c r="A10" t="s">
        <v>7</v>
      </c>
      <c r="B10" s="4">
        <f>SUM(Calc!$BB:$BB)</f>
        <v>3587170.9873816781</v>
      </c>
    </row>
    <row r="11" spans="1:2" x14ac:dyDescent="0.3">
      <c r="A11" t="s">
        <v>8</v>
      </c>
      <c r="B11" s="4">
        <f>SUM(Calc!$BC:$BC)+SUM(Calc!$BD:$BD)</f>
        <v>16890079.590309799</v>
      </c>
    </row>
    <row r="12" spans="1:2" x14ac:dyDescent="0.3">
      <c r="A12" t="s">
        <v>9</v>
      </c>
      <c r="B12" s="4">
        <f>SUM(Calc!$BE:$BE)+SUM(Calc!$BF:$BF)</f>
        <v>17676509.348540954</v>
      </c>
    </row>
    <row r="13" spans="1:2" x14ac:dyDescent="0.3">
      <c r="A13" t="s">
        <v>10</v>
      </c>
      <c r="B13" s="4">
        <f>B11-B8</f>
        <v>332757.13971092924</v>
      </c>
    </row>
    <row r="14" spans="1:2" x14ac:dyDescent="0.3">
      <c r="A14" t="s">
        <v>11</v>
      </c>
      <c r="B14" s="4">
        <f>B12-B11</f>
        <v>786429.75823115557</v>
      </c>
    </row>
    <row r="15" spans="1:2" x14ac:dyDescent="0.3">
      <c r="A15" t="s">
        <v>12</v>
      </c>
      <c r="B15" s="4">
        <f>B12-B8</f>
        <v>1119186.8979420848</v>
      </c>
    </row>
    <row r="16" spans="1:2" x14ac:dyDescent="0.3">
      <c r="A16" t="s">
        <v>13</v>
      </c>
      <c r="B16" s="5">
        <f>IF(B8&gt;0,B15/B8,0)</f>
        <v>6.7594679108372649E-2</v>
      </c>
    </row>
    <row r="18" spans="1:2" x14ac:dyDescent="0.3">
      <c r="A18" s="2" t="s">
        <v>14</v>
      </c>
    </row>
    <row r="19" spans="1:2" x14ac:dyDescent="0.3">
      <c r="A19" t="s">
        <v>15</v>
      </c>
      <c r="B19" s="4">
        <f>B13*InYearFactor</f>
        <v>249567.85478319693</v>
      </c>
    </row>
    <row r="20" spans="1:2" x14ac:dyDescent="0.3">
      <c r="A20" t="s">
        <v>16</v>
      </c>
      <c r="B20" s="4">
        <f>B14*InYearFactor</f>
        <v>589822.31867336668</v>
      </c>
    </row>
    <row r="21" spans="1:2" x14ac:dyDescent="0.3">
      <c r="A21" t="s">
        <v>17</v>
      </c>
      <c r="B21" s="4">
        <f>B19+B20</f>
        <v>839390.17345656361</v>
      </c>
    </row>
    <row r="22" spans="1:2" x14ac:dyDescent="0.3">
      <c r="A22" t="s">
        <v>18</v>
      </c>
      <c r="B22" s="5">
        <f>IF(B8&gt;0,B21/B8,0)</f>
        <v>5.0696009331279483E-2</v>
      </c>
    </row>
    <row r="24" spans="1:2" x14ac:dyDescent="0.3">
      <c r="A24" s="2" t="s">
        <v>19</v>
      </c>
    </row>
    <row r="25" spans="1:2" x14ac:dyDescent="0.3">
      <c r="A25" t="s">
        <v>20</v>
      </c>
      <c r="B25" s="4">
        <f>SUM(Calc!$BG:$BG)</f>
        <v>257991.66551560434</v>
      </c>
    </row>
    <row r="26" spans="1:2" x14ac:dyDescent="0.3">
      <c r="A26" t="s">
        <v>21</v>
      </c>
      <c r="B26" s="4">
        <f>SUM(Calc!$BH:$BH)</f>
        <v>27282.11541133916</v>
      </c>
    </row>
    <row r="27" spans="1:2" x14ac:dyDescent="0.3">
      <c r="A27" t="s">
        <v>22</v>
      </c>
      <c r="B27" s="4">
        <f>SUM(Calc!$BI:$BI)</f>
        <v>47483.358783987816</v>
      </c>
    </row>
    <row r="28" spans="1:2" x14ac:dyDescent="0.3">
      <c r="A28" t="s">
        <v>23</v>
      </c>
      <c r="B28" s="4">
        <f>B25+B26+B27</f>
        <v>332757.13971093134</v>
      </c>
    </row>
    <row r="29" spans="1:2" x14ac:dyDescent="0.3">
      <c r="A29" t="s">
        <v>24</v>
      </c>
      <c r="B29" s="4">
        <f>B28*InYearFactor</f>
        <v>249567.85478319851</v>
      </c>
    </row>
    <row r="31" spans="1:2" x14ac:dyDescent="0.3">
      <c r="A31" s="2" t="s">
        <v>25</v>
      </c>
    </row>
    <row r="32" spans="1:2" x14ac:dyDescent="0.3">
      <c r="A32" t="s">
        <v>26</v>
      </c>
      <c r="B32" s="4">
        <f>SUM(Calc!$BJ:$BJ)</f>
        <v>637569.70910249616</v>
      </c>
    </row>
    <row r="33" spans="1:2" x14ac:dyDescent="0.3">
      <c r="A33" t="s">
        <v>21</v>
      </c>
      <c r="B33" s="4">
        <f>SUM(Calc!$BK:$BK)</f>
        <v>90440.597221737815</v>
      </c>
    </row>
    <row r="34" spans="1:2" x14ac:dyDescent="0.3">
      <c r="A34" t="s">
        <v>22</v>
      </c>
      <c r="B34" s="4">
        <f>SUM(Calc!$BL:$BL)</f>
        <v>58419.451906918155</v>
      </c>
    </row>
    <row r="35" spans="1:2" x14ac:dyDescent="0.3">
      <c r="A35" t="s">
        <v>23</v>
      </c>
      <c r="B35" s="4">
        <f>B32+B33+B34</f>
        <v>786429.7582311522</v>
      </c>
    </row>
    <row r="36" spans="1:2" x14ac:dyDescent="0.3">
      <c r="A36" t="s">
        <v>24</v>
      </c>
      <c r="B36" s="4">
        <f>B35*InYearFactor</f>
        <v>589822.31867336412</v>
      </c>
    </row>
    <row r="38" spans="1:2" x14ac:dyDescent="0.3">
      <c r="A38" s="2" t="s">
        <v>27</v>
      </c>
    </row>
    <row r="39" spans="1:2" x14ac:dyDescent="0.3">
      <c r="A39" t="s">
        <v>28</v>
      </c>
      <c r="B39" s="4">
        <f>SUM(Calc!$BM:$BM)</f>
        <v>11819693.827825988</v>
      </c>
    </row>
    <row r="40" spans="1:2" x14ac:dyDescent="0.3">
      <c r="A40" s="6" t="s">
        <v>29</v>
      </c>
      <c r="B40" s="5">
        <f>PoolPct</f>
        <v>0.04</v>
      </c>
    </row>
    <row r="41" spans="1:2" x14ac:dyDescent="0.3">
      <c r="A41" t="s">
        <v>30</v>
      </c>
      <c r="B41" s="5">
        <f>IF(B39&gt;0,B32/B39,0)</f>
        <v>5.3941304943240245E-2</v>
      </c>
    </row>
    <row r="42" spans="1:2" x14ac:dyDescent="0.3">
      <c r="A42" t="s">
        <v>31</v>
      </c>
      <c r="B42" s="7">
        <f>(B41-B40)*100</f>
        <v>1.3941304943240245</v>
      </c>
    </row>
    <row r="43" spans="1:2" x14ac:dyDescent="0.3">
      <c r="A43" t="s">
        <v>32</v>
      </c>
      <c r="B43" s="4">
        <f>B44+B45+B46</f>
        <v>586858.8344283523</v>
      </c>
    </row>
    <row r="44" spans="1:2" x14ac:dyDescent="0.3">
      <c r="A44" t="s">
        <v>33</v>
      </c>
      <c r="B44" s="4">
        <f>SUM(Calc!$BO:$BO)</f>
        <v>472787.75311303983</v>
      </c>
    </row>
    <row r="45" spans="1:2" x14ac:dyDescent="0.3">
      <c r="A45" t="s">
        <v>34</v>
      </c>
      <c r="B45" s="4">
        <f>SUM(Calc!$BP:$BP)</f>
        <v>51551.712896393561</v>
      </c>
    </row>
    <row r="46" spans="1:2" x14ac:dyDescent="0.3">
      <c r="A46" t="s">
        <v>7</v>
      </c>
      <c r="B46" s="4">
        <f>SUM(Calc!$BS:$BS)</f>
        <v>62519.368418918981</v>
      </c>
    </row>
    <row r="47" spans="1:2" x14ac:dyDescent="0.3">
      <c r="A47" t="s">
        <v>35</v>
      </c>
      <c r="B47" s="4">
        <f>B35-B43</f>
        <v>199570.92380279989</v>
      </c>
    </row>
    <row r="48" spans="1:2" x14ac:dyDescent="0.3">
      <c r="A48" t="s">
        <v>36</v>
      </c>
      <c r="B48" s="4">
        <f>B43*InYearFactor</f>
        <v>440144.12582126423</v>
      </c>
    </row>
    <row r="49" spans="1:2" x14ac:dyDescent="0.3">
      <c r="A49" t="s">
        <v>37</v>
      </c>
      <c r="B49" s="4">
        <f>B36-B48</f>
        <v>149678.19285209989</v>
      </c>
    </row>
    <row r="51" spans="1:2" x14ac:dyDescent="0.3">
      <c r="A51" s="2" t="s">
        <v>38</v>
      </c>
    </row>
    <row r="52" spans="1:2" x14ac:dyDescent="0.3">
      <c r="A52" t="s">
        <v>39</v>
      </c>
      <c r="B52" s="3">
        <f>SUM(Calc!$AE:$AE)</f>
        <v>7</v>
      </c>
    </row>
    <row r="53" spans="1:2" x14ac:dyDescent="0.3">
      <c r="A53" t="s">
        <v>40</v>
      </c>
      <c r="B53" s="3">
        <f>SUM(Calc!$AS:$AS)</f>
        <v>10</v>
      </c>
    </row>
    <row r="54" spans="1:2" x14ac:dyDescent="0.3">
      <c r="A54" t="s">
        <v>41</v>
      </c>
      <c r="B54" s="3">
        <f>SUM(Calc!$AZ:$AZ)</f>
        <v>1</v>
      </c>
    </row>
    <row r="56" spans="1:2" x14ac:dyDescent="0.3">
      <c r="A56" s="2" t="s">
        <v>42</v>
      </c>
    </row>
    <row r="57" spans="1:2" x14ac:dyDescent="0.3">
      <c r="A57" t="s">
        <v>43</v>
      </c>
      <c r="B57" s="3">
        <f>COUNTA(Employees!$A:$A)-1-B4</f>
        <v>0</v>
      </c>
    </row>
    <row r="58" spans="1:2" x14ac:dyDescent="0.3">
      <c r="A58" t="s">
        <v>44</v>
      </c>
      <c r="B58" s="3">
        <f>B4-SUM(Calc!$L:$L)</f>
        <v>0</v>
      </c>
    </row>
    <row r="59" spans="1:2" x14ac:dyDescent="0.3">
      <c r="A59" t="s">
        <v>45</v>
      </c>
      <c r="B59" s="3">
        <f>B4-SUM(Categories!$B:$B)</f>
        <v>0</v>
      </c>
    </row>
    <row r="60" spans="1:2" x14ac:dyDescent="0.3">
      <c r="A60" t="s">
        <v>46</v>
      </c>
      <c r="B60" s="3">
        <f>B4-SUMPRODUCT(COUNTIFS(Calc!$F:$F,Inputs!$A$21:$A$25))</f>
        <v>0</v>
      </c>
    </row>
  </sheetData>
  <conditionalFormatting sqref="B52">
    <cfRule type="cellIs" dxfId="2" priority="5" operator="greaterThan">
      <formula>0</formula>
    </cfRule>
  </conditionalFormatting>
  <conditionalFormatting sqref="B57:B60">
    <cfRule type="cellIs" dxfId="1" priority="1" operator="notEqual">
      <formula>0</formula>
    </cfRule>
  </conditionalFormatting>
  <hyperlinks>
    <hyperlink ref="A40" location="Inputs!B7" display="Target merit increase, % of eligible base payroll (change on Inputs)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4.4" x14ac:dyDescent="0.3"/>
  <cols>
    <col min="1" max="1" width="46" customWidth="1"/>
    <col min="2" max="2" width="16" customWidth="1"/>
    <col min="3" max="4" width="60" customWidth="1"/>
    <col min="5" max="5" width="22" customWidth="1"/>
  </cols>
  <sheetData>
    <row r="1" spans="1:3" ht="17.399999999999999" x14ac:dyDescent="0.35">
      <c r="A1" s="1" t="s">
        <v>47</v>
      </c>
    </row>
    <row r="3" spans="1:3" x14ac:dyDescent="0.3">
      <c r="A3" s="2" t="s">
        <v>48</v>
      </c>
      <c r="B3" s="2" t="s">
        <v>1</v>
      </c>
      <c r="C3" s="2" t="s">
        <v>49</v>
      </c>
    </row>
    <row r="4" spans="1:3" ht="28.8" x14ac:dyDescent="0.3">
      <c r="A4" t="s">
        <v>50</v>
      </c>
      <c r="B4" s="8">
        <v>46478</v>
      </c>
      <c r="C4" s="9" t="s">
        <v>51</v>
      </c>
    </row>
    <row r="5" spans="1:3" x14ac:dyDescent="0.3">
      <c r="A5" t="s">
        <v>52</v>
      </c>
      <c r="B5" s="3">
        <f>MONTH(EffDate)</f>
        <v>4</v>
      </c>
      <c r="C5" s="9" t="s">
        <v>53</v>
      </c>
    </row>
    <row r="6" spans="1:3" ht="28.8" x14ac:dyDescent="0.3">
      <c r="A6" t="s">
        <v>54</v>
      </c>
      <c r="B6" s="5">
        <f>(13-EffMonth)/12</f>
        <v>0.75</v>
      </c>
      <c r="C6" s="9" t="s">
        <v>55</v>
      </c>
    </row>
    <row r="7" spans="1:3" ht="57.6" x14ac:dyDescent="0.3">
      <c r="A7" t="s">
        <v>56</v>
      </c>
      <c r="B7" s="10">
        <v>0.04</v>
      </c>
      <c r="C7" s="9" t="s">
        <v>57</v>
      </c>
    </row>
    <row r="8" spans="1:3" ht="28.8" x14ac:dyDescent="0.3">
      <c r="A8" t="s">
        <v>58</v>
      </c>
      <c r="B8" s="11">
        <v>6</v>
      </c>
      <c r="C8" s="9" t="s">
        <v>59</v>
      </c>
    </row>
    <row r="9" spans="1:3" ht="28.8" x14ac:dyDescent="0.3">
      <c r="A9" t="s">
        <v>60</v>
      </c>
      <c r="B9" s="11">
        <v>3</v>
      </c>
      <c r="C9" s="9" t="s">
        <v>61</v>
      </c>
    </row>
    <row r="10" spans="1:3" ht="43.2" x14ac:dyDescent="0.3">
      <c r="A10" t="s">
        <v>62</v>
      </c>
      <c r="B10" s="10">
        <v>0.3</v>
      </c>
      <c r="C10" s="9" t="s">
        <v>63</v>
      </c>
    </row>
    <row r="11" spans="1:3" ht="28.8" x14ac:dyDescent="0.3">
      <c r="A11" t="s">
        <v>64</v>
      </c>
      <c r="B11" s="12" t="s">
        <v>65</v>
      </c>
      <c r="C11" s="9" t="s">
        <v>66</v>
      </c>
    </row>
    <row r="12" spans="1:3" x14ac:dyDescent="0.3">
      <c r="A12" t="s">
        <v>67</v>
      </c>
      <c r="B12" s="10">
        <v>1</v>
      </c>
      <c r="C12" s="9" t="s">
        <v>68</v>
      </c>
    </row>
    <row r="13" spans="1:3" ht="100.8" x14ac:dyDescent="0.3">
      <c r="A13" t="s">
        <v>69</v>
      </c>
      <c r="B13" s="10">
        <v>0.32150000000000001</v>
      </c>
      <c r="C13" s="9" t="s">
        <v>70</v>
      </c>
    </row>
    <row r="14" spans="1:3" ht="28.8" x14ac:dyDescent="0.3">
      <c r="A14" t="s">
        <v>71</v>
      </c>
      <c r="B14" s="13">
        <v>61214.400000000001</v>
      </c>
      <c r="C14" s="9" t="s">
        <v>72</v>
      </c>
    </row>
    <row r="15" spans="1:3" ht="43.2" x14ac:dyDescent="0.3">
      <c r="A15" t="s">
        <v>73</v>
      </c>
      <c r="B15" s="10">
        <v>9.5999999999999992E-3</v>
      </c>
      <c r="C15" s="9" t="s">
        <v>74</v>
      </c>
    </row>
    <row r="16" spans="1:3" x14ac:dyDescent="0.3">
      <c r="A16" t="s">
        <v>75</v>
      </c>
      <c r="B16" s="10">
        <v>1.04E-2</v>
      </c>
      <c r="C16" s="9" t="s">
        <v>76</v>
      </c>
    </row>
    <row r="17" spans="1:4" x14ac:dyDescent="0.3">
      <c r="A17" t="s">
        <v>77</v>
      </c>
      <c r="B17" s="10">
        <v>1.2200000000000001E-2</v>
      </c>
      <c r="C17" s="9" t="s">
        <v>78</v>
      </c>
    </row>
    <row r="19" spans="1:4" x14ac:dyDescent="0.3">
      <c r="A19" s="2" t="s">
        <v>79</v>
      </c>
    </row>
    <row r="20" spans="1:4" x14ac:dyDescent="0.3">
      <c r="A20" s="2" t="s">
        <v>80</v>
      </c>
      <c r="B20" s="2" t="s">
        <v>81</v>
      </c>
      <c r="C20" s="2" t="s">
        <v>82</v>
      </c>
      <c r="D20" s="2" t="s">
        <v>83</v>
      </c>
    </row>
    <row r="21" spans="1:4" x14ac:dyDescent="0.3">
      <c r="A21">
        <v>1</v>
      </c>
      <c r="B21" t="s">
        <v>84</v>
      </c>
      <c r="C21" s="10">
        <v>0</v>
      </c>
      <c r="D21" s="10">
        <v>0</v>
      </c>
    </row>
    <row r="22" spans="1:4" x14ac:dyDescent="0.3">
      <c r="A22">
        <v>2</v>
      </c>
      <c r="B22" t="s">
        <v>85</v>
      </c>
      <c r="C22" s="10">
        <v>0.95</v>
      </c>
      <c r="D22" s="10">
        <v>0</v>
      </c>
    </row>
    <row r="23" spans="1:4" x14ac:dyDescent="0.3">
      <c r="A23">
        <v>3</v>
      </c>
      <c r="B23" t="s">
        <v>86</v>
      </c>
      <c r="C23" s="10">
        <v>1</v>
      </c>
      <c r="D23" s="10">
        <v>0</v>
      </c>
    </row>
    <row r="24" spans="1:4" x14ac:dyDescent="0.3">
      <c r="A24">
        <v>4</v>
      </c>
      <c r="B24" t="s">
        <v>87</v>
      </c>
      <c r="C24" s="10">
        <v>1.05</v>
      </c>
      <c r="D24" s="10">
        <v>0.01</v>
      </c>
    </row>
    <row r="25" spans="1:4" x14ac:dyDescent="0.3">
      <c r="A25">
        <v>5</v>
      </c>
      <c r="B25" t="s">
        <v>88</v>
      </c>
      <c r="C25" s="10">
        <v>1.1000000000000001</v>
      </c>
      <c r="D25" s="10">
        <v>0.02</v>
      </c>
    </row>
    <row r="26" spans="1:4" ht="86.4" x14ac:dyDescent="0.3">
      <c r="A26" s="9" t="s">
        <v>89</v>
      </c>
    </row>
    <row r="27" spans="1:4" ht="86.4" x14ac:dyDescent="0.3">
      <c r="A27" s="9" t="s">
        <v>90</v>
      </c>
    </row>
    <row r="29" spans="1:4" ht="28.8" x14ac:dyDescent="0.3">
      <c r="A29" s="2" t="s">
        <v>91</v>
      </c>
      <c r="C29" s="9" t="s">
        <v>92</v>
      </c>
    </row>
    <row r="30" spans="1:4" x14ac:dyDescent="0.3">
      <c r="A30" s="2" t="s">
        <v>93</v>
      </c>
      <c r="B30" s="2" t="s">
        <v>94</v>
      </c>
    </row>
    <row r="31" spans="1:4" x14ac:dyDescent="0.3">
      <c r="A31">
        <v>1</v>
      </c>
      <c r="B31" s="10">
        <v>0</v>
      </c>
    </row>
    <row r="32" spans="1:4" x14ac:dyDescent="0.3">
      <c r="A32">
        <v>2</v>
      </c>
      <c r="B32" s="10">
        <v>0.9</v>
      </c>
    </row>
    <row r="33" spans="1:2" x14ac:dyDescent="0.3">
      <c r="A33">
        <v>3</v>
      </c>
      <c r="B33" s="10">
        <v>1</v>
      </c>
    </row>
    <row r="34" spans="1:2" x14ac:dyDescent="0.3">
      <c r="A34">
        <v>4</v>
      </c>
      <c r="B34" s="10">
        <v>1.1000000000000001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Pick from the list" error="Choose a value from the drop-down list." xr:uid="{00000000-0002-0000-0100-000000000000}">
          <x14:formula1>
            <xm:f>Lists!$A$2:$A$27</xm:f>
          </x14:formula1>
          <xm:sqref>B4</xm:sqref>
        </x14:dataValidation>
        <x14:dataValidation type="list" allowBlank="1" showErrorMessage="1" errorTitle="Pick from the list" error="Choose a value from the drop-down list." xr:uid="{00000000-0002-0000-0100-000001000000}">
          <x14:formula1>
            <xm:f>Lists!$B$2:$B$8</xm:f>
          </x14:formula1>
          <xm:sqref>B8</xm:sqref>
        </x14:dataValidation>
        <x14:dataValidation type="list" allowBlank="1" showErrorMessage="1" errorTitle="Pick from the list" error="Choose a value from the drop-down list." xr:uid="{00000000-0002-0000-0100-000002000000}">
          <x14:formula1>
            <xm:f>Lists!$C$2:$C$8</xm:f>
          </x14:formula1>
          <xm:sqref>B9</xm:sqref>
        </x14:dataValidation>
        <x14:dataValidation type="list" allowBlank="1" showErrorMessage="1" errorTitle="Pick from the list" error="Choose a value from the drop-down list." xr:uid="{00000000-0002-0000-0100-000003000000}">
          <x14:formula1>
            <xm:f>Lists!$D$2:$D$11</xm:f>
          </x14:formula1>
          <xm:sqref>B10</xm:sqref>
        </x14:dataValidation>
        <x14:dataValidation type="list" allowBlank="1" showErrorMessage="1" errorTitle="Pick from the list" error="Choose a value from the drop-down list." xr:uid="{00000000-0002-0000-0100-000004000000}">
          <x14:formula1>
            <xm:f>Lists!$E$2:$E$3</xm:f>
          </x14:formula1>
          <xm:sqref>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4.4" x14ac:dyDescent="0.3"/>
  <cols>
    <col min="1" max="5" width="18" customWidth="1"/>
  </cols>
  <sheetData>
    <row r="1" spans="1:5" x14ac:dyDescent="0.3">
      <c r="A1" s="2" t="s">
        <v>95</v>
      </c>
      <c r="B1" s="2" t="s">
        <v>58</v>
      </c>
      <c r="C1" s="2" t="s">
        <v>96</v>
      </c>
      <c r="D1" s="2" t="s">
        <v>97</v>
      </c>
      <c r="E1" s="2" t="s">
        <v>98</v>
      </c>
    </row>
    <row r="2" spans="1:5" x14ac:dyDescent="0.3">
      <c r="A2" s="14">
        <v>46327</v>
      </c>
      <c r="B2" s="15">
        <v>0</v>
      </c>
      <c r="C2" s="15">
        <v>0</v>
      </c>
      <c r="D2" s="5" t="s">
        <v>99</v>
      </c>
      <c r="E2" s="16" t="s">
        <v>65</v>
      </c>
    </row>
    <row r="3" spans="1:5" x14ac:dyDescent="0.3">
      <c r="A3" s="14">
        <v>46357</v>
      </c>
      <c r="B3" s="15">
        <v>1</v>
      </c>
      <c r="C3" s="15">
        <v>1</v>
      </c>
      <c r="D3" s="5">
        <v>0.1</v>
      </c>
      <c r="E3" s="16" t="s">
        <v>100</v>
      </c>
    </row>
    <row r="4" spans="1:5" x14ac:dyDescent="0.3">
      <c r="A4" s="14">
        <v>46388</v>
      </c>
      <c r="B4" s="15">
        <v>2</v>
      </c>
      <c r="C4" s="15">
        <v>2</v>
      </c>
      <c r="D4" s="5">
        <v>0.15</v>
      </c>
    </row>
    <row r="5" spans="1:5" x14ac:dyDescent="0.3">
      <c r="A5" s="14">
        <v>46419</v>
      </c>
      <c r="B5" s="15">
        <v>3</v>
      </c>
      <c r="C5" s="15">
        <v>3</v>
      </c>
      <c r="D5" s="5">
        <v>0.2</v>
      </c>
    </row>
    <row r="6" spans="1:5" x14ac:dyDescent="0.3">
      <c r="A6" s="14">
        <v>46447</v>
      </c>
      <c r="B6" s="15">
        <v>6</v>
      </c>
      <c r="C6" s="15">
        <v>6</v>
      </c>
      <c r="D6" s="5">
        <v>0.25</v>
      </c>
    </row>
    <row r="7" spans="1:5" x14ac:dyDescent="0.3">
      <c r="A7" s="14">
        <v>46478</v>
      </c>
      <c r="B7" s="15">
        <v>9</v>
      </c>
      <c r="C7" s="15">
        <v>9</v>
      </c>
      <c r="D7" s="5">
        <v>0.3</v>
      </c>
    </row>
    <row r="8" spans="1:5" x14ac:dyDescent="0.3">
      <c r="A8" s="14">
        <v>46508</v>
      </c>
      <c r="B8" s="15">
        <v>12</v>
      </c>
      <c r="C8" s="15">
        <v>12</v>
      </c>
      <c r="D8" s="5">
        <v>0.4</v>
      </c>
    </row>
    <row r="9" spans="1:5" x14ac:dyDescent="0.3">
      <c r="A9" s="14">
        <v>46539</v>
      </c>
      <c r="D9" s="5">
        <v>0.5</v>
      </c>
    </row>
    <row r="10" spans="1:5" x14ac:dyDescent="0.3">
      <c r="A10" s="14">
        <v>46569</v>
      </c>
      <c r="D10" s="5">
        <v>0.75</v>
      </c>
    </row>
    <row r="11" spans="1:5" x14ac:dyDescent="0.3">
      <c r="A11" s="14">
        <v>46600</v>
      </c>
      <c r="D11" s="5">
        <v>1</v>
      </c>
    </row>
    <row r="12" spans="1:5" x14ac:dyDescent="0.3">
      <c r="A12" s="14">
        <v>46631</v>
      </c>
    </row>
    <row r="13" spans="1:5" x14ac:dyDescent="0.3">
      <c r="A13" s="14">
        <v>46661</v>
      </c>
    </row>
    <row r="14" spans="1:5" x14ac:dyDescent="0.3">
      <c r="A14" s="14">
        <v>46692</v>
      </c>
    </row>
    <row r="15" spans="1:5" x14ac:dyDescent="0.3">
      <c r="A15" s="14">
        <v>46722</v>
      </c>
    </row>
    <row r="16" spans="1:5" x14ac:dyDescent="0.3">
      <c r="A16" s="14">
        <v>46753</v>
      </c>
    </row>
    <row r="17" spans="1:1" x14ac:dyDescent="0.3">
      <c r="A17" s="14">
        <v>46784</v>
      </c>
    </row>
    <row r="18" spans="1:1" x14ac:dyDescent="0.3">
      <c r="A18" s="14">
        <v>46813</v>
      </c>
    </row>
    <row r="19" spans="1:1" x14ac:dyDescent="0.3">
      <c r="A19" s="14">
        <v>46844</v>
      </c>
    </row>
    <row r="20" spans="1:1" x14ac:dyDescent="0.3">
      <c r="A20" s="14">
        <v>46874</v>
      </c>
    </row>
    <row r="21" spans="1:1" x14ac:dyDescent="0.3">
      <c r="A21" s="14">
        <v>46905</v>
      </c>
    </row>
    <row r="22" spans="1:1" x14ac:dyDescent="0.3">
      <c r="A22" s="14">
        <v>46935</v>
      </c>
    </row>
    <row r="23" spans="1:1" x14ac:dyDescent="0.3">
      <c r="A23" s="14">
        <v>46966</v>
      </c>
    </row>
    <row r="24" spans="1:1" x14ac:dyDescent="0.3">
      <c r="A24" s="14">
        <v>46997</v>
      </c>
    </row>
    <row r="25" spans="1:1" x14ac:dyDescent="0.3">
      <c r="A25" s="14">
        <v>47027</v>
      </c>
    </row>
    <row r="26" spans="1:1" x14ac:dyDescent="0.3">
      <c r="A26" s="14">
        <v>47058</v>
      </c>
    </row>
    <row r="27" spans="1:1" x14ac:dyDescent="0.3">
      <c r="A27" s="14">
        <v>47088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workbookViewId="0"/>
  </sheetViews>
  <sheetFormatPr defaultRowHeight="14.4" x14ac:dyDescent="0.3"/>
  <cols>
    <col min="1" max="1" width="22" customWidth="1"/>
    <col min="2" max="6" width="14" customWidth="1"/>
  </cols>
  <sheetData>
    <row r="1" spans="1:6" x14ac:dyDescent="0.3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</row>
    <row r="2" spans="1:6" x14ac:dyDescent="0.3">
      <c r="A2" s="17" t="s">
        <v>107</v>
      </c>
      <c r="B2" s="17">
        <v>3</v>
      </c>
      <c r="C2" s="13">
        <v>25700</v>
      </c>
      <c r="D2" s="13">
        <v>29500</v>
      </c>
      <c r="E2" s="13">
        <v>33400</v>
      </c>
      <c r="F2" t="str">
        <f t="shared" ref="F2:F36" si="0">A2&amp;"|"&amp;B2</f>
        <v>Customer Support|3</v>
      </c>
    </row>
    <row r="3" spans="1:6" x14ac:dyDescent="0.3">
      <c r="A3" s="17" t="s">
        <v>107</v>
      </c>
      <c r="B3" s="17">
        <v>4</v>
      </c>
      <c r="C3" s="13">
        <v>29800</v>
      </c>
      <c r="D3" s="13">
        <v>34300</v>
      </c>
      <c r="E3" s="13">
        <v>38700</v>
      </c>
      <c r="F3" t="str">
        <f t="shared" si="0"/>
        <v>Customer Support|4</v>
      </c>
    </row>
    <row r="4" spans="1:6" x14ac:dyDescent="0.3">
      <c r="A4" s="17" t="s">
        <v>107</v>
      </c>
      <c r="B4" s="17">
        <v>5</v>
      </c>
      <c r="C4" s="13">
        <v>34500</v>
      </c>
      <c r="D4" s="13">
        <v>39700</v>
      </c>
      <c r="E4" s="13">
        <v>44900</v>
      </c>
      <c r="F4" t="str">
        <f t="shared" si="0"/>
        <v>Customer Support|5</v>
      </c>
    </row>
    <row r="5" spans="1:6" x14ac:dyDescent="0.3">
      <c r="A5" s="17" t="s">
        <v>107</v>
      </c>
      <c r="B5" s="17">
        <v>6</v>
      </c>
      <c r="C5" s="13">
        <v>38300</v>
      </c>
      <c r="D5" s="13">
        <v>46000</v>
      </c>
      <c r="E5" s="13">
        <v>53600</v>
      </c>
      <c r="F5" t="str">
        <f t="shared" si="0"/>
        <v>Customer Support|6</v>
      </c>
    </row>
    <row r="6" spans="1:6" x14ac:dyDescent="0.3">
      <c r="A6" s="17" t="s">
        <v>108</v>
      </c>
      <c r="B6" s="17">
        <v>4</v>
      </c>
      <c r="C6" s="13">
        <v>30400</v>
      </c>
      <c r="D6" s="13">
        <v>35000</v>
      </c>
      <c r="E6" s="13">
        <v>39500</v>
      </c>
      <c r="F6" t="str">
        <f t="shared" si="0"/>
        <v>Manufacturing|4</v>
      </c>
    </row>
    <row r="7" spans="1:6" x14ac:dyDescent="0.3">
      <c r="A7" s="17" t="s">
        <v>108</v>
      </c>
      <c r="B7" s="17">
        <v>5</v>
      </c>
      <c r="C7" s="13">
        <v>35600</v>
      </c>
      <c r="D7" s="13">
        <v>40900</v>
      </c>
      <c r="E7" s="13">
        <v>46300</v>
      </c>
      <c r="F7" t="str">
        <f t="shared" si="0"/>
        <v>Manufacturing|5</v>
      </c>
    </row>
    <row r="8" spans="1:6" x14ac:dyDescent="0.3">
      <c r="A8" s="17" t="s">
        <v>108</v>
      </c>
      <c r="B8" s="17">
        <v>6</v>
      </c>
      <c r="C8" s="13">
        <v>39700</v>
      </c>
      <c r="D8" s="13">
        <v>47600</v>
      </c>
      <c r="E8" s="13">
        <v>55600</v>
      </c>
      <c r="F8" t="str">
        <f t="shared" si="0"/>
        <v>Manufacturing|6</v>
      </c>
    </row>
    <row r="9" spans="1:6" x14ac:dyDescent="0.3">
      <c r="A9" s="17" t="s">
        <v>108</v>
      </c>
      <c r="B9" s="17">
        <v>7</v>
      </c>
      <c r="C9" s="13">
        <v>46200</v>
      </c>
      <c r="D9" s="13">
        <v>55400</v>
      </c>
      <c r="E9" s="13">
        <v>64700</v>
      </c>
      <c r="F9" t="str">
        <f t="shared" si="0"/>
        <v>Manufacturing|7</v>
      </c>
    </row>
    <row r="10" spans="1:6" x14ac:dyDescent="0.3">
      <c r="A10" s="17" t="s">
        <v>108</v>
      </c>
      <c r="B10" s="17">
        <v>8</v>
      </c>
      <c r="C10" s="13">
        <v>53700</v>
      </c>
      <c r="D10" s="13">
        <v>64400</v>
      </c>
      <c r="E10" s="13">
        <v>75200</v>
      </c>
      <c r="F10" t="str">
        <f t="shared" si="0"/>
        <v>Manufacturing|8</v>
      </c>
    </row>
    <row r="11" spans="1:6" x14ac:dyDescent="0.3">
      <c r="A11" s="17" t="s">
        <v>109</v>
      </c>
      <c r="B11" s="17">
        <v>5</v>
      </c>
      <c r="C11" s="13">
        <v>33700</v>
      </c>
      <c r="D11" s="13">
        <v>38800</v>
      </c>
      <c r="E11" s="13">
        <v>43800</v>
      </c>
      <c r="F11" t="str">
        <f t="shared" si="0"/>
        <v>Operations|5</v>
      </c>
    </row>
    <row r="12" spans="1:6" x14ac:dyDescent="0.3">
      <c r="A12" s="17" t="s">
        <v>109</v>
      </c>
      <c r="B12" s="17">
        <v>6</v>
      </c>
      <c r="C12" s="13">
        <v>37000</v>
      </c>
      <c r="D12" s="13">
        <v>44400</v>
      </c>
      <c r="E12" s="13">
        <v>51800</v>
      </c>
      <c r="F12" t="str">
        <f t="shared" si="0"/>
        <v>Operations|6</v>
      </c>
    </row>
    <row r="13" spans="1:6" x14ac:dyDescent="0.3">
      <c r="A13" s="17" t="s">
        <v>109</v>
      </c>
      <c r="B13" s="17">
        <v>7</v>
      </c>
      <c r="C13" s="13">
        <v>42300</v>
      </c>
      <c r="D13" s="13">
        <v>50800</v>
      </c>
      <c r="E13" s="13">
        <v>59200</v>
      </c>
      <c r="F13" t="str">
        <f t="shared" si="0"/>
        <v>Operations|7</v>
      </c>
    </row>
    <row r="14" spans="1:6" x14ac:dyDescent="0.3">
      <c r="A14" s="17" t="s">
        <v>109</v>
      </c>
      <c r="B14" s="17">
        <v>8</v>
      </c>
      <c r="C14" s="13">
        <v>48400</v>
      </c>
      <c r="D14" s="13">
        <v>58100</v>
      </c>
      <c r="E14" s="13">
        <v>67800</v>
      </c>
      <c r="F14" t="str">
        <f t="shared" si="0"/>
        <v>Operations|8</v>
      </c>
    </row>
    <row r="15" spans="1:6" x14ac:dyDescent="0.3">
      <c r="A15" s="17" t="s">
        <v>109</v>
      </c>
      <c r="B15" s="17">
        <v>9</v>
      </c>
      <c r="C15" s="13">
        <v>55300</v>
      </c>
      <c r="D15" s="13">
        <v>66400</v>
      </c>
      <c r="E15" s="13">
        <v>77400</v>
      </c>
      <c r="F15" t="str">
        <f t="shared" si="0"/>
        <v>Operations|9</v>
      </c>
    </row>
    <row r="16" spans="1:6" x14ac:dyDescent="0.3">
      <c r="A16" s="17" t="s">
        <v>109</v>
      </c>
      <c r="B16" s="17">
        <v>10</v>
      </c>
      <c r="C16" s="13">
        <v>60700</v>
      </c>
      <c r="D16" s="13">
        <v>75900</v>
      </c>
      <c r="E16" s="13">
        <v>91100</v>
      </c>
      <c r="F16" t="str">
        <f t="shared" si="0"/>
        <v>Operations|10</v>
      </c>
    </row>
    <row r="17" spans="1:6" x14ac:dyDescent="0.3">
      <c r="A17" s="17" t="s">
        <v>110</v>
      </c>
      <c r="B17" s="17">
        <v>6</v>
      </c>
      <c r="C17" s="13">
        <v>39400</v>
      </c>
      <c r="D17" s="13">
        <v>47300</v>
      </c>
      <c r="E17" s="13">
        <v>55200</v>
      </c>
      <c r="F17" t="str">
        <f t="shared" si="0"/>
        <v>Marketing|6</v>
      </c>
    </row>
    <row r="18" spans="1:6" x14ac:dyDescent="0.3">
      <c r="A18" s="17" t="s">
        <v>110</v>
      </c>
      <c r="B18" s="17">
        <v>7</v>
      </c>
      <c r="C18" s="13">
        <v>45400</v>
      </c>
      <c r="D18" s="13">
        <v>54500</v>
      </c>
      <c r="E18" s="13">
        <v>63600</v>
      </c>
      <c r="F18" t="str">
        <f t="shared" si="0"/>
        <v>Marketing|7</v>
      </c>
    </row>
    <row r="19" spans="1:6" x14ac:dyDescent="0.3">
      <c r="A19" s="17" t="s">
        <v>110</v>
      </c>
      <c r="B19" s="17">
        <v>8</v>
      </c>
      <c r="C19" s="13">
        <v>52300</v>
      </c>
      <c r="D19" s="13">
        <v>62700</v>
      </c>
      <c r="E19" s="13">
        <v>73200</v>
      </c>
      <c r="F19" t="str">
        <f t="shared" si="0"/>
        <v>Marketing|8</v>
      </c>
    </row>
    <row r="20" spans="1:6" x14ac:dyDescent="0.3">
      <c r="A20" s="17" t="s">
        <v>110</v>
      </c>
      <c r="B20" s="17">
        <v>9</v>
      </c>
      <c r="C20" s="13">
        <v>60000</v>
      </c>
      <c r="D20" s="13">
        <v>72000</v>
      </c>
      <c r="E20" s="13">
        <v>84000</v>
      </c>
      <c r="F20" t="str">
        <f t="shared" si="0"/>
        <v>Marketing|9</v>
      </c>
    </row>
    <row r="21" spans="1:6" x14ac:dyDescent="0.3">
      <c r="A21" s="17" t="s">
        <v>110</v>
      </c>
      <c r="B21" s="17">
        <v>10</v>
      </c>
      <c r="C21" s="13">
        <v>66200</v>
      </c>
      <c r="D21" s="13">
        <v>82700</v>
      </c>
      <c r="E21" s="13">
        <v>99300</v>
      </c>
      <c r="F21" t="str">
        <f t="shared" si="0"/>
        <v>Marketing|10</v>
      </c>
    </row>
    <row r="22" spans="1:6" x14ac:dyDescent="0.3">
      <c r="A22" s="17" t="s">
        <v>111</v>
      </c>
      <c r="B22" s="17">
        <v>7</v>
      </c>
      <c r="C22" s="13">
        <v>41600</v>
      </c>
      <c r="D22" s="13">
        <v>49900</v>
      </c>
      <c r="E22" s="13">
        <v>58200</v>
      </c>
      <c r="F22" t="str">
        <f t="shared" si="0"/>
        <v>Engineering|7</v>
      </c>
    </row>
    <row r="23" spans="1:6" x14ac:dyDescent="0.3">
      <c r="A23" s="17" t="s">
        <v>111</v>
      </c>
      <c r="B23" s="17">
        <v>8</v>
      </c>
      <c r="C23" s="13">
        <v>47700</v>
      </c>
      <c r="D23" s="13">
        <v>57200</v>
      </c>
      <c r="E23" s="13">
        <v>66800</v>
      </c>
      <c r="F23" t="str">
        <f t="shared" si="0"/>
        <v>Engineering|8</v>
      </c>
    </row>
    <row r="24" spans="1:6" x14ac:dyDescent="0.3">
      <c r="A24" s="17" t="s">
        <v>111</v>
      </c>
      <c r="B24" s="17">
        <v>9</v>
      </c>
      <c r="C24" s="13">
        <v>54500</v>
      </c>
      <c r="D24" s="13">
        <v>65400</v>
      </c>
      <c r="E24" s="13">
        <v>76300</v>
      </c>
      <c r="F24" t="str">
        <f t="shared" si="0"/>
        <v>Engineering|9</v>
      </c>
    </row>
    <row r="25" spans="1:6" x14ac:dyDescent="0.3">
      <c r="A25" s="17" t="s">
        <v>111</v>
      </c>
      <c r="B25" s="17">
        <v>10</v>
      </c>
      <c r="C25" s="13">
        <v>59800</v>
      </c>
      <c r="D25" s="13">
        <v>74800</v>
      </c>
      <c r="E25" s="13">
        <v>89700</v>
      </c>
      <c r="F25" t="str">
        <f t="shared" si="0"/>
        <v>Engineering|10</v>
      </c>
    </row>
    <row r="26" spans="1:6" x14ac:dyDescent="0.3">
      <c r="A26" s="17" t="s">
        <v>111</v>
      </c>
      <c r="B26" s="17">
        <v>11</v>
      </c>
      <c r="C26" s="13">
        <v>68400</v>
      </c>
      <c r="D26" s="13">
        <v>85500</v>
      </c>
      <c r="E26" s="13">
        <v>102600</v>
      </c>
      <c r="F26" t="str">
        <f t="shared" si="0"/>
        <v>Engineering|11</v>
      </c>
    </row>
    <row r="27" spans="1:6" x14ac:dyDescent="0.3">
      <c r="A27" s="17" t="s">
        <v>111</v>
      </c>
      <c r="B27" s="17">
        <v>12</v>
      </c>
      <c r="C27" s="13">
        <v>75200</v>
      </c>
      <c r="D27" s="13">
        <v>97700</v>
      </c>
      <c r="E27" s="13">
        <v>120300</v>
      </c>
      <c r="F27" t="str">
        <f t="shared" si="0"/>
        <v>Engineering|12</v>
      </c>
    </row>
    <row r="28" spans="1:6" x14ac:dyDescent="0.3">
      <c r="A28" s="17" t="s">
        <v>112</v>
      </c>
      <c r="B28" s="17">
        <v>8</v>
      </c>
      <c r="C28" s="13">
        <v>53100</v>
      </c>
      <c r="D28" s="13">
        <v>63700</v>
      </c>
      <c r="E28" s="13">
        <v>74300</v>
      </c>
      <c r="F28" t="str">
        <f t="shared" si="0"/>
        <v>Sales|8</v>
      </c>
    </row>
    <row r="29" spans="1:6" x14ac:dyDescent="0.3">
      <c r="A29" s="17" t="s">
        <v>112</v>
      </c>
      <c r="B29" s="17">
        <v>9</v>
      </c>
      <c r="C29" s="13">
        <v>61100</v>
      </c>
      <c r="D29" s="13">
        <v>73300</v>
      </c>
      <c r="E29" s="13">
        <v>85500</v>
      </c>
      <c r="F29" t="str">
        <f t="shared" si="0"/>
        <v>Sales|9</v>
      </c>
    </row>
    <row r="30" spans="1:6" x14ac:dyDescent="0.3">
      <c r="A30" s="17" t="s">
        <v>112</v>
      </c>
      <c r="B30" s="17">
        <v>10</v>
      </c>
      <c r="C30" s="13">
        <v>67400</v>
      </c>
      <c r="D30" s="13">
        <v>84300</v>
      </c>
      <c r="E30" s="13">
        <v>101100</v>
      </c>
      <c r="F30" t="str">
        <f t="shared" si="0"/>
        <v>Sales|10</v>
      </c>
    </row>
    <row r="31" spans="1:6" x14ac:dyDescent="0.3">
      <c r="A31" s="17" t="s">
        <v>112</v>
      </c>
      <c r="B31" s="17">
        <v>11</v>
      </c>
      <c r="C31" s="13">
        <v>77500</v>
      </c>
      <c r="D31" s="13">
        <v>96900</v>
      </c>
      <c r="E31" s="13">
        <v>116300</v>
      </c>
      <c r="F31" t="str">
        <f t="shared" si="0"/>
        <v>Sales|11</v>
      </c>
    </row>
    <row r="32" spans="1:6" x14ac:dyDescent="0.3">
      <c r="A32" s="17" t="s">
        <v>112</v>
      </c>
      <c r="B32" s="17">
        <v>12</v>
      </c>
      <c r="C32" s="13">
        <v>85600</v>
      </c>
      <c r="D32" s="13">
        <v>111300</v>
      </c>
      <c r="E32" s="13">
        <v>137000</v>
      </c>
      <c r="F32" t="str">
        <f t="shared" si="0"/>
        <v>Sales|12</v>
      </c>
    </row>
    <row r="33" spans="1:6" x14ac:dyDescent="0.3">
      <c r="A33" s="17" t="s">
        <v>113</v>
      </c>
      <c r="B33" s="17">
        <v>9</v>
      </c>
      <c r="C33" s="13">
        <v>53300</v>
      </c>
      <c r="D33" s="13">
        <v>63900</v>
      </c>
      <c r="E33" s="13">
        <v>74600</v>
      </c>
      <c r="F33" t="str">
        <f t="shared" si="0"/>
        <v>Legal|9</v>
      </c>
    </row>
    <row r="34" spans="1:6" x14ac:dyDescent="0.3">
      <c r="A34" s="17" t="s">
        <v>113</v>
      </c>
      <c r="B34" s="17">
        <v>10</v>
      </c>
      <c r="C34" s="13">
        <v>59400</v>
      </c>
      <c r="D34" s="13">
        <v>74200</v>
      </c>
      <c r="E34" s="13">
        <v>89100</v>
      </c>
      <c r="F34" t="str">
        <f t="shared" si="0"/>
        <v>Legal|10</v>
      </c>
    </row>
    <row r="35" spans="1:6" x14ac:dyDescent="0.3">
      <c r="A35" s="17" t="s">
        <v>113</v>
      </c>
      <c r="B35" s="17">
        <v>11</v>
      </c>
      <c r="C35" s="13">
        <v>68900</v>
      </c>
      <c r="D35" s="13">
        <v>86100</v>
      </c>
      <c r="E35" s="13">
        <v>103400</v>
      </c>
      <c r="F35" t="str">
        <f t="shared" si="0"/>
        <v>Legal|11</v>
      </c>
    </row>
    <row r="36" spans="1:6" x14ac:dyDescent="0.3">
      <c r="A36" s="17" t="s">
        <v>113</v>
      </c>
      <c r="B36" s="17">
        <v>12</v>
      </c>
      <c r="C36" s="13">
        <v>76700</v>
      </c>
      <c r="D36" s="13">
        <v>99700</v>
      </c>
      <c r="E36" s="13">
        <v>122700</v>
      </c>
      <c r="F36" t="str">
        <f t="shared" si="0"/>
        <v>Legal|12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3"/>
  <sheetViews>
    <sheetView workbookViewId="0"/>
  </sheetViews>
  <sheetFormatPr defaultRowHeight="14.4" x14ac:dyDescent="0.3"/>
  <cols>
    <col min="1" max="1" width="8" customWidth="1"/>
    <col min="2" max="2" width="22" customWidth="1"/>
    <col min="3" max="3" width="8" customWidth="1"/>
    <col min="4" max="5" width="7" customWidth="1"/>
    <col min="6" max="6" width="12" customWidth="1"/>
    <col min="7" max="7" width="16" customWidth="1"/>
    <col min="8" max="8" width="13" customWidth="1"/>
    <col min="9" max="9" width="10" customWidth="1"/>
    <col min="10" max="10" width="6" customWidth="1"/>
  </cols>
  <sheetData>
    <row r="1" spans="1:10" x14ac:dyDescent="0.3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</row>
    <row r="2" spans="1:10" x14ac:dyDescent="0.3">
      <c r="A2" s="17" t="s">
        <v>124</v>
      </c>
      <c r="B2" s="17" t="s">
        <v>111</v>
      </c>
      <c r="C2" s="17" t="s">
        <v>125</v>
      </c>
      <c r="D2" s="17">
        <v>8</v>
      </c>
      <c r="E2" s="17">
        <v>4</v>
      </c>
      <c r="F2" s="18">
        <v>44433</v>
      </c>
      <c r="G2" s="18">
        <v>46270</v>
      </c>
      <c r="H2" s="13">
        <v>56987.18</v>
      </c>
      <c r="I2" s="17">
        <v>14.33</v>
      </c>
      <c r="J2" s="17">
        <v>1</v>
      </c>
    </row>
    <row r="3" spans="1:10" x14ac:dyDescent="0.3">
      <c r="A3" s="17" t="s">
        <v>126</v>
      </c>
      <c r="B3" s="17" t="s">
        <v>111</v>
      </c>
      <c r="C3" s="17" t="s">
        <v>125</v>
      </c>
      <c r="D3" s="17">
        <v>9</v>
      </c>
      <c r="E3" s="17">
        <v>2</v>
      </c>
      <c r="F3" s="18">
        <v>43227</v>
      </c>
      <c r="G3" s="18">
        <v>46113</v>
      </c>
      <c r="H3" s="13">
        <v>65996.639999999999</v>
      </c>
      <c r="I3" s="17">
        <v>13.38</v>
      </c>
      <c r="J3" s="17">
        <v>1</v>
      </c>
    </row>
    <row r="4" spans="1:10" x14ac:dyDescent="0.3">
      <c r="A4" s="17" t="s">
        <v>127</v>
      </c>
      <c r="B4" s="17" t="s">
        <v>111</v>
      </c>
      <c r="C4" s="17" t="s">
        <v>125</v>
      </c>
      <c r="D4" s="17">
        <v>11</v>
      </c>
      <c r="E4" s="17">
        <v>3</v>
      </c>
      <c r="F4" s="18">
        <v>42168</v>
      </c>
      <c r="G4" s="18">
        <v>46113</v>
      </c>
      <c r="H4" s="13">
        <v>79747.78</v>
      </c>
      <c r="I4" s="17">
        <v>14.12</v>
      </c>
      <c r="J4" s="17">
        <v>1</v>
      </c>
    </row>
    <row r="5" spans="1:10" x14ac:dyDescent="0.3">
      <c r="A5" s="17" t="s">
        <v>128</v>
      </c>
      <c r="B5" s="17" t="s">
        <v>111</v>
      </c>
      <c r="C5" s="17" t="s">
        <v>125</v>
      </c>
      <c r="D5" s="17">
        <v>10</v>
      </c>
      <c r="E5" s="17">
        <v>2</v>
      </c>
      <c r="F5" s="18">
        <v>43775</v>
      </c>
      <c r="G5" s="18">
        <v>46113</v>
      </c>
      <c r="H5" s="13">
        <v>73284.69</v>
      </c>
      <c r="I5" s="17">
        <v>11.99</v>
      </c>
      <c r="J5" s="17">
        <v>1</v>
      </c>
    </row>
    <row r="6" spans="1:10" x14ac:dyDescent="0.3">
      <c r="A6" s="17" t="s">
        <v>129</v>
      </c>
      <c r="B6" s="17" t="s">
        <v>111</v>
      </c>
      <c r="C6" s="17" t="s">
        <v>130</v>
      </c>
      <c r="D6" s="17">
        <v>10</v>
      </c>
      <c r="E6" s="17">
        <v>4</v>
      </c>
      <c r="F6" s="18">
        <v>44067</v>
      </c>
      <c r="G6" s="18">
        <v>46113</v>
      </c>
      <c r="H6" s="13">
        <v>69538.460000000006</v>
      </c>
      <c r="I6" s="17">
        <v>9.57</v>
      </c>
      <c r="J6" s="17">
        <v>1</v>
      </c>
    </row>
    <row r="7" spans="1:10" x14ac:dyDescent="0.3">
      <c r="A7" s="17" t="s">
        <v>131</v>
      </c>
      <c r="B7" s="17" t="s">
        <v>111</v>
      </c>
      <c r="C7" s="17" t="s">
        <v>125</v>
      </c>
      <c r="D7" s="17">
        <v>9</v>
      </c>
      <c r="E7" s="17">
        <v>5</v>
      </c>
      <c r="F7" s="18">
        <v>44469</v>
      </c>
      <c r="G7" s="18">
        <v>46113</v>
      </c>
      <c r="H7" s="13">
        <v>60248.19</v>
      </c>
      <c r="I7" s="17">
        <v>10.4</v>
      </c>
      <c r="J7" s="17">
        <v>1</v>
      </c>
    </row>
    <row r="8" spans="1:10" x14ac:dyDescent="0.3">
      <c r="A8" s="17" t="s">
        <v>132</v>
      </c>
      <c r="B8" s="17" t="s">
        <v>111</v>
      </c>
      <c r="C8" s="17" t="s">
        <v>125</v>
      </c>
      <c r="D8" s="17">
        <v>7</v>
      </c>
      <c r="E8" s="17">
        <v>5</v>
      </c>
      <c r="F8" s="18">
        <v>44725</v>
      </c>
      <c r="G8" s="18">
        <v>46113</v>
      </c>
      <c r="H8" s="13">
        <v>47983.14</v>
      </c>
      <c r="I8" s="17">
        <v>11.81</v>
      </c>
      <c r="J8" s="17">
        <v>1</v>
      </c>
    </row>
    <row r="9" spans="1:10" x14ac:dyDescent="0.3">
      <c r="A9" s="17" t="s">
        <v>133</v>
      </c>
      <c r="B9" s="17" t="s">
        <v>111</v>
      </c>
      <c r="C9" s="17" t="s">
        <v>125</v>
      </c>
      <c r="D9" s="17">
        <v>11</v>
      </c>
      <c r="E9" s="17">
        <v>2</v>
      </c>
      <c r="F9" s="18">
        <v>44067</v>
      </c>
      <c r="G9" s="18">
        <v>46113</v>
      </c>
      <c r="H9" s="13">
        <v>79273.59</v>
      </c>
      <c r="I9" s="17">
        <v>9.24</v>
      </c>
      <c r="J9" s="17">
        <v>1</v>
      </c>
    </row>
    <row r="10" spans="1:10" x14ac:dyDescent="0.3">
      <c r="A10" s="17" t="s">
        <v>134</v>
      </c>
      <c r="B10" s="17" t="s">
        <v>111</v>
      </c>
      <c r="C10" s="17" t="s">
        <v>125</v>
      </c>
      <c r="D10" s="17">
        <v>8</v>
      </c>
      <c r="E10" s="17">
        <v>3</v>
      </c>
      <c r="F10" s="18">
        <v>44323</v>
      </c>
      <c r="G10" s="18">
        <v>46113</v>
      </c>
      <c r="H10" s="13">
        <v>56597.91</v>
      </c>
      <c r="I10" s="17">
        <v>10.73</v>
      </c>
      <c r="J10" s="17">
        <v>1</v>
      </c>
    </row>
    <row r="11" spans="1:10" x14ac:dyDescent="0.3">
      <c r="A11" s="17" t="s">
        <v>135</v>
      </c>
      <c r="B11" s="17" t="s">
        <v>111</v>
      </c>
      <c r="C11" s="17" t="s">
        <v>125</v>
      </c>
      <c r="D11" s="17">
        <v>10</v>
      </c>
      <c r="E11" s="17">
        <v>3</v>
      </c>
      <c r="F11" s="18">
        <v>42935</v>
      </c>
      <c r="G11" s="18">
        <v>46113</v>
      </c>
      <c r="H11" s="13">
        <v>75607.45</v>
      </c>
      <c r="I11" s="17">
        <v>11.99</v>
      </c>
      <c r="J11" s="17">
        <v>1</v>
      </c>
    </row>
    <row r="12" spans="1:10" x14ac:dyDescent="0.3">
      <c r="A12" s="17" t="s">
        <v>136</v>
      </c>
      <c r="B12" s="17" t="s">
        <v>111</v>
      </c>
      <c r="C12" s="17" t="s">
        <v>125</v>
      </c>
      <c r="D12" s="17">
        <v>7</v>
      </c>
      <c r="E12" s="17">
        <v>2</v>
      </c>
      <c r="F12" s="18">
        <v>45455</v>
      </c>
      <c r="G12" s="18">
        <v>46113</v>
      </c>
      <c r="H12" s="13">
        <v>37697.15</v>
      </c>
      <c r="I12" s="17">
        <v>14.04</v>
      </c>
      <c r="J12" s="17">
        <v>1</v>
      </c>
    </row>
    <row r="13" spans="1:10" x14ac:dyDescent="0.3">
      <c r="A13" s="17" t="s">
        <v>137</v>
      </c>
      <c r="B13" s="17" t="s">
        <v>111</v>
      </c>
      <c r="C13" s="17" t="s">
        <v>125</v>
      </c>
      <c r="D13" s="17">
        <v>9</v>
      </c>
      <c r="E13" s="17">
        <v>3</v>
      </c>
      <c r="F13" s="18">
        <v>43666</v>
      </c>
      <c r="G13" s="18">
        <v>46113</v>
      </c>
      <c r="H13" s="13">
        <v>60920.28</v>
      </c>
      <c r="I13" s="17">
        <v>12.28</v>
      </c>
      <c r="J13" s="17">
        <v>1</v>
      </c>
    </row>
    <row r="14" spans="1:10" x14ac:dyDescent="0.3">
      <c r="A14" s="17" t="s">
        <v>138</v>
      </c>
      <c r="B14" s="17" t="s">
        <v>111</v>
      </c>
      <c r="C14" s="17" t="s">
        <v>130</v>
      </c>
      <c r="D14" s="17">
        <v>8</v>
      </c>
      <c r="E14" s="17">
        <v>3</v>
      </c>
      <c r="F14" s="18">
        <v>43702</v>
      </c>
      <c r="G14" s="18">
        <v>46113</v>
      </c>
      <c r="H14" s="13">
        <v>54828.47</v>
      </c>
      <c r="I14" s="17">
        <v>11.35</v>
      </c>
      <c r="J14" s="17">
        <v>0.6</v>
      </c>
    </row>
    <row r="15" spans="1:10" x14ac:dyDescent="0.3">
      <c r="A15" s="17" t="s">
        <v>139</v>
      </c>
      <c r="B15" s="17" t="s">
        <v>111</v>
      </c>
      <c r="C15" s="17" t="s">
        <v>125</v>
      </c>
      <c r="D15" s="17">
        <v>11</v>
      </c>
      <c r="E15" s="17">
        <v>4</v>
      </c>
      <c r="F15" s="18">
        <v>43629</v>
      </c>
      <c r="G15" s="18">
        <v>46113</v>
      </c>
      <c r="H15" s="13">
        <v>82166.75</v>
      </c>
      <c r="I15" s="17">
        <v>10.34</v>
      </c>
      <c r="J15" s="17">
        <v>1</v>
      </c>
    </row>
    <row r="16" spans="1:10" x14ac:dyDescent="0.3">
      <c r="A16" s="17" t="s">
        <v>140</v>
      </c>
      <c r="B16" s="17" t="s">
        <v>111</v>
      </c>
      <c r="C16" s="17" t="s">
        <v>130</v>
      </c>
      <c r="D16" s="17">
        <v>10</v>
      </c>
      <c r="E16" s="17">
        <v>3</v>
      </c>
      <c r="F16" s="18">
        <v>42862</v>
      </c>
      <c r="G16" s="18">
        <v>46113</v>
      </c>
      <c r="H16" s="13">
        <v>63456.32</v>
      </c>
      <c r="I16" s="17">
        <v>13</v>
      </c>
      <c r="J16" s="17">
        <v>1</v>
      </c>
    </row>
    <row r="17" spans="1:10" x14ac:dyDescent="0.3">
      <c r="A17" s="17" t="s">
        <v>141</v>
      </c>
      <c r="B17" s="17" t="s">
        <v>111</v>
      </c>
      <c r="C17" s="17" t="s">
        <v>130</v>
      </c>
      <c r="D17" s="17">
        <v>9</v>
      </c>
      <c r="E17" s="17">
        <v>3</v>
      </c>
      <c r="F17" s="18">
        <v>43848</v>
      </c>
      <c r="G17" s="18">
        <v>46113</v>
      </c>
      <c r="H17" s="13">
        <v>57317.89</v>
      </c>
      <c r="I17" s="17">
        <v>9.2899999999999991</v>
      </c>
      <c r="J17" s="17">
        <v>1</v>
      </c>
    </row>
    <row r="18" spans="1:10" x14ac:dyDescent="0.3">
      <c r="A18" s="17" t="s">
        <v>142</v>
      </c>
      <c r="B18" s="17" t="s">
        <v>111</v>
      </c>
      <c r="C18" s="17" t="s">
        <v>130</v>
      </c>
      <c r="D18" s="17">
        <v>7</v>
      </c>
      <c r="E18" s="17">
        <v>5</v>
      </c>
      <c r="F18" s="18">
        <v>46259</v>
      </c>
      <c r="G18" s="18">
        <v>46259</v>
      </c>
      <c r="H18" s="13">
        <v>43450.41</v>
      </c>
      <c r="I18" s="17">
        <v>12</v>
      </c>
      <c r="J18" s="17">
        <v>1</v>
      </c>
    </row>
    <row r="19" spans="1:10" x14ac:dyDescent="0.3">
      <c r="A19" s="17" t="s">
        <v>143</v>
      </c>
      <c r="B19" s="17" t="s">
        <v>111</v>
      </c>
      <c r="C19" s="17" t="s">
        <v>130</v>
      </c>
      <c r="D19" s="17">
        <v>10</v>
      </c>
      <c r="E19" s="17">
        <v>5</v>
      </c>
      <c r="F19" s="18">
        <v>42752</v>
      </c>
      <c r="G19" s="18">
        <v>46113</v>
      </c>
      <c r="H19" s="13">
        <v>68966.81</v>
      </c>
      <c r="I19" s="17">
        <v>14.39</v>
      </c>
      <c r="J19" s="17">
        <v>1</v>
      </c>
    </row>
    <row r="20" spans="1:10" x14ac:dyDescent="0.3">
      <c r="A20" s="17" t="s">
        <v>144</v>
      </c>
      <c r="B20" s="17" t="s">
        <v>111</v>
      </c>
      <c r="C20" s="17" t="s">
        <v>130</v>
      </c>
      <c r="D20" s="17">
        <v>11</v>
      </c>
      <c r="E20" s="17">
        <v>2</v>
      </c>
      <c r="F20" s="18">
        <v>42241</v>
      </c>
      <c r="G20" s="18">
        <v>46113</v>
      </c>
      <c r="H20" s="13">
        <v>71069.19</v>
      </c>
      <c r="I20" s="17">
        <v>11.55</v>
      </c>
      <c r="J20" s="17">
        <v>1</v>
      </c>
    </row>
    <row r="21" spans="1:10" x14ac:dyDescent="0.3">
      <c r="A21" s="17" t="s">
        <v>145</v>
      </c>
      <c r="B21" s="17" t="s">
        <v>111</v>
      </c>
      <c r="C21" s="17" t="s">
        <v>125</v>
      </c>
      <c r="D21" s="17">
        <v>10</v>
      </c>
      <c r="E21" s="17">
        <v>3</v>
      </c>
      <c r="F21" s="18">
        <v>42972</v>
      </c>
      <c r="G21" s="18">
        <v>46113</v>
      </c>
      <c r="H21" s="13">
        <v>76201.2</v>
      </c>
      <c r="I21" s="17">
        <v>10.94</v>
      </c>
      <c r="J21" s="17">
        <v>1</v>
      </c>
    </row>
    <row r="22" spans="1:10" x14ac:dyDescent="0.3">
      <c r="A22" s="17" t="s">
        <v>146</v>
      </c>
      <c r="B22" s="17" t="s">
        <v>111</v>
      </c>
      <c r="C22" s="17" t="s">
        <v>125</v>
      </c>
      <c r="D22" s="17">
        <v>7</v>
      </c>
      <c r="E22" s="17">
        <v>2</v>
      </c>
      <c r="F22" s="18">
        <v>44323</v>
      </c>
      <c r="G22" s="18">
        <v>46113</v>
      </c>
      <c r="H22" s="13">
        <v>52386.54</v>
      </c>
      <c r="I22" s="17">
        <v>10.51</v>
      </c>
      <c r="J22" s="17">
        <v>1</v>
      </c>
    </row>
    <row r="23" spans="1:10" x14ac:dyDescent="0.3">
      <c r="A23" s="17" t="s">
        <v>147</v>
      </c>
      <c r="B23" s="17" t="s">
        <v>111</v>
      </c>
      <c r="C23" s="17" t="s">
        <v>125</v>
      </c>
      <c r="D23" s="17">
        <v>7</v>
      </c>
      <c r="E23" s="17">
        <v>3</v>
      </c>
      <c r="F23" s="18">
        <v>46222</v>
      </c>
      <c r="G23" s="18">
        <v>46222</v>
      </c>
      <c r="H23" s="13">
        <v>46464.67</v>
      </c>
      <c r="I23" s="17">
        <v>10.35</v>
      </c>
      <c r="J23" s="17">
        <v>1</v>
      </c>
    </row>
    <row r="24" spans="1:10" x14ac:dyDescent="0.3">
      <c r="A24" s="17" t="s">
        <v>148</v>
      </c>
      <c r="B24" s="17" t="s">
        <v>111</v>
      </c>
      <c r="C24" s="17" t="s">
        <v>125</v>
      </c>
      <c r="D24" s="17">
        <v>8</v>
      </c>
      <c r="E24" s="17">
        <v>3</v>
      </c>
      <c r="F24" s="18">
        <v>44286</v>
      </c>
      <c r="G24" s="18">
        <v>46113</v>
      </c>
      <c r="H24" s="13">
        <v>55509.49</v>
      </c>
      <c r="I24" s="17">
        <v>12.35</v>
      </c>
      <c r="J24" s="17">
        <v>1</v>
      </c>
    </row>
    <row r="25" spans="1:10" x14ac:dyDescent="0.3">
      <c r="A25" s="17" t="s">
        <v>149</v>
      </c>
      <c r="B25" s="17" t="s">
        <v>111</v>
      </c>
      <c r="C25" s="17" t="s">
        <v>125</v>
      </c>
      <c r="D25" s="17">
        <v>8</v>
      </c>
      <c r="E25" s="17">
        <v>3</v>
      </c>
      <c r="F25" s="18">
        <v>44725</v>
      </c>
      <c r="G25" s="18">
        <v>46113</v>
      </c>
      <c r="H25" s="13">
        <v>56305.49</v>
      </c>
      <c r="I25" s="17">
        <v>14.26</v>
      </c>
      <c r="J25" s="17">
        <v>1</v>
      </c>
    </row>
    <row r="26" spans="1:10" x14ac:dyDescent="0.3">
      <c r="A26" s="17" t="s">
        <v>150</v>
      </c>
      <c r="B26" s="17" t="s">
        <v>111</v>
      </c>
      <c r="C26" s="17" t="s">
        <v>125</v>
      </c>
      <c r="D26" s="17">
        <v>8</v>
      </c>
      <c r="E26" s="17">
        <v>4</v>
      </c>
      <c r="F26" s="18">
        <v>44725</v>
      </c>
      <c r="G26" s="18">
        <v>46113</v>
      </c>
      <c r="H26" s="13">
        <v>54180.69</v>
      </c>
      <c r="I26" s="17">
        <v>13.3</v>
      </c>
      <c r="J26" s="17">
        <v>1</v>
      </c>
    </row>
    <row r="27" spans="1:10" x14ac:dyDescent="0.3">
      <c r="A27" s="17" t="s">
        <v>151</v>
      </c>
      <c r="B27" s="17" t="s">
        <v>111</v>
      </c>
      <c r="C27" s="17" t="s">
        <v>130</v>
      </c>
      <c r="D27" s="17">
        <v>9</v>
      </c>
      <c r="E27" s="17">
        <v>3</v>
      </c>
      <c r="F27" s="18">
        <v>43921</v>
      </c>
      <c r="G27" s="18">
        <v>46113</v>
      </c>
      <c r="H27" s="13">
        <v>60172</v>
      </c>
      <c r="I27" s="17">
        <v>13.53</v>
      </c>
      <c r="J27" s="17">
        <v>1</v>
      </c>
    </row>
    <row r="28" spans="1:10" x14ac:dyDescent="0.3">
      <c r="A28" s="17" t="s">
        <v>152</v>
      </c>
      <c r="B28" s="17" t="s">
        <v>111</v>
      </c>
      <c r="C28" s="17" t="s">
        <v>125</v>
      </c>
      <c r="D28" s="17">
        <v>7</v>
      </c>
      <c r="E28" s="17">
        <v>3</v>
      </c>
      <c r="F28" s="18">
        <v>44725</v>
      </c>
      <c r="G28" s="18">
        <v>46113</v>
      </c>
      <c r="H28" s="13">
        <v>50371.31</v>
      </c>
      <c r="I28" s="17">
        <v>14.45</v>
      </c>
      <c r="J28" s="17">
        <v>1</v>
      </c>
    </row>
    <row r="29" spans="1:10" x14ac:dyDescent="0.3">
      <c r="A29" s="17" t="s">
        <v>153</v>
      </c>
      <c r="B29" s="17" t="s">
        <v>111</v>
      </c>
      <c r="C29" s="17" t="s">
        <v>130</v>
      </c>
      <c r="D29" s="17">
        <v>8</v>
      </c>
      <c r="E29" s="17">
        <v>4</v>
      </c>
      <c r="F29" s="18">
        <v>44944</v>
      </c>
      <c r="G29" s="18">
        <v>46113</v>
      </c>
      <c r="H29" s="13">
        <v>50920.11</v>
      </c>
      <c r="I29" s="17">
        <v>9.4700000000000006</v>
      </c>
      <c r="J29" s="17">
        <v>1</v>
      </c>
    </row>
    <row r="30" spans="1:10" x14ac:dyDescent="0.3">
      <c r="A30" s="17" t="s">
        <v>154</v>
      </c>
      <c r="B30" s="17" t="s">
        <v>111</v>
      </c>
      <c r="C30" s="17" t="s">
        <v>125</v>
      </c>
      <c r="D30" s="17">
        <v>11</v>
      </c>
      <c r="E30" s="17">
        <v>4</v>
      </c>
      <c r="F30" s="18">
        <v>43446</v>
      </c>
      <c r="G30" s="18">
        <v>46113</v>
      </c>
      <c r="H30" s="13">
        <v>84421.92</v>
      </c>
      <c r="I30" s="17">
        <v>13.62</v>
      </c>
      <c r="J30" s="17">
        <v>1</v>
      </c>
    </row>
    <row r="31" spans="1:10" x14ac:dyDescent="0.3">
      <c r="A31" s="17" t="s">
        <v>155</v>
      </c>
      <c r="B31" s="17" t="s">
        <v>111</v>
      </c>
      <c r="C31" s="17" t="s">
        <v>125</v>
      </c>
      <c r="D31" s="17">
        <v>10</v>
      </c>
      <c r="E31" s="17">
        <v>2</v>
      </c>
      <c r="F31" s="18">
        <v>43410</v>
      </c>
      <c r="G31" s="18">
        <v>46113</v>
      </c>
      <c r="H31" s="13">
        <v>70060.03</v>
      </c>
      <c r="I31" s="17">
        <v>13.16</v>
      </c>
      <c r="J31" s="17">
        <v>1</v>
      </c>
    </row>
    <row r="32" spans="1:10" x14ac:dyDescent="0.3">
      <c r="A32" s="17" t="s">
        <v>156</v>
      </c>
      <c r="B32" s="17" t="s">
        <v>111</v>
      </c>
      <c r="C32" s="17" t="s">
        <v>125</v>
      </c>
      <c r="D32" s="17">
        <v>10</v>
      </c>
      <c r="E32" s="17">
        <v>4</v>
      </c>
      <c r="F32" s="18">
        <v>43775</v>
      </c>
      <c r="G32" s="18">
        <v>46113</v>
      </c>
      <c r="H32" s="13">
        <v>68396.75</v>
      </c>
      <c r="I32" s="17">
        <v>14.13</v>
      </c>
      <c r="J32" s="17">
        <v>1</v>
      </c>
    </row>
    <row r="33" spans="1:10" x14ac:dyDescent="0.3">
      <c r="A33" s="17" t="s">
        <v>157</v>
      </c>
      <c r="B33" s="17" t="s">
        <v>111</v>
      </c>
      <c r="C33" s="17" t="s">
        <v>125</v>
      </c>
      <c r="D33" s="17">
        <v>10</v>
      </c>
      <c r="E33" s="17">
        <v>5</v>
      </c>
      <c r="F33" s="18">
        <v>42789</v>
      </c>
      <c r="G33" s="18">
        <v>46113</v>
      </c>
      <c r="H33" s="13">
        <v>73003.259999999995</v>
      </c>
      <c r="I33" s="17">
        <v>12.38</v>
      </c>
      <c r="J33" s="17">
        <v>1</v>
      </c>
    </row>
    <row r="34" spans="1:10" x14ac:dyDescent="0.3">
      <c r="A34" s="17" t="s">
        <v>158</v>
      </c>
      <c r="B34" s="17" t="s">
        <v>111</v>
      </c>
      <c r="C34" s="17" t="s">
        <v>125</v>
      </c>
      <c r="D34" s="17">
        <v>8</v>
      </c>
      <c r="E34" s="17">
        <v>4</v>
      </c>
      <c r="F34" s="18">
        <v>44798</v>
      </c>
      <c r="G34" s="18">
        <v>46113</v>
      </c>
      <c r="H34" s="13">
        <v>59464.14</v>
      </c>
      <c r="I34" s="17">
        <v>13.96</v>
      </c>
      <c r="J34" s="17">
        <v>1</v>
      </c>
    </row>
    <row r="35" spans="1:10" x14ac:dyDescent="0.3">
      <c r="A35" s="17" t="s">
        <v>159</v>
      </c>
      <c r="B35" s="17" t="s">
        <v>111</v>
      </c>
      <c r="C35" s="17" t="s">
        <v>125</v>
      </c>
      <c r="D35" s="17">
        <v>8</v>
      </c>
      <c r="E35" s="17">
        <v>4</v>
      </c>
      <c r="F35" s="18">
        <v>43666</v>
      </c>
      <c r="G35" s="18">
        <v>46113</v>
      </c>
      <c r="H35" s="13">
        <v>63717.919999999998</v>
      </c>
      <c r="I35" s="17">
        <v>13.32</v>
      </c>
      <c r="J35" s="17">
        <v>1</v>
      </c>
    </row>
    <row r="36" spans="1:10" x14ac:dyDescent="0.3">
      <c r="A36" s="17" t="s">
        <v>160</v>
      </c>
      <c r="B36" s="17" t="s">
        <v>111</v>
      </c>
      <c r="C36" s="17" t="s">
        <v>125</v>
      </c>
      <c r="D36" s="17">
        <v>8</v>
      </c>
      <c r="E36" s="17">
        <v>3</v>
      </c>
      <c r="F36" s="18">
        <v>45674</v>
      </c>
      <c r="G36" s="18">
        <v>46113</v>
      </c>
      <c r="H36" s="13">
        <v>41709.870000000003</v>
      </c>
      <c r="I36" s="17">
        <v>9.83</v>
      </c>
      <c r="J36" s="17">
        <v>1</v>
      </c>
    </row>
    <row r="37" spans="1:10" x14ac:dyDescent="0.3">
      <c r="A37" s="17" t="s">
        <v>161</v>
      </c>
      <c r="B37" s="17" t="s">
        <v>111</v>
      </c>
      <c r="C37" s="17" t="s">
        <v>125</v>
      </c>
      <c r="D37" s="17">
        <v>10</v>
      </c>
      <c r="E37" s="17">
        <v>3</v>
      </c>
      <c r="F37" s="18">
        <v>42862</v>
      </c>
      <c r="G37" s="18">
        <v>46113</v>
      </c>
      <c r="H37" s="13">
        <v>69584.509999999995</v>
      </c>
      <c r="I37" s="17">
        <v>12.47</v>
      </c>
      <c r="J37" s="17">
        <v>1</v>
      </c>
    </row>
    <row r="38" spans="1:10" x14ac:dyDescent="0.3">
      <c r="A38" s="17" t="s">
        <v>162</v>
      </c>
      <c r="B38" s="17" t="s">
        <v>111</v>
      </c>
      <c r="C38" s="17" t="s">
        <v>125</v>
      </c>
      <c r="D38" s="17">
        <v>11</v>
      </c>
      <c r="E38" s="17">
        <v>3</v>
      </c>
      <c r="F38" s="18">
        <v>42460</v>
      </c>
      <c r="G38" s="18">
        <v>46113</v>
      </c>
      <c r="H38" s="13">
        <v>86073.94</v>
      </c>
      <c r="I38" s="17">
        <v>11.37</v>
      </c>
      <c r="J38" s="17">
        <v>1</v>
      </c>
    </row>
    <row r="39" spans="1:10" x14ac:dyDescent="0.3">
      <c r="A39" s="17" t="s">
        <v>163</v>
      </c>
      <c r="B39" s="17" t="s">
        <v>111</v>
      </c>
      <c r="C39" s="17" t="s">
        <v>130</v>
      </c>
      <c r="D39" s="17">
        <v>7</v>
      </c>
      <c r="E39" s="17">
        <v>3</v>
      </c>
      <c r="F39" s="18">
        <v>44688</v>
      </c>
      <c r="G39" s="18">
        <v>46113</v>
      </c>
      <c r="H39" s="13">
        <v>43239.91</v>
      </c>
      <c r="I39" s="17">
        <v>13.46</v>
      </c>
      <c r="J39" s="17">
        <v>1</v>
      </c>
    </row>
    <row r="40" spans="1:10" x14ac:dyDescent="0.3">
      <c r="A40" s="17" t="s">
        <v>164</v>
      </c>
      <c r="B40" s="17" t="s">
        <v>111</v>
      </c>
      <c r="C40" s="17" t="s">
        <v>130</v>
      </c>
      <c r="D40" s="17">
        <v>8</v>
      </c>
      <c r="E40" s="17">
        <v>2</v>
      </c>
      <c r="F40" s="18">
        <v>45163</v>
      </c>
      <c r="G40" s="18">
        <v>46113</v>
      </c>
      <c r="H40" s="13">
        <v>42458.25</v>
      </c>
      <c r="I40" s="17">
        <v>13.7</v>
      </c>
      <c r="J40" s="17">
        <v>1</v>
      </c>
    </row>
    <row r="41" spans="1:10" x14ac:dyDescent="0.3">
      <c r="A41" s="17" t="s">
        <v>165</v>
      </c>
      <c r="B41" s="17" t="s">
        <v>111</v>
      </c>
      <c r="C41" s="17" t="s">
        <v>125</v>
      </c>
      <c r="D41" s="17">
        <v>12</v>
      </c>
      <c r="E41" s="17">
        <v>3</v>
      </c>
      <c r="F41" s="18">
        <v>42752</v>
      </c>
      <c r="G41" s="18">
        <v>46113</v>
      </c>
      <c r="H41" s="13">
        <v>100078.79</v>
      </c>
      <c r="I41" s="17">
        <v>11.49</v>
      </c>
      <c r="J41" s="17">
        <v>1</v>
      </c>
    </row>
    <row r="42" spans="1:10" x14ac:dyDescent="0.3">
      <c r="A42" s="17" t="s">
        <v>166</v>
      </c>
      <c r="B42" s="17" t="s">
        <v>111</v>
      </c>
      <c r="C42" s="17" t="s">
        <v>125</v>
      </c>
      <c r="D42" s="17">
        <v>9</v>
      </c>
      <c r="E42" s="17">
        <v>3</v>
      </c>
      <c r="F42" s="18">
        <v>44725</v>
      </c>
      <c r="G42" s="18">
        <v>46113</v>
      </c>
      <c r="H42" s="13">
        <v>64977.74</v>
      </c>
      <c r="I42" s="17">
        <v>12.03</v>
      </c>
      <c r="J42" s="17">
        <v>1</v>
      </c>
    </row>
    <row r="43" spans="1:10" x14ac:dyDescent="0.3">
      <c r="A43" s="17" t="s">
        <v>167</v>
      </c>
      <c r="B43" s="17" t="s">
        <v>111</v>
      </c>
      <c r="C43" s="17" t="s">
        <v>125</v>
      </c>
      <c r="D43" s="17">
        <v>11</v>
      </c>
      <c r="E43" s="17">
        <v>3</v>
      </c>
      <c r="F43" s="18">
        <v>42460</v>
      </c>
      <c r="G43" s="18">
        <v>46113</v>
      </c>
      <c r="H43" s="13">
        <v>87312.07</v>
      </c>
      <c r="I43" s="17">
        <v>9.75</v>
      </c>
      <c r="J43" s="17">
        <v>1</v>
      </c>
    </row>
    <row r="44" spans="1:10" x14ac:dyDescent="0.3">
      <c r="A44" s="17" t="s">
        <v>168</v>
      </c>
      <c r="B44" s="17" t="s">
        <v>111</v>
      </c>
      <c r="C44" s="17" t="s">
        <v>130</v>
      </c>
      <c r="D44" s="17">
        <v>11</v>
      </c>
      <c r="E44" s="17">
        <v>5</v>
      </c>
      <c r="F44" s="18">
        <v>43848</v>
      </c>
      <c r="G44" s="18">
        <v>46113</v>
      </c>
      <c r="H44" s="13">
        <v>76375.75</v>
      </c>
      <c r="I44" s="17">
        <v>9.7200000000000006</v>
      </c>
      <c r="J44" s="17">
        <v>1</v>
      </c>
    </row>
    <row r="45" spans="1:10" x14ac:dyDescent="0.3">
      <c r="A45" s="17" t="s">
        <v>169</v>
      </c>
      <c r="B45" s="17" t="s">
        <v>111</v>
      </c>
      <c r="C45" s="17" t="s">
        <v>125</v>
      </c>
      <c r="D45" s="17">
        <v>10</v>
      </c>
      <c r="E45" s="17">
        <v>3</v>
      </c>
      <c r="F45" s="18">
        <v>43666</v>
      </c>
      <c r="G45" s="18">
        <v>46113</v>
      </c>
      <c r="H45" s="13">
        <v>79548.88</v>
      </c>
      <c r="I45" s="17">
        <v>10.99</v>
      </c>
      <c r="J45" s="17">
        <v>1</v>
      </c>
    </row>
    <row r="46" spans="1:10" x14ac:dyDescent="0.3">
      <c r="A46" s="17" t="s">
        <v>170</v>
      </c>
      <c r="B46" s="17" t="s">
        <v>109</v>
      </c>
      <c r="C46" s="17" t="s">
        <v>130</v>
      </c>
      <c r="D46" s="17">
        <v>7</v>
      </c>
      <c r="E46" s="17">
        <v>5</v>
      </c>
      <c r="F46" s="18">
        <v>44615</v>
      </c>
      <c r="G46" s="18">
        <v>46113</v>
      </c>
      <c r="H46" s="13">
        <v>50156.33</v>
      </c>
      <c r="I46" s="17">
        <v>7.29</v>
      </c>
      <c r="J46" s="17">
        <v>1</v>
      </c>
    </row>
    <row r="47" spans="1:10" x14ac:dyDescent="0.3">
      <c r="A47" s="17" t="s">
        <v>171</v>
      </c>
      <c r="B47" s="17" t="s">
        <v>109</v>
      </c>
      <c r="C47" s="17" t="s">
        <v>125</v>
      </c>
      <c r="D47" s="17">
        <v>8</v>
      </c>
      <c r="E47" s="17">
        <v>2</v>
      </c>
      <c r="F47" s="18">
        <v>44469</v>
      </c>
      <c r="G47" s="18">
        <v>46113</v>
      </c>
      <c r="H47" s="13">
        <v>57638.34</v>
      </c>
      <c r="I47" s="17">
        <v>6.86</v>
      </c>
      <c r="J47" s="17">
        <v>1</v>
      </c>
    </row>
    <row r="48" spans="1:10" x14ac:dyDescent="0.3">
      <c r="A48" s="17" t="s">
        <v>172</v>
      </c>
      <c r="B48" s="17" t="s">
        <v>109</v>
      </c>
      <c r="C48" s="17" t="s">
        <v>125</v>
      </c>
      <c r="D48" s="17">
        <v>7</v>
      </c>
      <c r="E48" s="17">
        <v>5</v>
      </c>
      <c r="F48" s="18">
        <v>44433</v>
      </c>
      <c r="G48" s="18">
        <v>46113</v>
      </c>
      <c r="H48" s="13">
        <v>52190.92</v>
      </c>
      <c r="I48" s="17">
        <v>7.22</v>
      </c>
      <c r="J48" s="17">
        <v>0.6</v>
      </c>
    </row>
    <row r="49" spans="1:10" x14ac:dyDescent="0.3">
      <c r="A49" s="17" t="s">
        <v>173</v>
      </c>
      <c r="B49" s="17" t="s">
        <v>109</v>
      </c>
      <c r="C49" s="17" t="s">
        <v>125</v>
      </c>
      <c r="D49" s="17">
        <v>8</v>
      </c>
      <c r="E49" s="17">
        <v>3</v>
      </c>
      <c r="F49" s="18">
        <v>42935</v>
      </c>
      <c r="G49" s="18">
        <v>46113</v>
      </c>
      <c r="H49" s="13">
        <v>60911.89</v>
      </c>
      <c r="I49" s="17">
        <v>6.19</v>
      </c>
      <c r="J49" s="17">
        <v>1</v>
      </c>
    </row>
    <row r="50" spans="1:10" x14ac:dyDescent="0.3">
      <c r="A50" s="17" t="s">
        <v>174</v>
      </c>
      <c r="B50" s="17" t="s">
        <v>109</v>
      </c>
      <c r="C50" s="17" t="s">
        <v>125</v>
      </c>
      <c r="D50" s="17">
        <v>9</v>
      </c>
      <c r="E50" s="17">
        <v>2</v>
      </c>
      <c r="F50" s="18">
        <v>42862</v>
      </c>
      <c r="G50" s="18">
        <v>46113</v>
      </c>
      <c r="H50" s="13">
        <v>71085.13</v>
      </c>
      <c r="I50" s="17">
        <v>8.5299999999999994</v>
      </c>
      <c r="J50" s="17">
        <v>1</v>
      </c>
    </row>
    <row r="51" spans="1:10" x14ac:dyDescent="0.3">
      <c r="A51" s="17" t="s">
        <v>175</v>
      </c>
      <c r="B51" s="17" t="s">
        <v>109</v>
      </c>
      <c r="C51" s="17" t="s">
        <v>125</v>
      </c>
      <c r="D51" s="17">
        <v>6</v>
      </c>
      <c r="E51" s="17">
        <v>3</v>
      </c>
      <c r="F51" s="18">
        <v>45017</v>
      </c>
      <c r="G51" s="18">
        <v>46113</v>
      </c>
      <c r="H51" s="13">
        <v>32807.360000000001</v>
      </c>
      <c r="I51" s="17">
        <v>6.13</v>
      </c>
      <c r="J51" s="17">
        <v>1</v>
      </c>
    </row>
    <row r="52" spans="1:10" x14ac:dyDescent="0.3">
      <c r="A52" s="17" t="s">
        <v>176</v>
      </c>
      <c r="B52" s="17" t="s">
        <v>109</v>
      </c>
      <c r="C52" s="17" t="s">
        <v>125</v>
      </c>
      <c r="D52" s="17">
        <v>6</v>
      </c>
      <c r="E52" s="17">
        <v>3</v>
      </c>
      <c r="F52" s="18">
        <v>44067</v>
      </c>
      <c r="G52" s="18">
        <v>46113</v>
      </c>
      <c r="H52" s="13">
        <v>44771.96</v>
      </c>
      <c r="I52" s="17">
        <v>6.71</v>
      </c>
      <c r="J52" s="17">
        <v>1</v>
      </c>
    </row>
    <row r="53" spans="1:10" x14ac:dyDescent="0.3">
      <c r="A53" s="17" t="s">
        <v>177</v>
      </c>
      <c r="B53" s="17" t="s">
        <v>109</v>
      </c>
      <c r="C53" s="17" t="s">
        <v>125</v>
      </c>
      <c r="D53" s="17">
        <v>7</v>
      </c>
      <c r="E53" s="17">
        <v>4</v>
      </c>
      <c r="F53" s="18">
        <v>44542</v>
      </c>
      <c r="G53" s="18">
        <v>46113</v>
      </c>
      <c r="H53" s="13">
        <v>53501.15</v>
      </c>
      <c r="I53" s="17">
        <v>6.55</v>
      </c>
      <c r="J53" s="17">
        <v>1</v>
      </c>
    </row>
    <row r="54" spans="1:10" x14ac:dyDescent="0.3">
      <c r="A54" s="17" t="s">
        <v>178</v>
      </c>
      <c r="B54" s="17" t="s">
        <v>109</v>
      </c>
      <c r="C54" s="17" t="s">
        <v>125</v>
      </c>
      <c r="D54" s="17">
        <v>5</v>
      </c>
      <c r="E54" s="17">
        <v>4</v>
      </c>
      <c r="F54" s="18">
        <v>44834</v>
      </c>
      <c r="G54" s="18">
        <v>46113</v>
      </c>
      <c r="H54" s="13">
        <v>38320.370000000003</v>
      </c>
      <c r="I54" s="17">
        <v>7.81</v>
      </c>
      <c r="J54" s="17">
        <v>1</v>
      </c>
    </row>
    <row r="55" spans="1:10" x14ac:dyDescent="0.3">
      <c r="A55" s="17" t="s">
        <v>179</v>
      </c>
      <c r="B55" s="17" t="s">
        <v>109</v>
      </c>
      <c r="C55" s="17" t="s">
        <v>130</v>
      </c>
      <c r="D55" s="17">
        <v>6</v>
      </c>
      <c r="E55" s="17">
        <v>2</v>
      </c>
      <c r="F55" s="18">
        <v>45638</v>
      </c>
      <c r="G55" s="18">
        <v>46113</v>
      </c>
      <c r="H55" s="13">
        <v>41946.6</v>
      </c>
      <c r="I55" s="17">
        <v>8.3000000000000007</v>
      </c>
      <c r="J55" s="17">
        <v>1</v>
      </c>
    </row>
    <row r="56" spans="1:10" x14ac:dyDescent="0.3">
      <c r="A56" s="17" t="s">
        <v>180</v>
      </c>
      <c r="B56" s="17" t="s">
        <v>109</v>
      </c>
      <c r="C56" s="17" t="s">
        <v>130</v>
      </c>
      <c r="D56" s="17">
        <v>7</v>
      </c>
      <c r="E56" s="17">
        <v>3</v>
      </c>
      <c r="F56" s="18">
        <v>44323</v>
      </c>
      <c r="G56" s="18">
        <v>46113</v>
      </c>
      <c r="H56" s="13">
        <v>53206</v>
      </c>
      <c r="I56" s="17">
        <v>7.33</v>
      </c>
      <c r="J56" s="17">
        <v>1</v>
      </c>
    </row>
    <row r="57" spans="1:10" x14ac:dyDescent="0.3">
      <c r="A57" s="17" t="s">
        <v>181</v>
      </c>
      <c r="B57" s="17" t="s">
        <v>109</v>
      </c>
      <c r="C57" s="17" t="s">
        <v>130</v>
      </c>
      <c r="D57" s="17">
        <v>5</v>
      </c>
      <c r="E57" s="17">
        <v>3</v>
      </c>
      <c r="F57" s="18">
        <v>45382</v>
      </c>
      <c r="G57" s="18">
        <v>46113</v>
      </c>
      <c r="H57" s="13">
        <v>40728.370000000003</v>
      </c>
      <c r="I57" s="17">
        <v>9.11</v>
      </c>
      <c r="J57" s="17">
        <v>1</v>
      </c>
    </row>
    <row r="58" spans="1:10" x14ac:dyDescent="0.3">
      <c r="A58" s="17" t="s">
        <v>182</v>
      </c>
      <c r="B58" s="17" t="s">
        <v>109</v>
      </c>
      <c r="C58" s="17" t="s">
        <v>125</v>
      </c>
      <c r="D58" s="17">
        <v>6</v>
      </c>
      <c r="E58" s="17">
        <v>3</v>
      </c>
      <c r="F58" s="18">
        <v>44140</v>
      </c>
      <c r="G58" s="18">
        <v>46113</v>
      </c>
      <c r="H58" s="13">
        <v>48013.42</v>
      </c>
      <c r="I58" s="17">
        <v>7.98</v>
      </c>
      <c r="J58" s="17">
        <v>1</v>
      </c>
    </row>
    <row r="59" spans="1:10" x14ac:dyDescent="0.3">
      <c r="A59" s="17" t="s">
        <v>183</v>
      </c>
      <c r="B59" s="17" t="s">
        <v>109</v>
      </c>
      <c r="C59" s="17" t="s">
        <v>125</v>
      </c>
      <c r="D59" s="17">
        <v>8</v>
      </c>
      <c r="E59" s="17">
        <v>3</v>
      </c>
      <c r="F59" s="18">
        <v>42862</v>
      </c>
      <c r="G59" s="18">
        <v>46113</v>
      </c>
      <c r="H59" s="13">
        <v>60320.95</v>
      </c>
      <c r="I59" s="17">
        <v>8.3699999999999992</v>
      </c>
      <c r="J59" s="17">
        <v>0.8</v>
      </c>
    </row>
    <row r="60" spans="1:10" x14ac:dyDescent="0.3">
      <c r="A60" s="17" t="s">
        <v>184</v>
      </c>
      <c r="B60" s="17" t="s">
        <v>109</v>
      </c>
      <c r="C60" s="17" t="s">
        <v>130</v>
      </c>
      <c r="D60" s="17">
        <v>8</v>
      </c>
      <c r="E60" s="17">
        <v>4</v>
      </c>
      <c r="F60" s="18">
        <v>43154</v>
      </c>
      <c r="G60" s="18">
        <v>46113</v>
      </c>
      <c r="H60" s="13">
        <v>58379.25</v>
      </c>
      <c r="I60" s="17">
        <v>6.2</v>
      </c>
      <c r="J60" s="17">
        <v>1</v>
      </c>
    </row>
    <row r="61" spans="1:10" x14ac:dyDescent="0.3">
      <c r="A61" s="17" t="s">
        <v>185</v>
      </c>
      <c r="B61" s="17" t="s">
        <v>109</v>
      </c>
      <c r="C61" s="17" t="s">
        <v>130</v>
      </c>
      <c r="D61" s="17">
        <v>5</v>
      </c>
      <c r="E61" s="17">
        <v>3</v>
      </c>
      <c r="F61" s="18">
        <v>45894</v>
      </c>
      <c r="G61" s="18">
        <v>46113</v>
      </c>
      <c r="H61" s="13">
        <v>41313.31</v>
      </c>
      <c r="I61" s="17">
        <v>8.39</v>
      </c>
      <c r="J61" s="17">
        <v>1</v>
      </c>
    </row>
    <row r="62" spans="1:10" x14ac:dyDescent="0.3">
      <c r="A62" s="17" t="s">
        <v>186</v>
      </c>
      <c r="B62" s="17" t="s">
        <v>109</v>
      </c>
      <c r="C62" s="17" t="s">
        <v>130</v>
      </c>
      <c r="D62" s="17">
        <v>5</v>
      </c>
      <c r="E62" s="17">
        <v>3</v>
      </c>
      <c r="F62" s="18">
        <v>44944</v>
      </c>
      <c r="G62" s="18">
        <v>46113</v>
      </c>
      <c r="H62" s="13">
        <v>37979.07</v>
      </c>
      <c r="I62" s="17">
        <v>9.44</v>
      </c>
      <c r="J62" s="17">
        <v>1</v>
      </c>
    </row>
    <row r="63" spans="1:10" x14ac:dyDescent="0.3">
      <c r="A63" s="17" t="s">
        <v>187</v>
      </c>
      <c r="B63" s="17" t="s">
        <v>109</v>
      </c>
      <c r="C63" s="17" t="s">
        <v>130</v>
      </c>
      <c r="D63" s="17">
        <v>6</v>
      </c>
      <c r="E63" s="17">
        <v>4</v>
      </c>
      <c r="F63" s="18">
        <v>43666</v>
      </c>
      <c r="G63" s="18">
        <v>46113</v>
      </c>
      <c r="H63" s="13">
        <v>48199.92</v>
      </c>
      <c r="I63" s="17">
        <v>9.33</v>
      </c>
      <c r="J63" s="17">
        <v>1</v>
      </c>
    </row>
    <row r="64" spans="1:10" x14ac:dyDescent="0.3">
      <c r="A64" s="17" t="s">
        <v>188</v>
      </c>
      <c r="B64" s="17" t="s">
        <v>109</v>
      </c>
      <c r="C64" s="17" t="s">
        <v>130</v>
      </c>
      <c r="D64" s="17">
        <v>5</v>
      </c>
      <c r="E64" s="17">
        <v>2</v>
      </c>
      <c r="F64" s="18">
        <v>45711</v>
      </c>
      <c r="G64" s="18">
        <v>46113</v>
      </c>
      <c r="H64" s="13">
        <v>37058.730000000003</v>
      </c>
      <c r="I64" s="17">
        <v>9.99</v>
      </c>
      <c r="J64" s="17">
        <v>1</v>
      </c>
    </row>
    <row r="65" spans="1:10" x14ac:dyDescent="0.3">
      <c r="A65" s="17" t="s">
        <v>189</v>
      </c>
      <c r="B65" s="17" t="s">
        <v>109</v>
      </c>
      <c r="C65" s="17" t="s">
        <v>125</v>
      </c>
      <c r="D65" s="17">
        <v>5</v>
      </c>
      <c r="E65" s="17">
        <v>3</v>
      </c>
      <c r="F65" s="18">
        <v>46300</v>
      </c>
      <c r="G65" s="18">
        <v>46300</v>
      </c>
      <c r="H65" s="13">
        <v>38696.519999999997</v>
      </c>
      <c r="I65" s="17">
        <v>7.97</v>
      </c>
      <c r="J65" s="17">
        <v>1</v>
      </c>
    </row>
    <row r="66" spans="1:10" x14ac:dyDescent="0.3">
      <c r="A66" s="17" t="s">
        <v>190</v>
      </c>
      <c r="B66" s="17" t="s">
        <v>109</v>
      </c>
      <c r="C66" s="17" t="s">
        <v>130</v>
      </c>
      <c r="D66" s="17">
        <v>5</v>
      </c>
      <c r="E66" s="17">
        <v>2</v>
      </c>
      <c r="F66" s="18">
        <v>44980</v>
      </c>
      <c r="G66" s="18">
        <v>46113</v>
      </c>
      <c r="H66" s="13">
        <v>39425.93</v>
      </c>
      <c r="I66" s="17">
        <v>6.51</v>
      </c>
      <c r="J66" s="17">
        <v>1</v>
      </c>
    </row>
    <row r="67" spans="1:10" x14ac:dyDescent="0.3">
      <c r="A67" s="17" t="s">
        <v>191</v>
      </c>
      <c r="B67" s="17" t="s">
        <v>109</v>
      </c>
      <c r="C67" s="17" t="s">
        <v>130</v>
      </c>
      <c r="D67" s="17">
        <v>6</v>
      </c>
      <c r="E67" s="17">
        <v>3</v>
      </c>
      <c r="F67" s="18">
        <v>45857</v>
      </c>
      <c r="G67" s="18">
        <v>46113</v>
      </c>
      <c r="H67" s="13">
        <v>43435.62</v>
      </c>
      <c r="I67" s="17">
        <v>6.23</v>
      </c>
      <c r="J67" s="17">
        <v>1</v>
      </c>
    </row>
    <row r="68" spans="1:10" x14ac:dyDescent="0.3">
      <c r="A68" s="17" t="s">
        <v>192</v>
      </c>
      <c r="B68" s="17" t="s">
        <v>109</v>
      </c>
      <c r="C68" s="17" t="s">
        <v>125</v>
      </c>
      <c r="D68" s="17">
        <v>9</v>
      </c>
      <c r="E68" s="17">
        <v>4</v>
      </c>
      <c r="F68" s="18">
        <v>44031</v>
      </c>
      <c r="G68" s="18">
        <v>46113</v>
      </c>
      <c r="H68" s="13">
        <v>73721.759999999995</v>
      </c>
      <c r="I68" s="17">
        <v>9.7100000000000009</v>
      </c>
      <c r="J68" s="17">
        <v>1</v>
      </c>
    </row>
    <row r="69" spans="1:10" x14ac:dyDescent="0.3">
      <c r="A69" s="17" t="s">
        <v>193</v>
      </c>
      <c r="B69" s="17" t="s">
        <v>109</v>
      </c>
      <c r="C69" s="17" t="s">
        <v>130</v>
      </c>
      <c r="D69" s="17">
        <v>10</v>
      </c>
      <c r="E69" s="17">
        <v>3</v>
      </c>
      <c r="F69" s="18">
        <v>43519</v>
      </c>
      <c r="G69" s="18">
        <v>46113</v>
      </c>
      <c r="H69" s="13">
        <v>72303.960000000006</v>
      </c>
      <c r="I69" s="17">
        <v>8.56</v>
      </c>
      <c r="J69" s="17">
        <v>1</v>
      </c>
    </row>
    <row r="70" spans="1:10" x14ac:dyDescent="0.3">
      <c r="A70" s="17" t="s">
        <v>194</v>
      </c>
      <c r="B70" s="17" t="s">
        <v>109</v>
      </c>
      <c r="C70" s="17" t="s">
        <v>130</v>
      </c>
      <c r="D70" s="17">
        <v>5</v>
      </c>
      <c r="E70" s="17">
        <v>4</v>
      </c>
      <c r="F70" s="18">
        <v>45273</v>
      </c>
      <c r="G70" s="18">
        <v>46113</v>
      </c>
      <c r="H70" s="13">
        <v>38097.769999999997</v>
      </c>
      <c r="I70" s="17">
        <v>8.92</v>
      </c>
      <c r="J70" s="17">
        <v>1</v>
      </c>
    </row>
    <row r="71" spans="1:10" x14ac:dyDescent="0.3">
      <c r="A71" s="17" t="s">
        <v>195</v>
      </c>
      <c r="B71" s="17" t="s">
        <v>109</v>
      </c>
      <c r="C71" s="17" t="s">
        <v>125</v>
      </c>
      <c r="D71" s="17">
        <v>7</v>
      </c>
      <c r="E71" s="17">
        <v>4</v>
      </c>
      <c r="F71" s="18">
        <v>44615</v>
      </c>
      <c r="G71" s="18">
        <v>46113</v>
      </c>
      <c r="H71" s="13">
        <v>52223.48</v>
      </c>
      <c r="I71" s="17">
        <v>9.99</v>
      </c>
      <c r="J71" s="17">
        <v>1</v>
      </c>
    </row>
    <row r="72" spans="1:10" x14ac:dyDescent="0.3">
      <c r="A72" s="17" t="s">
        <v>196</v>
      </c>
      <c r="B72" s="17" t="s">
        <v>109</v>
      </c>
      <c r="C72" s="17" t="s">
        <v>130</v>
      </c>
      <c r="D72" s="17">
        <v>6</v>
      </c>
      <c r="E72" s="17">
        <v>3</v>
      </c>
      <c r="F72" s="18">
        <v>45054</v>
      </c>
      <c r="G72" s="18">
        <v>46113</v>
      </c>
      <c r="H72" s="13">
        <v>46899.73</v>
      </c>
      <c r="I72" s="17">
        <v>7.93</v>
      </c>
      <c r="J72" s="17">
        <v>1</v>
      </c>
    </row>
    <row r="73" spans="1:10" x14ac:dyDescent="0.3">
      <c r="A73" s="17" t="s">
        <v>197</v>
      </c>
      <c r="B73" s="17" t="s">
        <v>109</v>
      </c>
      <c r="C73" s="17" t="s">
        <v>130</v>
      </c>
      <c r="D73" s="17">
        <v>6</v>
      </c>
      <c r="E73" s="17">
        <v>2</v>
      </c>
      <c r="F73" s="18">
        <v>44067</v>
      </c>
      <c r="G73" s="18">
        <v>46113</v>
      </c>
      <c r="H73" s="13">
        <v>46883.03</v>
      </c>
      <c r="I73" s="17">
        <v>8.2899999999999991</v>
      </c>
      <c r="J73" s="17">
        <v>1</v>
      </c>
    </row>
    <row r="74" spans="1:10" x14ac:dyDescent="0.3">
      <c r="A74" s="17" t="s">
        <v>198</v>
      </c>
      <c r="B74" s="17" t="s">
        <v>109</v>
      </c>
      <c r="C74" s="17" t="s">
        <v>125</v>
      </c>
      <c r="D74" s="17">
        <v>8</v>
      </c>
      <c r="E74" s="17">
        <v>4</v>
      </c>
      <c r="F74" s="18">
        <v>43227</v>
      </c>
      <c r="G74" s="18">
        <v>46113</v>
      </c>
      <c r="H74" s="13">
        <v>60207.88</v>
      </c>
      <c r="I74" s="17">
        <v>7.5</v>
      </c>
      <c r="J74" s="17">
        <v>1</v>
      </c>
    </row>
    <row r="75" spans="1:10" x14ac:dyDescent="0.3">
      <c r="A75" s="17" t="s">
        <v>199</v>
      </c>
      <c r="B75" s="17" t="s">
        <v>109</v>
      </c>
      <c r="C75" s="17" t="s">
        <v>130</v>
      </c>
      <c r="D75" s="17">
        <v>6</v>
      </c>
      <c r="E75" s="17">
        <v>3</v>
      </c>
      <c r="F75" s="18">
        <v>44469</v>
      </c>
      <c r="G75" s="18">
        <v>46113</v>
      </c>
      <c r="H75" s="13">
        <v>40428.870000000003</v>
      </c>
      <c r="I75" s="17">
        <v>8.5299999999999994</v>
      </c>
      <c r="J75" s="17">
        <v>1</v>
      </c>
    </row>
    <row r="76" spans="1:10" x14ac:dyDescent="0.3">
      <c r="A76" s="17" t="s">
        <v>200</v>
      </c>
      <c r="B76" s="17" t="s">
        <v>109</v>
      </c>
      <c r="C76" s="17" t="s">
        <v>130</v>
      </c>
      <c r="D76" s="17">
        <v>7</v>
      </c>
      <c r="E76" s="17">
        <v>2</v>
      </c>
      <c r="F76" s="18">
        <v>45273</v>
      </c>
      <c r="G76" s="18">
        <v>46113</v>
      </c>
      <c r="H76" s="13">
        <v>39000.68</v>
      </c>
      <c r="I76" s="17">
        <v>6.42</v>
      </c>
      <c r="J76" s="17">
        <v>1</v>
      </c>
    </row>
    <row r="77" spans="1:10" x14ac:dyDescent="0.3">
      <c r="A77" s="17" t="s">
        <v>201</v>
      </c>
      <c r="B77" s="17" t="s">
        <v>109</v>
      </c>
      <c r="C77" s="17" t="s">
        <v>125</v>
      </c>
      <c r="D77" s="17">
        <v>5</v>
      </c>
      <c r="E77" s="17">
        <v>5</v>
      </c>
      <c r="F77" s="18">
        <v>44360</v>
      </c>
      <c r="G77" s="18">
        <v>46113</v>
      </c>
      <c r="H77" s="13">
        <v>42584.4</v>
      </c>
      <c r="I77" s="17">
        <v>9.89</v>
      </c>
      <c r="J77" s="17">
        <v>1</v>
      </c>
    </row>
    <row r="78" spans="1:10" x14ac:dyDescent="0.3">
      <c r="A78" s="17" t="s">
        <v>202</v>
      </c>
      <c r="B78" s="17" t="s">
        <v>109</v>
      </c>
      <c r="C78" s="17" t="s">
        <v>130</v>
      </c>
      <c r="D78" s="17">
        <v>5</v>
      </c>
      <c r="E78" s="17">
        <v>1</v>
      </c>
      <c r="F78" s="18">
        <v>45419</v>
      </c>
      <c r="G78" s="18">
        <v>46113</v>
      </c>
      <c r="H78" s="13">
        <v>38133.129999999997</v>
      </c>
      <c r="I78" s="17">
        <v>6.62</v>
      </c>
      <c r="J78" s="17">
        <v>1</v>
      </c>
    </row>
    <row r="79" spans="1:10" x14ac:dyDescent="0.3">
      <c r="A79" s="17" t="s">
        <v>203</v>
      </c>
      <c r="B79" s="17" t="s">
        <v>109</v>
      </c>
      <c r="C79" s="17" t="s">
        <v>125</v>
      </c>
      <c r="D79" s="17">
        <v>8</v>
      </c>
      <c r="E79" s="17">
        <v>4</v>
      </c>
      <c r="F79" s="18">
        <v>43739</v>
      </c>
      <c r="G79" s="18">
        <v>46113</v>
      </c>
      <c r="H79" s="13">
        <v>56319.53</v>
      </c>
      <c r="I79" s="17">
        <v>6.3</v>
      </c>
      <c r="J79" s="17">
        <v>1</v>
      </c>
    </row>
    <row r="80" spans="1:10" x14ac:dyDescent="0.3">
      <c r="A80" s="17" t="s">
        <v>204</v>
      </c>
      <c r="B80" s="17" t="s">
        <v>109</v>
      </c>
      <c r="C80" s="17" t="s">
        <v>125</v>
      </c>
      <c r="D80" s="17">
        <v>6</v>
      </c>
      <c r="E80" s="17">
        <v>3</v>
      </c>
      <c r="F80" s="18">
        <v>44433</v>
      </c>
      <c r="G80" s="18">
        <v>46113</v>
      </c>
      <c r="H80" s="13">
        <v>47208.959999999999</v>
      </c>
      <c r="I80" s="17">
        <v>9.68</v>
      </c>
      <c r="J80" s="17">
        <v>1</v>
      </c>
    </row>
    <row r="81" spans="1:10" x14ac:dyDescent="0.3">
      <c r="A81" s="17" t="s">
        <v>205</v>
      </c>
      <c r="B81" s="17" t="s">
        <v>109</v>
      </c>
      <c r="C81" s="17" t="s">
        <v>125</v>
      </c>
      <c r="D81" s="17">
        <v>9</v>
      </c>
      <c r="E81" s="17">
        <v>3</v>
      </c>
      <c r="F81" s="18">
        <v>42825</v>
      </c>
      <c r="G81" s="18">
        <v>46113</v>
      </c>
      <c r="H81" s="13">
        <v>66916.899999999994</v>
      </c>
      <c r="I81" s="17">
        <v>6.93</v>
      </c>
      <c r="J81" s="17">
        <v>1</v>
      </c>
    </row>
    <row r="82" spans="1:10" x14ac:dyDescent="0.3">
      <c r="A82" s="17" t="s">
        <v>206</v>
      </c>
      <c r="B82" s="17" t="s">
        <v>109</v>
      </c>
      <c r="C82" s="17" t="s">
        <v>125</v>
      </c>
      <c r="D82" s="17">
        <v>6</v>
      </c>
      <c r="E82" s="17">
        <v>3</v>
      </c>
      <c r="F82" s="18">
        <v>44140</v>
      </c>
      <c r="G82" s="18">
        <v>46113</v>
      </c>
      <c r="H82" s="13">
        <v>49061.01</v>
      </c>
      <c r="I82" s="17">
        <v>9.42</v>
      </c>
      <c r="J82" s="17">
        <v>1</v>
      </c>
    </row>
    <row r="83" spans="1:10" x14ac:dyDescent="0.3">
      <c r="A83" s="17" t="s">
        <v>207</v>
      </c>
      <c r="B83" s="17" t="s">
        <v>109</v>
      </c>
      <c r="C83" s="17" t="s">
        <v>130</v>
      </c>
      <c r="D83" s="17">
        <v>10</v>
      </c>
      <c r="E83" s="17">
        <v>4</v>
      </c>
      <c r="F83" s="18">
        <v>43446</v>
      </c>
      <c r="G83" s="18">
        <v>46113</v>
      </c>
      <c r="H83" s="13">
        <v>78077.88</v>
      </c>
      <c r="I83" s="17">
        <v>6.67</v>
      </c>
      <c r="J83" s="17">
        <v>1</v>
      </c>
    </row>
    <row r="84" spans="1:10" x14ac:dyDescent="0.3">
      <c r="A84" s="17" t="s">
        <v>208</v>
      </c>
      <c r="B84" s="17" t="s">
        <v>113</v>
      </c>
      <c r="C84" s="17" t="s">
        <v>130</v>
      </c>
      <c r="D84" s="17">
        <v>9</v>
      </c>
      <c r="E84" s="17">
        <v>4</v>
      </c>
      <c r="F84" s="18">
        <v>44250</v>
      </c>
      <c r="G84" s="18">
        <v>46113</v>
      </c>
      <c r="H84" s="13">
        <v>65064.35</v>
      </c>
      <c r="I84" s="17">
        <v>15.39</v>
      </c>
      <c r="J84" s="17">
        <v>1</v>
      </c>
    </row>
    <row r="85" spans="1:10" x14ac:dyDescent="0.3">
      <c r="A85" s="17" t="s">
        <v>209</v>
      </c>
      <c r="B85" s="17" t="s">
        <v>113</v>
      </c>
      <c r="C85" s="17" t="s">
        <v>130</v>
      </c>
      <c r="D85" s="17">
        <v>10</v>
      </c>
      <c r="E85" s="17">
        <v>3</v>
      </c>
      <c r="F85" s="18">
        <v>43885</v>
      </c>
      <c r="G85" s="18">
        <v>46113</v>
      </c>
      <c r="H85" s="13">
        <v>67252.73</v>
      </c>
      <c r="I85" s="17">
        <v>17.739999999999998</v>
      </c>
      <c r="J85" s="17">
        <v>1</v>
      </c>
    </row>
    <row r="86" spans="1:10" x14ac:dyDescent="0.3">
      <c r="A86" s="17" t="s">
        <v>210</v>
      </c>
      <c r="B86" s="17" t="s">
        <v>113</v>
      </c>
      <c r="C86" s="17" t="s">
        <v>125</v>
      </c>
      <c r="D86" s="17">
        <v>12</v>
      </c>
      <c r="E86" s="17">
        <v>3</v>
      </c>
      <c r="F86" s="18">
        <v>43519</v>
      </c>
      <c r="G86" s="18">
        <v>46113</v>
      </c>
      <c r="H86" s="13">
        <v>101390.98</v>
      </c>
      <c r="I86" s="17">
        <v>13.47</v>
      </c>
      <c r="J86" s="17">
        <v>1</v>
      </c>
    </row>
    <row r="87" spans="1:10" x14ac:dyDescent="0.3">
      <c r="A87" s="17" t="s">
        <v>211</v>
      </c>
      <c r="B87" s="17" t="s">
        <v>113</v>
      </c>
      <c r="C87" s="17" t="s">
        <v>125</v>
      </c>
      <c r="D87" s="17">
        <v>11</v>
      </c>
      <c r="E87" s="17">
        <v>3</v>
      </c>
      <c r="F87" s="18">
        <v>44323</v>
      </c>
      <c r="G87" s="18">
        <v>46113</v>
      </c>
      <c r="H87" s="13">
        <v>84225.02</v>
      </c>
      <c r="I87" s="17">
        <v>16.48</v>
      </c>
      <c r="J87" s="17">
        <v>1</v>
      </c>
    </row>
    <row r="88" spans="1:10" x14ac:dyDescent="0.3">
      <c r="A88" s="17" t="s">
        <v>212</v>
      </c>
      <c r="B88" s="17" t="s">
        <v>113</v>
      </c>
      <c r="C88" s="17" t="s">
        <v>130</v>
      </c>
      <c r="D88" s="17">
        <v>10</v>
      </c>
      <c r="E88" s="17">
        <v>5</v>
      </c>
      <c r="F88" s="18">
        <v>44615</v>
      </c>
      <c r="G88" s="18">
        <v>46113</v>
      </c>
      <c r="H88" s="13">
        <v>69875.62</v>
      </c>
      <c r="I88" s="17">
        <v>16.61</v>
      </c>
      <c r="J88" s="17">
        <v>1</v>
      </c>
    </row>
    <row r="89" spans="1:10" x14ac:dyDescent="0.3">
      <c r="A89" s="17" t="s">
        <v>213</v>
      </c>
      <c r="B89" s="17" t="s">
        <v>113</v>
      </c>
      <c r="C89" s="17" t="s">
        <v>125</v>
      </c>
      <c r="D89" s="17">
        <v>10</v>
      </c>
      <c r="E89" s="17">
        <v>4</v>
      </c>
      <c r="F89" s="18">
        <v>43264</v>
      </c>
      <c r="G89" s="18">
        <v>46113</v>
      </c>
      <c r="H89" s="13">
        <v>83187.199999999997</v>
      </c>
      <c r="I89" s="17">
        <v>14.41</v>
      </c>
      <c r="J89" s="17">
        <v>1</v>
      </c>
    </row>
    <row r="90" spans="1:10" x14ac:dyDescent="0.3">
      <c r="A90" s="17" t="s">
        <v>214</v>
      </c>
      <c r="B90" s="17" t="s">
        <v>113</v>
      </c>
      <c r="C90" s="17" t="s">
        <v>125</v>
      </c>
      <c r="D90" s="17">
        <v>9</v>
      </c>
      <c r="E90" s="17">
        <v>3</v>
      </c>
      <c r="F90" s="18">
        <v>46304</v>
      </c>
      <c r="G90" s="18">
        <v>46304</v>
      </c>
      <c r="H90" s="13">
        <v>63590.21</v>
      </c>
      <c r="I90" s="17">
        <v>14.18</v>
      </c>
      <c r="J90" s="17">
        <v>1</v>
      </c>
    </row>
    <row r="91" spans="1:10" x14ac:dyDescent="0.3">
      <c r="A91" s="17" t="s">
        <v>215</v>
      </c>
      <c r="B91" s="17" t="s">
        <v>113</v>
      </c>
      <c r="C91" s="17" t="s">
        <v>125</v>
      </c>
      <c r="D91" s="17">
        <v>10</v>
      </c>
      <c r="E91" s="17">
        <v>3</v>
      </c>
      <c r="F91" s="18">
        <v>45492</v>
      </c>
      <c r="G91" s="18">
        <v>46113</v>
      </c>
      <c r="H91" s="13">
        <v>53412.91</v>
      </c>
      <c r="I91" s="17">
        <v>14.05</v>
      </c>
      <c r="J91" s="17">
        <v>1</v>
      </c>
    </row>
    <row r="92" spans="1:10" x14ac:dyDescent="0.3">
      <c r="A92" s="17" t="s">
        <v>216</v>
      </c>
      <c r="B92" s="17" t="s">
        <v>110</v>
      </c>
      <c r="C92" s="17" t="s">
        <v>125</v>
      </c>
      <c r="D92" s="17">
        <v>10</v>
      </c>
      <c r="E92" s="17">
        <v>2</v>
      </c>
      <c r="F92" s="18">
        <v>43446</v>
      </c>
      <c r="G92" s="18">
        <v>46113</v>
      </c>
      <c r="H92" s="13">
        <v>70084.95</v>
      </c>
      <c r="I92" s="17">
        <v>12.21</v>
      </c>
      <c r="J92" s="17">
        <v>1</v>
      </c>
    </row>
    <row r="93" spans="1:10" x14ac:dyDescent="0.3">
      <c r="A93" s="17" t="s">
        <v>217</v>
      </c>
      <c r="B93" s="17" t="s">
        <v>110</v>
      </c>
      <c r="C93" s="17" t="s">
        <v>130</v>
      </c>
      <c r="D93" s="17">
        <v>9</v>
      </c>
      <c r="E93" s="17">
        <v>3</v>
      </c>
      <c r="F93" s="18">
        <v>42570</v>
      </c>
      <c r="G93" s="18">
        <v>46113</v>
      </c>
      <c r="H93" s="13">
        <v>69752.62</v>
      </c>
      <c r="I93" s="17">
        <v>8.31</v>
      </c>
      <c r="J93" s="17">
        <v>1</v>
      </c>
    </row>
    <row r="94" spans="1:10" x14ac:dyDescent="0.3">
      <c r="A94" s="17" t="s">
        <v>218</v>
      </c>
      <c r="B94" s="17" t="s">
        <v>110</v>
      </c>
      <c r="C94" s="17" t="s">
        <v>125</v>
      </c>
      <c r="D94" s="17">
        <v>9</v>
      </c>
      <c r="E94" s="17">
        <v>3</v>
      </c>
      <c r="F94" s="18">
        <v>43227</v>
      </c>
      <c r="G94" s="18">
        <v>46113</v>
      </c>
      <c r="H94" s="13">
        <v>68978.22</v>
      </c>
      <c r="I94" s="17">
        <v>10.66</v>
      </c>
      <c r="J94" s="17">
        <v>1</v>
      </c>
    </row>
    <row r="95" spans="1:10" x14ac:dyDescent="0.3">
      <c r="A95" s="17" t="s">
        <v>219</v>
      </c>
      <c r="B95" s="17" t="s">
        <v>110</v>
      </c>
      <c r="C95" s="17" t="s">
        <v>130</v>
      </c>
      <c r="D95" s="17">
        <v>9</v>
      </c>
      <c r="E95" s="17">
        <v>3</v>
      </c>
      <c r="F95" s="18">
        <v>42862</v>
      </c>
      <c r="G95" s="18">
        <v>46113</v>
      </c>
      <c r="H95" s="13">
        <v>72180</v>
      </c>
      <c r="I95" s="17">
        <v>10.37</v>
      </c>
      <c r="J95" s="17">
        <v>1</v>
      </c>
    </row>
    <row r="96" spans="1:10" x14ac:dyDescent="0.3">
      <c r="A96" s="17" t="s">
        <v>220</v>
      </c>
      <c r="B96" s="17" t="s">
        <v>110</v>
      </c>
      <c r="C96" s="17" t="s">
        <v>125</v>
      </c>
      <c r="D96" s="17">
        <v>7</v>
      </c>
      <c r="E96" s="17">
        <v>3</v>
      </c>
      <c r="F96" s="18">
        <v>44725</v>
      </c>
      <c r="G96" s="18">
        <v>46113</v>
      </c>
      <c r="H96" s="13">
        <v>53309.32</v>
      </c>
      <c r="I96" s="17">
        <v>12.46</v>
      </c>
      <c r="J96" s="17">
        <v>1</v>
      </c>
    </row>
    <row r="97" spans="1:10" x14ac:dyDescent="0.3">
      <c r="A97" s="17" t="s">
        <v>221</v>
      </c>
      <c r="B97" s="17" t="s">
        <v>110</v>
      </c>
      <c r="C97" s="17" t="s">
        <v>125</v>
      </c>
      <c r="D97" s="17">
        <v>10</v>
      </c>
      <c r="E97" s="17">
        <v>3</v>
      </c>
      <c r="F97" s="18">
        <v>41730</v>
      </c>
      <c r="G97" s="18">
        <v>46113</v>
      </c>
      <c r="H97" s="13">
        <v>82563.039999999994</v>
      </c>
      <c r="I97" s="17">
        <v>7.79</v>
      </c>
      <c r="J97" s="17">
        <v>1</v>
      </c>
    </row>
    <row r="98" spans="1:10" x14ac:dyDescent="0.3">
      <c r="A98" s="17" t="s">
        <v>222</v>
      </c>
      <c r="B98" s="17" t="s">
        <v>110</v>
      </c>
      <c r="C98" s="17" t="s">
        <v>125</v>
      </c>
      <c r="D98" s="17">
        <v>10</v>
      </c>
      <c r="E98" s="17">
        <v>4</v>
      </c>
      <c r="F98" s="18">
        <v>43483</v>
      </c>
      <c r="G98" s="18">
        <v>46113</v>
      </c>
      <c r="H98" s="13">
        <v>67851.289999999994</v>
      </c>
      <c r="I98" s="17">
        <v>11.51</v>
      </c>
      <c r="J98" s="17">
        <v>1</v>
      </c>
    </row>
    <row r="99" spans="1:10" x14ac:dyDescent="0.3">
      <c r="A99" s="17" t="s">
        <v>223</v>
      </c>
      <c r="B99" s="17" t="s">
        <v>110</v>
      </c>
      <c r="C99" s="17" t="s">
        <v>130</v>
      </c>
      <c r="D99" s="17">
        <v>10</v>
      </c>
      <c r="E99" s="17">
        <v>3</v>
      </c>
      <c r="F99" s="18">
        <v>43410</v>
      </c>
      <c r="G99" s="18">
        <v>46113</v>
      </c>
      <c r="H99" s="13">
        <v>82737.47</v>
      </c>
      <c r="I99" s="17">
        <v>9.23</v>
      </c>
      <c r="J99" s="17">
        <v>1</v>
      </c>
    </row>
    <row r="100" spans="1:10" x14ac:dyDescent="0.3">
      <c r="A100" s="17" t="s">
        <v>224</v>
      </c>
      <c r="B100" s="17" t="s">
        <v>110</v>
      </c>
      <c r="C100" s="17" t="s">
        <v>130</v>
      </c>
      <c r="D100" s="17">
        <v>8</v>
      </c>
      <c r="E100" s="17">
        <v>4</v>
      </c>
      <c r="F100" s="18">
        <v>43519</v>
      </c>
      <c r="G100" s="18">
        <v>46113</v>
      </c>
      <c r="H100" s="13">
        <v>60805.54</v>
      </c>
      <c r="I100" s="17">
        <v>12.27</v>
      </c>
      <c r="J100" s="17">
        <v>1</v>
      </c>
    </row>
    <row r="101" spans="1:10" x14ac:dyDescent="0.3">
      <c r="A101" s="17" t="s">
        <v>225</v>
      </c>
      <c r="B101" s="17" t="s">
        <v>110</v>
      </c>
      <c r="C101" s="17" t="s">
        <v>130</v>
      </c>
      <c r="D101" s="17">
        <v>10</v>
      </c>
      <c r="E101" s="17">
        <v>3</v>
      </c>
      <c r="F101" s="18">
        <v>41766</v>
      </c>
      <c r="G101" s="18">
        <v>46113</v>
      </c>
      <c r="H101" s="13">
        <v>83818.69</v>
      </c>
      <c r="I101" s="17">
        <v>9.93</v>
      </c>
      <c r="J101" s="17">
        <v>1</v>
      </c>
    </row>
    <row r="102" spans="1:10" x14ac:dyDescent="0.3">
      <c r="A102" s="17" t="s">
        <v>226</v>
      </c>
      <c r="B102" s="17" t="s">
        <v>110</v>
      </c>
      <c r="C102" s="17" t="s">
        <v>125</v>
      </c>
      <c r="D102" s="17">
        <v>10</v>
      </c>
      <c r="E102" s="17">
        <v>3</v>
      </c>
      <c r="F102" s="18">
        <v>43483</v>
      </c>
      <c r="G102" s="18">
        <v>46113</v>
      </c>
      <c r="H102" s="13">
        <v>68599.05</v>
      </c>
      <c r="I102" s="17">
        <v>12.04</v>
      </c>
      <c r="J102" s="17">
        <v>1</v>
      </c>
    </row>
    <row r="103" spans="1:10" x14ac:dyDescent="0.3">
      <c r="A103" s="17" t="s">
        <v>227</v>
      </c>
      <c r="B103" s="17" t="s">
        <v>110</v>
      </c>
      <c r="C103" s="17" t="s">
        <v>125</v>
      </c>
      <c r="D103" s="17">
        <v>8</v>
      </c>
      <c r="E103" s="17">
        <v>3</v>
      </c>
      <c r="F103" s="18">
        <v>43921</v>
      </c>
      <c r="G103" s="18">
        <v>46113</v>
      </c>
      <c r="H103" s="13">
        <v>64077.78</v>
      </c>
      <c r="I103" s="17">
        <v>9.8000000000000007</v>
      </c>
      <c r="J103" s="17">
        <v>1</v>
      </c>
    </row>
    <row r="104" spans="1:10" x14ac:dyDescent="0.3">
      <c r="A104" s="17" t="s">
        <v>228</v>
      </c>
      <c r="B104" s="17" t="s">
        <v>110</v>
      </c>
      <c r="C104" s="17" t="s">
        <v>130</v>
      </c>
      <c r="D104" s="17">
        <v>9</v>
      </c>
      <c r="E104" s="17">
        <v>2</v>
      </c>
      <c r="F104" s="18">
        <v>44323</v>
      </c>
      <c r="G104" s="18">
        <v>46113</v>
      </c>
      <c r="H104" s="13">
        <v>70549.42</v>
      </c>
      <c r="I104" s="17">
        <v>9.4499999999999993</v>
      </c>
      <c r="J104" s="17">
        <v>1</v>
      </c>
    </row>
    <row r="105" spans="1:10" x14ac:dyDescent="0.3">
      <c r="A105" s="17" t="s">
        <v>229</v>
      </c>
      <c r="B105" s="17" t="s">
        <v>110</v>
      </c>
      <c r="C105" s="17" t="s">
        <v>125</v>
      </c>
      <c r="D105" s="17">
        <v>7</v>
      </c>
      <c r="E105" s="17">
        <v>3</v>
      </c>
      <c r="F105" s="18">
        <v>44469</v>
      </c>
      <c r="G105" s="18">
        <v>46113</v>
      </c>
      <c r="H105" s="13">
        <v>50208.93</v>
      </c>
      <c r="I105" s="17">
        <v>8.2799999999999994</v>
      </c>
      <c r="J105" s="17">
        <v>1</v>
      </c>
    </row>
    <row r="106" spans="1:10" x14ac:dyDescent="0.3">
      <c r="A106" s="17" t="s">
        <v>230</v>
      </c>
      <c r="B106" s="17" t="s">
        <v>110</v>
      </c>
      <c r="C106" s="17" t="s">
        <v>130</v>
      </c>
      <c r="D106" s="17">
        <v>10</v>
      </c>
      <c r="E106" s="17">
        <v>4</v>
      </c>
      <c r="F106" s="18">
        <v>43227</v>
      </c>
      <c r="G106" s="18">
        <v>46113</v>
      </c>
      <c r="H106" s="13">
        <v>76994.12</v>
      </c>
      <c r="I106" s="17">
        <v>9.93</v>
      </c>
      <c r="J106" s="17">
        <v>1</v>
      </c>
    </row>
    <row r="107" spans="1:10" x14ac:dyDescent="0.3">
      <c r="A107" s="17" t="s">
        <v>231</v>
      </c>
      <c r="B107" s="17" t="s">
        <v>110</v>
      </c>
      <c r="C107" s="17" t="s">
        <v>130</v>
      </c>
      <c r="D107" s="17">
        <v>10</v>
      </c>
      <c r="E107" s="17">
        <v>3</v>
      </c>
      <c r="F107" s="18">
        <v>42058</v>
      </c>
      <c r="G107" s="18">
        <v>46113</v>
      </c>
      <c r="H107" s="13">
        <v>81139.86</v>
      </c>
      <c r="I107" s="17">
        <v>7.7</v>
      </c>
      <c r="J107" s="17">
        <v>1</v>
      </c>
    </row>
    <row r="108" spans="1:10" x14ac:dyDescent="0.3">
      <c r="A108" s="17" t="s">
        <v>232</v>
      </c>
      <c r="B108" s="17" t="s">
        <v>110</v>
      </c>
      <c r="C108" s="17" t="s">
        <v>130</v>
      </c>
      <c r="D108" s="17">
        <v>7</v>
      </c>
      <c r="E108" s="17">
        <v>2</v>
      </c>
      <c r="F108" s="18">
        <v>43593</v>
      </c>
      <c r="G108" s="18">
        <v>46113</v>
      </c>
      <c r="H108" s="13">
        <v>57551.82</v>
      </c>
      <c r="I108" s="17">
        <v>7.95</v>
      </c>
      <c r="J108" s="17">
        <v>1</v>
      </c>
    </row>
    <row r="109" spans="1:10" x14ac:dyDescent="0.3">
      <c r="A109" s="17" t="s">
        <v>233</v>
      </c>
      <c r="B109" s="17" t="s">
        <v>110</v>
      </c>
      <c r="C109" s="17" t="s">
        <v>130</v>
      </c>
      <c r="D109" s="17">
        <v>6</v>
      </c>
      <c r="E109" s="17">
        <v>4</v>
      </c>
      <c r="F109" s="18">
        <v>44980</v>
      </c>
      <c r="G109" s="18">
        <v>46113</v>
      </c>
      <c r="H109" s="13">
        <v>52826.67</v>
      </c>
      <c r="I109" s="17">
        <v>12.44</v>
      </c>
      <c r="J109" s="17">
        <v>1</v>
      </c>
    </row>
    <row r="110" spans="1:10" x14ac:dyDescent="0.3">
      <c r="A110" s="17" t="s">
        <v>234</v>
      </c>
      <c r="B110" s="17" t="s">
        <v>110</v>
      </c>
      <c r="C110" s="17" t="s">
        <v>125</v>
      </c>
      <c r="D110" s="17">
        <v>7</v>
      </c>
      <c r="E110" s="17">
        <v>3</v>
      </c>
      <c r="F110" s="18">
        <v>44469</v>
      </c>
      <c r="G110" s="18">
        <v>46113</v>
      </c>
      <c r="H110" s="13">
        <v>52476.79</v>
      </c>
      <c r="I110" s="17">
        <v>12.31</v>
      </c>
      <c r="J110" s="17">
        <v>1</v>
      </c>
    </row>
    <row r="111" spans="1:10" x14ac:dyDescent="0.3">
      <c r="A111" s="17" t="s">
        <v>235</v>
      </c>
      <c r="B111" s="17" t="s">
        <v>110</v>
      </c>
      <c r="C111" s="17" t="s">
        <v>125</v>
      </c>
      <c r="D111" s="17">
        <v>7</v>
      </c>
      <c r="E111" s="17">
        <v>4</v>
      </c>
      <c r="F111" s="18">
        <v>43921</v>
      </c>
      <c r="G111" s="18">
        <v>46113</v>
      </c>
      <c r="H111" s="13">
        <v>52320.97</v>
      </c>
      <c r="I111" s="17">
        <v>10.94</v>
      </c>
      <c r="J111" s="17">
        <v>1</v>
      </c>
    </row>
    <row r="112" spans="1:10" x14ac:dyDescent="0.3">
      <c r="A112" s="17" t="s">
        <v>236</v>
      </c>
      <c r="B112" s="17" t="s">
        <v>110</v>
      </c>
      <c r="C112" s="17" t="s">
        <v>130</v>
      </c>
      <c r="D112" s="17">
        <v>9</v>
      </c>
      <c r="E112" s="17">
        <v>4</v>
      </c>
      <c r="F112" s="18">
        <v>43483</v>
      </c>
      <c r="G112" s="18">
        <v>46113</v>
      </c>
      <c r="H112" s="13">
        <v>67512.990000000005</v>
      </c>
      <c r="I112" s="17">
        <v>11.57</v>
      </c>
      <c r="J112" s="17">
        <v>1</v>
      </c>
    </row>
    <row r="113" spans="1:10" x14ac:dyDescent="0.3">
      <c r="A113" s="17" t="s">
        <v>237</v>
      </c>
      <c r="B113" s="17" t="s">
        <v>110</v>
      </c>
      <c r="C113" s="17" t="s">
        <v>125</v>
      </c>
      <c r="D113" s="17">
        <v>7</v>
      </c>
      <c r="E113" s="17">
        <v>3</v>
      </c>
      <c r="F113" s="18">
        <v>44688</v>
      </c>
      <c r="G113" s="18">
        <v>46113</v>
      </c>
      <c r="H113" s="13">
        <v>53216.54</v>
      </c>
      <c r="I113" s="17">
        <v>7.78</v>
      </c>
      <c r="J113" s="17">
        <v>1</v>
      </c>
    </row>
    <row r="114" spans="1:10" x14ac:dyDescent="0.3">
      <c r="A114" s="17" t="s">
        <v>238</v>
      </c>
      <c r="B114" s="17" t="s">
        <v>110</v>
      </c>
      <c r="C114" s="17" t="s">
        <v>125</v>
      </c>
      <c r="D114" s="17">
        <v>8</v>
      </c>
      <c r="E114" s="17">
        <v>3</v>
      </c>
      <c r="F114" s="18">
        <v>44323</v>
      </c>
      <c r="G114" s="18">
        <v>46113</v>
      </c>
      <c r="H114" s="13">
        <v>59381.08</v>
      </c>
      <c r="I114" s="17">
        <v>11.74</v>
      </c>
      <c r="J114" s="17">
        <v>1</v>
      </c>
    </row>
    <row r="115" spans="1:10" x14ac:dyDescent="0.3">
      <c r="A115" s="17" t="s">
        <v>239</v>
      </c>
      <c r="B115" s="17" t="s">
        <v>110</v>
      </c>
      <c r="C115" s="17" t="s">
        <v>125</v>
      </c>
      <c r="D115" s="17">
        <v>7</v>
      </c>
      <c r="E115" s="17">
        <v>2</v>
      </c>
      <c r="F115" s="18">
        <v>45674</v>
      </c>
      <c r="G115" s="18">
        <v>46113</v>
      </c>
      <c r="H115" s="13">
        <v>51422.59</v>
      </c>
      <c r="I115" s="17">
        <v>10.050000000000001</v>
      </c>
      <c r="J115" s="17">
        <v>1</v>
      </c>
    </row>
    <row r="116" spans="1:10" x14ac:dyDescent="0.3">
      <c r="A116" s="17" t="s">
        <v>240</v>
      </c>
      <c r="B116" s="17" t="s">
        <v>110</v>
      </c>
      <c r="C116" s="17" t="s">
        <v>130</v>
      </c>
      <c r="D116" s="17">
        <v>9</v>
      </c>
      <c r="E116" s="17">
        <v>3</v>
      </c>
      <c r="F116" s="18">
        <v>44323</v>
      </c>
      <c r="G116" s="18">
        <v>46113</v>
      </c>
      <c r="H116" s="13">
        <v>72725.320000000007</v>
      </c>
      <c r="I116" s="17">
        <v>10.82</v>
      </c>
      <c r="J116" s="17">
        <v>1</v>
      </c>
    </row>
    <row r="117" spans="1:10" x14ac:dyDescent="0.3">
      <c r="A117" s="17" t="s">
        <v>241</v>
      </c>
      <c r="B117" s="17" t="s">
        <v>110</v>
      </c>
      <c r="C117" s="17" t="s">
        <v>125</v>
      </c>
      <c r="D117" s="17">
        <v>10</v>
      </c>
      <c r="E117" s="17">
        <v>3</v>
      </c>
      <c r="F117" s="18">
        <v>42132</v>
      </c>
      <c r="G117" s="18">
        <v>46113</v>
      </c>
      <c r="H117" s="13">
        <v>72811.42</v>
      </c>
      <c r="I117" s="17">
        <v>8.64</v>
      </c>
      <c r="J117" s="17">
        <v>1</v>
      </c>
    </row>
    <row r="118" spans="1:10" x14ac:dyDescent="0.3">
      <c r="A118" s="17" t="s">
        <v>242</v>
      </c>
      <c r="B118" s="17" t="s">
        <v>108</v>
      </c>
      <c r="C118" s="17" t="s">
        <v>125</v>
      </c>
      <c r="D118" s="17">
        <v>6</v>
      </c>
      <c r="E118" s="17">
        <v>3</v>
      </c>
      <c r="F118" s="18">
        <v>41949</v>
      </c>
      <c r="G118" s="18">
        <v>46113</v>
      </c>
      <c r="H118" s="13">
        <v>50405.13</v>
      </c>
      <c r="I118" s="17">
        <v>7.41</v>
      </c>
      <c r="J118" s="17">
        <v>1</v>
      </c>
    </row>
    <row r="119" spans="1:10" x14ac:dyDescent="0.3">
      <c r="A119" s="17" t="s">
        <v>243</v>
      </c>
      <c r="B119" s="17" t="s">
        <v>108</v>
      </c>
      <c r="C119" s="17" t="s">
        <v>125</v>
      </c>
      <c r="D119" s="17">
        <v>5</v>
      </c>
      <c r="E119" s="17">
        <v>4</v>
      </c>
      <c r="F119" s="18">
        <v>42351</v>
      </c>
      <c r="G119" s="18">
        <v>46259</v>
      </c>
      <c r="H119" s="13">
        <v>44243.88</v>
      </c>
      <c r="I119" s="17">
        <v>7.47</v>
      </c>
      <c r="J119" s="17">
        <v>0.5</v>
      </c>
    </row>
    <row r="120" spans="1:10" x14ac:dyDescent="0.3">
      <c r="A120" s="17" t="s">
        <v>244</v>
      </c>
      <c r="B120" s="17" t="s">
        <v>108</v>
      </c>
      <c r="C120" s="17" t="s">
        <v>125</v>
      </c>
      <c r="D120" s="17">
        <v>7</v>
      </c>
      <c r="E120" s="17">
        <v>2</v>
      </c>
      <c r="F120" s="18">
        <v>40744</v>
      </c>
      <c r="G120" s="18">
        <v>46113</v>
      </c>
      <c r="H120" s="13">
        <v>62101.14</v>
      </c>
      <c r="I120" s="17">
        <v>7.5</v>
      </c>
      <c r="J120" s="17">
        <v>1</v>
      </c>
    </row>
    <row r="121" spans="1:10" x14ac:dyDescent="0.3">
      <c r="A121" s="17" t="s">
        <v>245</v>
      </c>
      <c r="B121" s="17" t="s">
        <v>108</v>
      </c>
      <c r="C121" s="17" t="s">
        <v>125</v>
      </c>
      <c r="D121" s="17">
        <v>7</v>
      </c>
      <c r="E121" s="17">
        <v>3</v>
      </c>
      <c r="F121" s="18">
        <v>42606</v>
      </c>
      <c r="G121" s="18">
        <v>46113</v>
      </c>
      <c r="H121" s="13">
        <v>54245.4</v>
      </c>
      <c r="I121" s="17">
        <v>5.21</v>
      </c>
      <c r="J121" s="17">
        <v>1</v>
      </c>
    </row>
    <row r="122" spans="1:10" x14ac:dyDescent="0.3">
      <c r="A122" s="17" t="s">
        <v>246</v>
      </c>
      <c r="B122" s="17" t="s">
        <v>108</v>
      </c>
      <c r="C122" s="17" t="s">
        <v>130</v>
      </c>
      <c r="D122" s="17">
        <v>6</v>
      </c>
      <c r="E122" s="17">
        <v>5</v>
      </c>
      <c r="F122" s="18">
        <v>43556</v>
      </c>
      <c r="G122" s="18">
        <v>46113</v>
      </c>
      <c r="H122" s="13">
        <v>47307.07</v>
      </c>
      <c r="I122" s="17">
        <v>6.95</v>
      </c>
      <c r="J122" s="17">
        <v>1</v>
      </c>
    </row>
    <row r="123" spans="1:10" x14ac:dyDescent="0.3">
      <c r="A123" s="17" t="s">
        <v>247</v>
      </c>
      <c r="B123" s="17" t="s">
        <v>108</v>
      </c>
      <c r="C123" s="17" t="s">
        <v>125</v>
      </c>
      <c r="D123" s="17">
        <v>4</v>
      </c>
      <c r="E123" s="17">
        <v>2</v>
      </c>
      <c r="F123" s="18">
        <v>45163</v>
      </c>
      <c r="G123" s="18">
        <v>46113</v>
      </c>
      <c r="H123" s="13">
        <v>35984.269999999997</v>
      </c>
      <c r="I123" s="17">
        <v>7.14</v>
      </c>
      <c r="J123" s="17">
        <v>1</v>
      </c>
    </row>
    <row r="124" spans="1:10" x14ac:dyDescent="0.3">
      <c r="A124" s="17" t="s">
        <v>248</v>
      </c>
      <c r="B124" s="17" t="s">
        <v>108</v>
      </c>
      <c r="C124" s="17" t="s">
        <v>130</v>
      </c>
      <c r="D124" s="17">
        <v>6</v>
      </c>
      <c r="E124" s="17">
        <v>3</v>
      </c>
      <c r="F124" s="18">
        <v>43629</v>
      </c>
      <c r="G124" s="18">
        <v>46113</v>
      </c>
      <c r="H124" s="13">
        <v>41640.83</v>
      </c>
      <c r="I124" s="17">
        <v>5.38</v>
      </c>
      <c r="J124" s="17">
        <v>1</v>
      </c>
    </row>
    <row r="125" spans="1:10" x14ac:dyDescent="0.3">
      <c r="A125" s="17" t="s">
        <v>249</v>
      </c>
      <c r="B125" s="17" t="s">
        <v>108</v>
      </c>
      <c r="C125" s="17" t="s">
        <v>130</v>
      </c>
      <c r="D125" s="17">
        <v>5</v>
      </c>
      <c r="E125" s="17">
        <v>3</v>
      </c>
      <c r="F125" s="18">
        <v>43775</v>
      </c>
      <c r="G125" s="18">
        <v>46113</v>
      </c>
      <c r="H125" s="13">
        <v>37644.410000000003</v>
      </c>
      <c r="I125" s="17">
        <v>5.35</v>
      </c>
      <c r="J125" s="17">
        <v>1</v>
      </c>
    </row>
    <row r="126" spans="1:10" x14ac:dyDescent="0.3">
      <c r="A126" s="17" t="s">
        <v>250</v>
      </c>
      <c r="B126" s="17" t="s">
        <v>108</v>
      </c>
      <c r="C126" s="17" t="s">
        <v>130</v>
      </c>
      <c r="D126" s="17">
        <v>5</v>
      </c>
      <c r="E126" s="17">
        <v>3</v>
      </c>
      <c r="F126" s="18">
        <v>44323</v>
      </c>
      <c r="G126" s="18">
        <v>46113</v>
      </c>
      <c r="H126" s="13">
        <v>40999.53</v>
      </c>
      <c r="I126" s="17">
        <v>5.3</v>
      </c>
      <c r="J126" s="17">
        <v>1</v>
      </c>
    </row>
    <row r="127" spans="1:10" x14ac:dyDescent="0.3">
      <c r="A127" s="17" t="s">
        <v>251</v>
      </c>
      <c r="B127" s="17" t="s">
        <v>108</v>
      </c>
      <c r="C127" s="17" t="s">
        <v>125</v>
      </c>
      <c r="D127" s="17">
        <v>5</v>
      </c>
      <c r="E127" s="17">
        <v>4</v>
      </c>
      <c r="F127" s="18">
        <v>42168</v>
      </c>
      <c r="G127" s="18">
        <v>46113</v>
      </c>
      <c r="H127" s="13">
        <v>47213.49</v>
      </c>
      <c r="I127" s="17">
        <v>6.09</v>
      </c>
      <c r="J127" s="17">
        <v>1</v>
      </c>
    </row>
    <row r="128" spans="1:10" x14ac:dyDescent="0.3">
      <c r="A128" s="17" t="s">
        <v>252</v>
      </c>
      <c r="B128" s="17" t="s">
        <v>108</v>
      </c>
      <c r="C128" s="17" t="s">
        <v>125</v>
      </c>
      <c r="D128" s="17">
        <v>7</v>
      </c>
      <c r="E128" s="17">
        <v>3</v>
      </c>
      <c r="F128" s="18">
        <v>39721</v>
      </c>
      <c r="G128" s="18">
        <v>46113</v>
      </c>
      <c r="H128" s="13">
        <v>59702.38</v>
      </c>
      <c r="I128" s="17">
        <v>5.16</v>
      </c>
      <c r="J128" s="17">
        <v>1</v>
      </c>
    </row>
    <row r="129" spans="1:10" x14ac:dyDescent="0.3">
      <c r="A129" s="17" t="s">
        <v>253</v>
      </c>
      <c r="B129" s="17" t="s">
        <v>108</v>
      </c>
      <c r="C129" s="17" t="s">
        <v>130</v>
      </c>
      <c r="D129" s="17">
        <v>6</v>
      </c>
      <c r="E129" s="17">
        <v>4</v>
      </c>
      <c r="F129" s="18">
        <v>43885</v>
      </c>
      <c r="G129" s="18">
        <v>46113</v>
      </c>
      <c r="H129" s="13">
        <v>48326.85</v>
      </c>
      <c r="I129" s="17">
        <v>4.8899999999999997</v>
      </c>
      <c r="J129" s="17">
        <v>1</v>
      </c>
    </row>
    <row r="130" spans="1:10" x14ac:dyDescent="0.3">
      <c r="A130" s="17" t="s">
        <v>254</v>
      </c>
      <c r="B130" s="17" t="s">
        <v>108</v>
      </c>
      <c r="C130" s="17" t="s">
        <v>125</v>
      </c>
      <c r="D130" s="17">
        <v>5</v>
      </c>
      <c r="E130" s="17">
        <v>3</v>
      </c>
      <c r="F130" s="18">
        <v>45236</v>
      </c>
      <c r="G130" s="18">
        <v>46113</v>
      </c>
      <c r="H130" s="13">
        <v>41490.03</v>
      </c>
      <c r="I130" s="17">
        <v>6.88</v>
      </c>
      <c r="J130" s="17">
        <v>1</v>
      </c>
    </row>
    <row r="131" spans="1:10" x14ac:dyDescent="0.3">
      <c r="A131" s="17" t="s">
        <v>255</v>
      </c>
      <c r="B131" s="17" t="s">
        <v>108</v>
      </c>
      <c r="C131" s="17" t="s">
        <v>130</v>
      </c>
      <c r="D131" s="17">
        <v>5</v>
      </c>
      <c r="E131" s="17">
        <v>3</v>
      </c>
      <c r="F131" s="18">
        <v>43994</v>
      </c>
      <c r="G131" s="18">
        <v>46113</v>
      </c>
      <c r="H131" s="13">
        <v>39681.14</v>
      </c>
      <c r="I131" s="17">
        <v>5.4</v>
      </c>
      <c r="J131" s="17">
        <v>1</v>
      </c>
    </row>
    <row r="132" spans="1:10" x14ac:dyDescent="0.3">
      <c r="A132" s="17" t="s">
        <v>256</v>
      </c>
      <c r="B132" s="17" t="s">
        <v>108</v>
      </c>
      <c r="C132" s="17" t="s">
        <v>125</v>
      </c>
      <c r="D132" s="17">
        <v>8</v>
      </c>
      <c r="E132" s="17">
        <v>3</v>
      </c>
      <c r="F132" s="18">
        <v>39575</v>
      </c>
      <c r="G132" s="18">
        <v>46113</v>
      </c>
      <c r="H132" s="13">
        <v>68666.2</v>
      </c>
      <c r="I132" s="17">
        <v>7.17</v>
      </c>
      <c r="J132" s="17">
        <v>1</v>
      </c>
    </row>
    <row r="133" spans="1:10" x14ac:dyDescent="0.3">
      <c r="A133" s="17" t="s">
        <v>257</v>
      </c>
      <c r="B133" s="17" t="s">
        <v>108</v>
      </c>
      <c r="C133" s="17" t="s">
        <v>130</v>
      </c>
      <c r="D133" s="17">
        <v>4</v>
      </c>
      <c r="E133" s="17">
        <v>3</v>
      </c>
      <c r="F133" s="18">
        <v>44469</v>
      </c>
      <c r="G133" s="18">
        <v>46113</v>
      </c>
      <c r="H133" s="13">
        <v>36252.120000000003</v>
      </c>
      <c r="I133" s="17">
        <v>6.61</v>
      </c>
      <c r="J133" s="17">
        <v>1</v>
      </c>
    </row>
    <row r="134" spans="1:10" x14ac:dyDescent="0.3">
      <c r="A134" s="17" t="s">
        <v>258</v>
      </c>
      <c r="B134" s="17" t="s">
        <v>108</v>
      </c>
      <c r="C134" s="17" t="s">
        <v>130</v>
      </c>
      <c r="D134" s="17">
        <v>5</v>
      </c>
      <c r="E134" s="17">
        <v>3</v>
      </c>
      <c r="F134" s="18">
        <v>44213</v>
      </c>
      <c r="G134" s="18">
        <v>46113</v>
      </c>
      <c r="H134" s="13">
        <v>37873.58</v>
      </c>
      <c r="I134" s="17">
        <v>6.76</v>
      </c>
      <c r="J134" s="17">
        <v>0.5</v>
      </c>
    </row>
    <row r="135" spans="1:10" x14ac:dyDescent="0.3">
      <c r="A135" s="17" t="s">
        <v>259</v>
      </c>
      <c r="B135" s="17" t="s">
        <v>108</v>
      </c>
      <c r="C135" s="17" t="s">
        <v>130</v>
      </c>
      <c r="D135" s="17">
        <v>4</v>
      </c>
      <c r="E135" s="17">
        <v>4</v>
      </c>
      <c r="F135" s="18">
        <v>42862</v>
      </c>
      <c r="G135" s="18">
        <v>46113</v>
      </c>
      <c r="H135" s="13">
        <v>39494.720000000001</v>
      </c>
      <c r="I135" s="17">
        <v>5.05</v>
      </c>
      <c r="J135" s="17">
        <v>1</v>
      </c>
    </row>
    <row r="136" spans="1:10" x14ac:dyDescent="0.3">
      <c r="A136" s="17" t="s">
        <v>260</v>
      </c>
      <c r="B136" s="17" t="s">
        <v>108</v>
      </c>
      <c r="C136" s="17" t="s">
        <v>130</v>
      </c>
      <c r="D136" s="17">
        <v>7</v>
      </c>
      <c r="E136" s="17">
        <v>2</v>
      </c>
      <c r="F136" s="18">
        <v>40963</v>
      </c>
      <c r="G136" s="18">
        <v>46113</v>
      </c>
      <c r="H136" s="13">
        <v>51718.720000000001</v>
      </c>
      <c r="I136" s="17">
        <v>7.16</v>
      </c>
      <c r="J136" s="17">
        <v>1</v>
      </c>
    </row>
    <row r="137" spans="1:10" x14ac:dyDescent="0.3">
      <c r="A137" s="17" t="s">
        <v>261</v>
      </c>
      <c r="B137" s="17" t="s">
        <v>108</v>
      </c>
      <c r="C137" s="17" t="s">
        <v>130</v>
      </c>
      <c r="D137" s="17">
        <v>8</v>
      </c>
      <c r="E137" s="17">
        <v>2</v>
      </c>
      <c r="F137" s="18">
        <v>41036</v>
      </c>
      <c r="G137" s="18">
        <v>46113</v>
      </c>
      <c r="H137" s="13">
        <v>64061.06</v>
      </c>
      <c r="I137" s="17">
        <v>4.7</v>
      </c>
      <c r="J137" s="17">
        <v>1</v>
      </c>
    </row>
    <row r="138" spans="1:10" x14ac:dyDescent="0.3">
      <c r="A138" s="17" t="s">
        <v>262</v>
      </c>
      <c r="B138" s="17" t="s">
        <v>108</v>
      </c>
      <c r="C138" s="17" t="s">
        <v>125</v>
      </c>
      <c r="D138" s="17">
        <v>7</v>
      </c>
      <c r="E138" s="17">
        <v>3</v>
      </c>
      <c r="F138" s="18">
        <v>41730</v>
      </c>
      <c r="G138" s="18">
        <v>46113</v>
      </c>
      <c r="H138" s="13">
        <v>56403.47</v>
      </c>
      <c r="I138" s="17">
        <v>6.84</v>
      </c>
      <c r="J138" s="17">
        <v>1</v>
      </c>
    </row>
    <row r="139" spans="1:10" x14ac:dyDescent="0.3">
      <c r="A139" s="17" t="s">
        <v>263</v>
      </c>
      <c r="B139" s="17" t="s">
        <v>108</v>
      </c>
      <c r="C139" s="17" t="s">
        <v>125</v>
      </c>
      <c r="D139" s="17">
        <v>7</v>
      </c>
      <c r="E139" s="17">
        <v>3</v>
      </c>
      <c r="F139" s="18">
        <v>42058</v>
      </c>
      <c r="G139" s="18">
        <v>46113</v>
      </c>
      <c r="H139" s="13">
        <v>56044.3</v>
      </c>
      <c r="I139" s="17">
        <v>5.3</v>
      </c>
      <c r="J139" s="17">
        <v>0.5</v>
      </c>
    </row>
    <row r="140" spans="1:10" x14ac:dyDescent="0.3">
      <c r="A140" s="17" t="s">
        <v>264</v>
      </c>
      <c r="B140" s="17" t="s">
        <v>108</v>
      </c>
      <c r="C140" s="17" t="s">
        <v>130</v>
      </c>
      <c r="D140" s="17">
        <v>4</v>
      </c>
      <c r="E140" s="17">
        <v>2</v>
      </c>
      <c r="F140" s="18">
        <v>43483</v>
      </c>
      <c r="G140" s="18">
        <v>46113</v>
      </c>
      <c r="H140" s="13">
        <v>35623.85</v>
      </c>
      <c r="I140" s="17">
        <v>4.8499999999999996</v>
      </c>
      <c r="J140" s="17">
        <v>1</v>
      </c>
    </row>
    <row r="141" spans="1:10" x14ac:dyDescent="0.3">
      <c r="A141" s="17" t="s">
        <v>265</v>
      </c>
      <c r="B141" s="17" t="s">
        <v>108</v>
      </c>
      <c r="C141" s="17" t="s">
        <v>125</v>
      </c>
      <c r="D141" s="17">
        <v>5</v>
      </c>
      <c r="E141" s="17">
        <v>2</v>
      </c>
      <c r="F141" s="18">
        <v>44944</v>
      </c>
      <c r="G141" s="18">
        <v>46113</v>
      </c>
      <c r="H141" s="13">
        <v>37472.58</v>
      </c>
      <c r="I141" s="17">
        <v>6.94</v>
      </c>
      <c r="J141" s="17">
        <v>1</v>
      </c>
    </row>
    <row r="142" spans="1:10" x14ac:dyDescent="0.3">
      <c r="A142" s="17" t="s">
        <v>266</v>
      </c>
      <c r="B142" s="17" t="s">
        <v>108</v>
      </c>
      <c r="C142" s="17" t="s">
        <v>125</v>
      </c>
      <c r="D142" s="17">
        <v>7</v>
      </c>
      <c r="E142" s="17">
        <v>3</v>
      </c>
      <c r="F142" s="18">
        <v>41730</v>
      </c>
      <c r="G142" s="18">
        <v>46113</v>
      </c>
      <c r="H142" s="13">
        <v>57822.2</v>
      </c>
      <c r="I142" s="17">
        <v>7.22</v>
      </c>
      <c r="J142" s="17">
        <v>1</v>
      </c>
    </row>
    <row r="143" spans="1:10" x14ac:dyDescent="0.3">
      <c r="A143" s="17" t="s">
        <v>267</v>
      </c>
      <c r="B143" s="17" t="s">
        <v>108</v>
      </c>
      <c r="C143" s="17" t="s">
        <v>130</v>
      </c>
      <c r="D143" s="17">
        <v>4</v>
      </c>
      <c r="E143" s="17">
        <v>5</v>
      </c>
      <c r="F143" s="18">
        <v>43519</v>
      </c>
      <c r="G143" s="18">
        <v>46113</v>
      </c>
      <c r="H143" s="13">
        <v>32629.81</v>
      </c>
      <c r="I143" s="17">
        <v>6.76</v>
      </c>
      <c r="J143" s="17">
        <v>1</v>
      </c>
    </row>
    <row r="144" spans="1:10" x14ac:dyDescent="0.3">
      <c r="A144" s="17" t="s">
        <v>268</v>
      </c>
      <c r="B144" s="17" t="s">
        <v>108</v>
      </c>
      <c r="C144" s="17" t="s">
        <v>130</v>
      </c>
      <c r="D144" s="17">
        <v>7</v>
      </c>
      <c r="E144" s="17">
        <v>4</v>
      </c>
      <c r="F144" s="18">
        <v>42314</v>
      </c>
      <c r="G144" s="18">
        <v>46113</v>
      </c>
      <c r="H144" s="13">
        <v>50948.68</v>
      </c>
      <c r="I144" s="17">
        <v>4.8099999999999996</v>
      </c>
      <c r="J144" s="17">
        <v>1</v>
      </c>
    </row>
    <row r="145" spans="1:10" x14ac:dyDescent="0.3">
      <c r="A145" s="17" t="s">
        <v>269</v>
      </c>
      <c r="B145" s="17" t="s">
        <v>108</v>
      </c>
      <c r="C145" s="17" t="s">
        <v>130</v>
      </c>
      <c r="D145" s="17">
        <v>5</v>
      </c>
      <c r="E145" s="17">
        <v>4</v>
      </c>
      <c r="F145" s="18">
        <v>42278</v>
      </c>
      <c r="G145" s="18">
        <v>46113</v>
      </c>
      <c r="H145" s="13">
        <v>40767.72</v>
      </c>
      <c r="I145" s="17">
        <v>7.42</v>
      </c>
      <c r="J145" s="17">
        <v>1</v>
      </c>
    </row>
    <row r="146" spans="1:10" x14ac:dyDescent="0.3">
      <c r="A146" s="17" t="s">
        <v>270</v>
      </c>
      <c r="B146" s="17" t="s">
        <v>108</v>
      </c>
      <c r="C146" s="17" t="s">
        <v>125</v>
      </c>
      <c r="D146" s="17">
        <v>8</v>
      </c>
      <c r="E146" s="17">
        <v>2</v>
      </c>
      <c r="F146" s="18">
        <v>39757</v>
      </c>
      <c r="G146" s="18">
        <v>46113</v>
      </c>
      <c r="H146" s="13">
        <v>68336.149999999994</v>
      </c>
      <c r="I146" s="17">
        <v>7.18</v>
      </c>
      <c r="J146" s="17">
        <v>1</v>
      </c>
    </row>
    <row r="147" spans="1:10" x14ac:dyDescent="0.3">
      <c r="A147" s="17" t="s">
        <v>271</v>
      </c>
      <c r="B147" s="17" t="s">
        <v>108</v>
      </c>
      <c r="C147" s="17" t="s">
        <v>130</v>
      </c>
      <c r="D147" s="17">
        <v>7</v>
      </c>
      <c r="E147" s="17">
        <v>3</v>
      </c>
      <c r="F147" s="18">
        <v>40780</v>
      </c>
      <c r="G147" s="18">
        <v>46113</v>
      </c>
      <c r="H147" s="13">
        <v>52182.76</v>
      </c>
      <c r="I147" s="17">
        <v>6.15</v>
      </c>
      <c r="J147" s="17">
        <v>0.8</v>
      </c>
    </row>
    <row r="148" spans="1:10" x14ac:dyDescent="0.3">
      <c r="A148" s="17" t="s">
        <v>272</v>
      </c>
      <c r="B148" s="17" t="s">
        <v>108</v>
      </c>
      <c r="C148" s="17" t="s">
        <v>125</v>
      </c>
      <c r="D148" s="17">
        <v>5</v>
      </c>
      <c r="E148" s="17">
        <v>2</v>
      </c>
      <c r="F148" s="18">
        <v>44469</v>
      </c>
      <c r="G148" s="18">
        <v>46113</v>
      </c>
      <c r="H148" s="13">
        <v>43516.39</v>
      </c>
      <c r="I148" s="17">
        <v>5.63</v>
      </c>
      <c r="J148" s="17">
        <v>1</v>
      </c>
    </row>
    <row r="149" spans="1:10" x14ac:dyDescent="0.3">
      <c r="A149" s="17" t="s">
        <v>273</v>
      </c>
      <c r="B149" s="17" t="s">
        <v>108</v>
      </c>
      <c r="C149" s="17" t="s">
        <v>125</v>
      </c>
      <c r="D149" s="17">
        <v>7</v>
      </c>
      <c r="E149" s="17">
        <v>2</v>
      </c>
      <c r="F149" s="18">
        <v>39684</v>
      </c>
      <c r="G149" s="18">
        <v>46113</v>
      </c>
      <c r="H149" s="13">
        <v>56331.5</v>
      </c>
      <c r="I149" s="17">
        <v>4.6100000000000003</v>
      </c>
      <c r="J149" s="17">
        <v>1</v>
      </c>
    </row>
    <row r="150" spans="1:10" x14ac:dyDescent="0.3">
      <c r="A150" s="17" t="s">
        <v>274</v>
      </c>
      <c r="B150" s="17" t="s">
        <v>108</v>
      </c>
      <c r="C150" s="17" t="s">
        <v>125</v>
      </c>
      <c r="D150" s="17">
        <v>5</v>
      </c>
      <c r="E150" s="17">
        <v>1</v>
      </c>
      <c r="F150" s="18">
        <v>41803</v>
      </c>
      <c r="G150" s="18">
        <v>46113</v>
      </c>
      <c r="H150" s="13">
        <v>46727.34</v>
      </c>
      <c r="I150" s="17">
        <v>5.39</v>
      </c>
      <c r="J150" s="17">
        <v>1</v>
      </c>
    </row>
    <row r="151" spans="1:10" x14ac:dyDescent="0.3">
      <c r="A151" s="17" t="s">
        <v>275</v>
      </c>
      <c r="B151" s="17" t="s">
        <v>108</v>
      </c>
      <c r="C151" s="17" t="s">
        <v>130</v>
      </c>
      <c r="D151" s="17">
        <v>4</v>
      </c>
      <c r="E151" s="17">
        <v>3</v>
      </c>
      <c r="F151" s="18">
        <v>43629</v>
      </c>
      <c r="G151" s="18">
        <v>46113</v>
      </c>
      <c r="H151" s="13">
        <v>35400.67</v>
      </c>
      <c r="I151" s="17">
        <v>6.22</v>
      </c>
      <c r="J151" s="17">
        <v>1</v>
      </c>
    </row>
    <row r="152" spans="1:10" x14ac:dyDescent="0.3">
      <c r="A152" s="17" t="s">
        <v>276</v>
      </c>
      <c r="B152" s="17" t="s">
        <v>108</v>
      </c>
      <c r="C152" s="17" t="s">
        <v>125</v>
      </c>
      <c r="D152" s="17">
        <v>5</v>
      </c>
      <c r="E152" s="17">
        <v>3</v>
      </c>
      <c r="F152" s="18">
        <v>44944</v>
      </c>
      <c r="G152" s="18">
        <v>46113</v>
      </c>
      <c r="H152" s="13">
        <v>42504.66</v>
      </c>
      <c r="I152" s="17">
        <v>6.81</v>
      </c>
      <c r="J152" s="17">
        <v>1</v>
      </c>
    </row>
    <row r="153" spans="1:10" x14ac:dyDescent="0.3">
      <c r="A153" s="17" t="s">
        <v>277</v>
      </c>
      <c r="B153" s="17" t="s">
        <v>108</v>
      </c>
      <c r="C153" s="17" t="s">
        <v>125</v>
      </c>
      <c r="D153" s="17">
        <v>4</v>
      </c>
      <c r="E153" s="17">
        <v>3</v>
      </c>
      <c r="F153" s="18">
        <v>43300</v>
      </c>
      <c r="G153" s="18">
        <v>46113</v>
      </c>
      <c r="H153" s="13">
        <v>39279.35</v>
      </c>
      <c r="I153" s="17">
        <v>5.17</v>
      </c>
      <c r="J153" s="17">
        <v>1</v>
      </c>
    </row>
    <row r="154" spans="1:10" x14ac:dyDescent="0.3">
      <c r="A154" s="17" t="s">
        <v>278</v>
      </c>
      <c r="B154" s="17" t="s">
        <v>108</v>
      </c>
      <c r="C154" s="17" t="s">
        <v>125</v>
      </c>
      <c r="D154" s="17">
        <v>7</v>
      </c>
      <c r="E154" s="17">
        <v>3</v>
      </c>
      <c r="F154" s="18">
        <v>41949</v>
      </c>
      <c r="G154" s="18">
        <v>46113</v>
      </c>
      <c r="H154" s="13">
        <v>58041.49</v>
      </c>
      <c r="I154" s="17">
        <v>5.96</v>
      </c>
      <c r="J154" s="17">
        <v>1</v>
      </c>
    </row>
    <row r="155" spans="1:10" x14ac:dyDescent="0.3">
      <c r="A155" s="17" t="s">
        <v>279</v>
      </c>
      <c r="B155" s="17" t="s">
        <v>108</v>
      </c>
      <c r="C155" s="17" t="s">
        <v>130</v>
      </c>
      <c r="D155" s="17">
        <v>7</v>
      </c>
      <c r="E155" s="17">
        <v>3</v>
      </c>
      <c r="F155" s="18">
        <v>42935</v>
      </c>
      <c r="G155" s="18">
        <v>46113</v>
      </c>
      <c r="H155" s="13">
        <v>54250.81</v>
      </c>
      <c r="I155" s="17">
        <v>6.99</v>
      </c>
      <c r="J155" s="17">
        <v>1</v>
      </c>
    </row>
    <row r="156" spans="1:10" x14ac:dyDescent="0.3">
      <c r="A156" s="17" t="s">
        <v>280</v>
      </c>
      <c r="B156" s="17" t="s">
        <v>108</v>
      </c>
      <c r="C156" s="17" t="s">
        <v>130</v>
      </c>
      <c r="D156" s="17">
        <v>5</v>
      </c>
      <c r="E156" s="17">
        <v>3</v>
      </c>
      <c r="F156" s="18">
        <v>45273</v>
      </c>
      <c r="G156" s="18">
        <v>46113</v>
      </c>
      <c r="H156" s="13">
        <v>35554.089999999997</v>
      </c>
      <c r="I156" s="17">
        <v>4.79</v>
      </c>
      <c r="J156" s="17">
        <v>1</v>
      </c>
    </row>
    <row r="157" spans="1:10" x14ac:dyDescent="0.3">
      <c r="A157" s="17" t="s">
        <v>281</v>
      </c>
      <c r="B157" s="17" t="s">
        <v>108</v>
      </c>
      <c r="C157" s="17" t="s">
        <v>125</v>
      </c>
      <c r="D157" s="17">
        <v>5</v>
      </c>
      <c r="E157" s="17">
        <v>3</v>
      </c>
      <c r="F157" s="18">
        <v>42168</v>
      </c>
      <c r="G157" s="18">
        <v>46113</v>
      </c>
      <c r="H157" s="13">
        <v>46133.279999999999</v>
      </c>
      <c r="I157" s="17">
        <v>4.83</v>
      </c>
      <c r="J157" s="17">
        <v>1</v>
      </c>
    </row>
    <row r="158" spans="1:10" x14ac:dyDescent="0.3">
      <c r="A158" s="17" t="s">
        <v>282</v>
      </c>
      <c r="B158" s="17" t="s">
        <v>107</v>
      </c>
      <c r="C158" s="17" t="s">
        <v>130</v>
      </c>
      <c r="D158" s="17">
        <v>3</v>
      </c>
      <c r="E158" s="17">
        <v>4</v>
      </c>
      <c r="F158" s="18">
        <v>44798</v>
      </c>
      <c r="G158" s="18">
        <v>46113</v>
      </c>
      <c r="H158" s="13">
        <v>29879.439999999999</v>
      </c>
      <c r="I158" s="17">
        <v>4.78</v>
      </c>
      <c r="J158" s="17">
        <v>1</v>
      </c>
    </row>
    <row r="159" spans="1:10" x14ac:dyDescent="0.3">
      <c r="A159" s="17" t="s">
        <v>283</v>
      </c>
      <c r="B159" s="17" t="s">
        <v>107</v>
      </c>
      <c r="C159" s="17" t="s">
        <v>125</v>
      </c>
      <c r="D159" s="17">
        <v>3</v>
      </c>
      <c r="E159" s="17">
        <v>4</v>
      </c>
      <c r="F159" s="18">
        <v>44615</v>
      </c>
      <c r="G159" s="18">
        <v>46113</v>
      </c>
      <c r="H159" s="13">
        <v>32195.23</v>
      </c>
      <c r="I159" s="17">
        <v>4.67</v>
      </c>
      <c r="J159" s="17">
        <v>1</v>
      </c>
    </row>
    <row r="160" spans="1:10" x14ac:dyDescent="0.3">
      <c r="A160" s="17" t="s">
        <v>284</v>
      </c>
      <c r="B160" s="17" t="s">
        <v>107</v>
      </c>
      <c r="C160" s="17" t="s">
        <v>125</v>
      </c>
      <c r="D160" s="17">
        <v>5</v>
      </c>
      <c r="E160" s="17">
        <v>4</v>
      </c>
      <c r="F160" s="18">
        <v>44250</v>
      </c>
      <c r="G160" s="18">
        <v>46113</v>
      </c>
      <c r="H160" s="13">
        <v>39222</v>
      </c>
      <c r="I160" s="17">
        <v>4.97</v>
      </c>
      <c r="J160" s="17">
        <v>0.75</v>
      </c>
    </row>
    <row r="161" spans="1:10" x14ac:dyDescent="0.3">
      <c r="A161" s="17" t="s">
        <v>285</v>
      </c>
      <c r="B161" s="17" t="s">
        <v>107</v>
      </c>
      <c r="C161" s="17" t="s">
        <v>125</v>
      </c>
      <c r="D161" s="17">
        <v>6</v>
      </c>
      <c r="E161" s="17">
        <v>3</v>
      </c>
      <c r="F161" s="18">
        <v>41876</v>
      </c>
      <c r="G161" s="18">
        <v>46113</v>
      </c>
      <c r="H161" s="13">
        <v>48769.2</v>
      </c>
      <c r="I161" s="17">
        <v>4.83</v>
      </c>
      <c r="J161" s="17">
        <v>1</v>
      </c>
    </row>
    <row r="162" spans="1:10" x14ac:dyDescent="0.3">
      <c r="A162" s="17" t="s">
        <v>286</v>
      </c>
      <c r="B162" s="17" t="s">
        <v>107</v>
      </c>
      <c r="C162" s="17" t="s">
        <v>125</v>
      </c>
      <c r="D162" s="17">
        <v>6</v>
      </c>
      <c r="E162" s="17">
        <v>5</v>
      </c>
      <c r="F162" s="18">
        <v>43337</v>
      </c>
      <c r="G162" s="18">
        <v>46113</v>
      </c>
      <c r="H162" s="13">
        <v>48810.1</v>
      </c>
      <c r="I162" s="17">
        <v>4.8099999999999996</v>
      </c>
      <c r="J162" s="17">
        <v>1</v>
      </c>
    </row>
    <row r="163" spans="1:10" x14ac:dyDescent="0.3">
      <c r="A163" s="17" t="s">
        <v>287</v>
      </c>
      <c r="B163" s="17" t="s">
        <v>107</v>
      </c>
      <c r="C163" s="17" t="s">
        <v>130</v>
      </c>
      <c r="D163" s="17">
        <v>3</v>
      </c>
      <c r="E163" s="17">
        <v>2</v>
      </c>
      <c r="F163" s="18">
        <v>44907</v>
      </c>
      <c r="G163" s="18">
        <v>46113</v>
      </c>
      <c r="H163" s="13">
        <v>28505.19</v>
      </c>
      <c r="I163" s="17">
        <v>5.66</v>
      </c>
      <c r="J163" s="17">
        <v>1</v>
      </c>
    </row>
    <row r="164" spans="1:10" x14ac:dyDescent="0.3">
      <c r="A164" s="17" t="s">
        <v>288</v>
      </c>
      <c r="B164" s="17" t="s">
        <v>107</v>
      </c>
      <c r="C164" s="17" t="s">
        <v>130</v>
      </c>
      <c r="D164" s="17">
        <v>5</v>
      </c>
      <c r="E164" s="17">
        <v>5</v>
      </c>
      <c r="F164" s="18">
        <v>43227</v>
      </c>
      <c r="G164" s="18">
        <v>46113</v>
      </c>
      <c r="H164" s="13">
        <v>41073.199999999997</v>
      </c>
      <c r="I164" s="17">
        <v>5</v>
      </c>
      <c r="J164" s="17">
        <v>0.5</v>
      </c>
    </row>
    <row r="165" spans="1:10" x14ac:dyDescent="0.3">
      <c r="A165" s="17" t="s">
        <v>289</v>
      </c>
      <c r="B165" s="17" t="s">
        <v>107</v>
      </c>
      <c r="C165" s="17" t="s">
        <v>125</v>
      </c>
      <c r="D165" s="17">
        <v>3</v>
      </c>
      <c r="E165" s="17">
        <v>4</v>
      </c>
      <c r="F165" s="18">
        <v>45967</v>
      </c>
      <c r="G165" s="18">
        <v>46113</v>
      </c>
      <c r="H165" s="13">
        <v>22587.34</v>
      </c>
      <c r="I165" s="17">
        <v>4.97</v>
      </c>
      <c r="J165" s="17">
        <v>1</v>
      </c>
    </row>
    <row r="166" spans="1:10" x14ac:dyDescent="0.3">
      <c r="A166" s="17" t="s">
        <v>290</v>
      </c>
      <c r="B166" s="17" t="s">
        <v>107</v>
      </c>
      <c r="C166" s="17" t="s">
        <v>130</v>
      </c>
      <c r="D166" s="17">
        <v>3</v>
      </c>
      <c r="E166" s="17">
        <v>2</v>
      </c>
      <c r="F166" s="18">
        <v>44213</v>
      </c>
      <c r="G166" s="18">
        <v>46292</v>
      </c>
      <c r="H166" s="13">
        <v>32061.13</v>
      </c>
      <c r="I166" s="17">
        <v>4.6100000000000003</v>
      </c>
      <c r="J166" s="17">
        <v>1</v>
      </c>
    </row>
    <row r="167" spans="1:10" x14ac:dyDescent="0.3">
      <c r="A167" s="17" t="s">
        <v>291</v>
      </c>
      <c r="B167" s="17" t="s">
        <v>107</v>
      </c>
      <c r="C167" s="17" t="s">
        <v>125</v>
      </c>
      <c r="D167" s="17">
        <v>6</v>
      </c>
      <c r="E167" s="17">
        <v>3</v>
      </c>
      <c r="F167" s="18">
        <v>41364</v>
      </c>
      <c r="G167" s="18">
        <v>46113</v>
      </c>
      <c r="H167" s="13">
        <v>50938.91</v>
      </c>
      <c r="I167" s="17">
        <v>4.8499999999999996</v>
      </c>
      <c r="J167" s="17">
        <v>1</v>
      </c>
    </row>
    <row r="168" spans="1:10" x14ac:dyDescent="0.3">
      <c r="A168" s="17" t="s">
        <v>292</v>
      </c>
      <c r="B168" s="17" t="s">
        <v>107</v>
      </c>
      <c r="C168" s="17" t="s">
        <v>125</v>
      </c>
      <c r="D168" s="17">
        <v>5</v>
      </c>
      <c r="E168" s="17">
        <v>3</v>
      </c>
      <c r="F168" s="18">
        <v>43227</v>
      </c>
      <c r="G168" s="18">
        <v>46113</v>
      </c>
      <c r="H168" s="13">
        <v>43593.85</v>
      </c>
      <c r="I168" s="17">
        <v>4.42</v>
      </c>
      <c r="J168" s="17">
        <v>1</v>
      </c>
    </row>
    <row r="169" spans="1:10" x14ac:dyDescent="0.3">
      <c r="A169" s="17" t="s">
        <v>293</v>
      </c>
      <c r="B169" s="17" t="s">
        <v>107</v>
      </c>
      <c r="C169" s="17" t="s">
        <v>130</v>
      </c>
      <c r="D169" s="17">
        <v>6</v>
      </c>
      <c r="E169" s="17">
        <v>5</v>
      </c>
      <c r="F169" s="18">
        <v>43629</v>
      </c>
      <c r="G169" s="18">
        <v>46113</v>
      </c>
      <c r="H169" s="13">
        <v>44143.53</v>
      </c>
      <c r="I169" s="17">
        <v>4.5</v>
      </c>
      <c r="J169" s="17">
        <v>1</v>
      </c>
    </row>
    <row r="170" spans="1:10" x14ac:dyDescent="0.3">
      <c r="A170" s="17" t="s">
        <v>294</v>
      </c>
      <c r="B170" s="17" t="s">
        <v>107</v>
      </c>
      <c r="C170" s="17" t="s">
        <v>130</v>
      </c>
      <c r="D170" s="17">
        <v>4</v>
      </c>
      <c r="E170" s="17">
        <v>4</v>
      </c>
      <c r="F170" s="18">
        <v>44542</v>
      </c>
      <c r="G170" s="18">
        <v>46269</v>
      </c>
      <c r="H170" s="13">
        <v>30996.080000000002</v>
      </c>
      <c r="I170" s="17">
        <v>4.32</v>
      </c>
      <c r="J170" s="17">
        <v>1</v>
      </c>
    </row>
    <row r="171" spans="1:10" x14ac:dyDescent="0.3">
      <c r="A171" s="17" t="s">
        <v>295</v>
      </c>
      <c r="B171" s="17" t="s">
        <v>107</v>
      </c>
      <c r="C171" s="17" t="s">
        <v>130</v>
      </c>
      <c r="D171" s="17">
        <v>4</v>
      </c>
      <c r="E171" s="17">
        <v>2</v>
      </c>
      <c r="F171" s="18">
        <v>45382</v>
      </c>
      <c r="G171" s="18">
        <v>46113</v>
      </c>
      <c r="H171" s="13">
        <v>33963.9</v>
      </c>
      <c r="I171" s="17">
        <v>4.16</v>
      </c>
      <c r="J171" s="17">
        <v>0.5</v>
      </c>
    </row>
    <row r="172" spans="1:10" x14ac:dyDescent="0.3">
      <c r="A172" s="17" t="s">
        <v>296</v>
      </c>
      <c r="B172" s="17" t="s">
        <v>107</v>
      </c>
      <c r="C172" s="17" t="s">
        <v>130</v>
      </c>
      <c r="D172" s="17">
        <v>5</v>
      </c>
      <c r="E172" s="17">
        <v>4</v>
      </c>
      <c r="F172" s="18">
        <v>44506</v>
      </c>
      <c r="G172" s="18">
        <v>46113</v>
      </c>
      <c r="H172" s="13">
        <v>39749.22</v>
      </c>
      <c r="I172" s="17">
        <v>4.4400000000000004</v>
      </c>
      <c r="J172" s="17">
        <v>0.6</v>
      </c>
    </row>
    <row r="173" spans="1:10" x14ac:dyDescent="0.3">
      <c r="A173" s="17" t="s">
        <v>297</v>
      </c>
      <c r="B173" s="17" t="s">
        <v>107</v>
      </c>
      <c r="C173" s="17" t="s">
        <v>125</v>
      </c>
      <c r="D173" s="17">
        <v>5</v>
      </c>
      <c r="E173" s="17">
        <v>3</v>
      </c>
      <c r="F173" s="18">
        <v>43958</v>
      </c>
      <c r="G173" s="18">
        <v>46113</v>
      </c>
      <c r="H173" s="13">
        <v>44350.12</v>
      </c>
      <c r="I173" s="17">
        <v>6.1</v>
      </c>
      <c r="J173" s="17">
        <v>1</v>
      </c>
    </row>
    <row r="174" spans="1:10" x14ac:dyDescent="0.3">
      <c r="A174" s="17" t="s">
        <v>298</v>
      </c>
      <c r="B174" s="17" t="s">
        <v>107</v>
      </c>
      <c r="C174" s="17" t="s">
        <v>130</v>
      </c>
      <c r="D174" s="17">
        <v>3</v>
      </c>
      <c r="E174" s="17">
        <v>3</v>
      </c>
      <c r="F174" s="18">
        <v>45200</v>
      </c>
      <c r="G174" s="18">
        <v>46113</v>
      </c>
      <c r="H174" s="13">
        <v>23252.04</v>
      </c>
      <c r="I174" s="17">
        <v>4.6500000000000004</v>
      </c>
      <c r="J174" s="17">
        <v>1</v>
      </c>
    </row>
    <row r="175" spans="1:10" x14ac:dyDescent="0.3">
      <c r="A175" s="17" t="s">
        <v>299</v>
      </c>
      <c r="B175" s="17" t="s">
        <v>107</v>
      </c>
      <c r="C175" s="17" t="s">
        <v>130</v>
      </c>
      <c r="D175" s="17">
        <v>3</v>
      </c>
      <c r="E175" s="17">
        <v>2</v>
      </c>
      <c r="F175" s="18">
        <v>44213</v>
      </c>
      <c r="G175" s="18">
        <v>46113</v>
      </c>
      <c r="H175" s="13">
        <v>30009.58</v>
      </c>
      <c r="I175" s="17">
        <v>5.95</v>
      </c>
      <c r="J175" s="17">
        <v>1</v>
      </c>
    </row>
    <row r="176" spans="1:10" x14ac:dyDescent="0.3">
      <c r="A176" s="17" t="s">
        <v>300</v>
      </c>
      <c r="B176" s="17" t="s">
        <v>107</v>
      </c>
      <c r="C176" s="17" t="s">
        <v>130</v>
      </c>
      <c r="D176" s="17">
        <v>3</v>
      </c>
      <c r="E176" s="17">
        <v>5</v>
      </c>
      <c r="F176" s="18">
        <v>46317</v>
      </c>
      <c r="G176" s="18">
        <v>46317</v>
      </c>
      <c r="H176" s="13">
        <v>29153.919999999998</v>
      </c>
      <c r="I176" s="17">
        <v>5.96</v>
      </c>
      <c r="J176" s="17">
        <v>1</v>
      </c>
    </row>
    <row r="177" spans="1:10" x14ac:dyDescent="0.3">
      <c r="A177" s="17" t="s">
        <v>301</v>
      </c>
      <c r="B177" s="17" t="s">
        <v>107</v>
      </c>
      <c r="C177" s="17" t="s">
        <v>130</v>
      </c>
      <c r="D177" s="17">
        <v>3</v>
      </c>
      <c r="E177" s="17">
        <v>3</v>
      </c>
      <c r="F177" s="18">
        <v>44396</v>
      </c>
      <c r="G177" s="18">
        <v>46113</v>
      </c>
      <c r="H177" s="13">
        <v>31813.68</v>
      </c>
      <c r="I177" s="17">
        <v>5.47</v>
      </c>
      <c r="J177" s="17">
        <v>1</v>
      </c>
    </row>
    <row r="178" spans="1:10" x14ac:dyDescent="0.3">
      <c r="A178" s="17" t="s">
        <v>302</v>
      </c>
      <c r="B178" s="17" t="s">
        <v>107</v>
      </c>
      <c r="C178" s="17" t="s">
        <v>125</v>
      </c>
      <c r="D178" s="17">
        <v>6</v>
      </c>
      <c r="E178" s="17">
        <v>3</v>
      </c>
      <c r="F178" s="18">
        <v>42862</v>
      </c>
      <c r="G178" s="18">
        <v>46113</v>
      </c>
      <c r="H178" s="13">
        <v>46145.18</v>
      </c>
      <c r="I178" s="17">
        <v>5.31</v>
      </c>
      <c r="J178" s="17">
        <v>1</v>
      </c>
    </row>
    <row r="179" spans="1:10" x14ac:dyDescent="0.3">
      <c r="A179" s="17" t="s">
        <v>303</v>
      </c>
      <c r="B179" s="17" t="s">
        <v>107</v>
      </c>
      <c r="C179" s="17" t="s">
        <v>125</v>
      </c>
      <c r="D179" s="17">
        <v>4</v>
      </c>
      <c r="E179" s="17">
        <v>3</v>
      </c>
      <c r="F179" s="18">
        <v>44579</v>
      </c>
      <c r="G179" s="18">
        <v>46113</v>
      </c>
      <c r="H179" s="13">
        <v>37896.58</v>
      </c>
      <c r="I179" s="17">
        <v>5.34</v>
      </c>
      <c r="J179" s="17">
        <v>1</v>
      </c>
    </row>
    <row r="180" spans="1:10" x14ac:dyDescent="0.3">
      <c r="A180" s="17" t="s">
        <v>304</v>
      </c>
      <c r="B180" s="17" t="s">
        <v>107</v>
      </c>
      <c r="C180" s="17" t="s">
        <v>125</v>
      </c>
      <c r="D180" s="17">
        <v>5</v>
      </c>
      <c r="E180" s="17">
        <v>3</v>
      </c>
      <c r="F180" s="18">
        <v>43118</v>
      </c>
      <c r="G180" s="18">
        <v>46113</v>
      </c>
      <c r="H180" s="13">
        <v>43405.73</v>
      </c>
      <c r="I180" s="17">
        <v>5.44</v>
      </c>
      <c r="J180" s="17">
        <v>1</v>
      </c>
    </row>
    <row r="181" spans="1:10" x14ac:dyDescent="0.3">
      <c r="A181" s="17" t="s">
        <v>305</v>
      </c>
      <c r="B181" s="17" t="s">
        <v>107</v>
      </c>
      <c r="C181" s="17" t="s">
        <v>125</v>
      </c>
      <c r="D181" s="17">
        <v>4</v>
      </c>
      <c r="E181" s="17">
        <v>1</v>
      </c>
      <c r="F181" s="18">
        <v>45492</v>
      </c>
      <c r="G181" s="18">
        <v>46113</v>
      </c>
      <c r="H181" s="13">
        <v>25699.63</v>
      </c>
      <c r="I181" s="17">
        <v>5.21</v>
      </c>
      <c r="J181" s="17">
        <v>1</v>
      </c>
    </row>
    <row r="182" spans="1:10" x14ac:dyDescent="0.3">
      <c r="A182" s="17" t="s">
        <v>306</v>
      </c>
      <c r="B182" s="17" t="s">
        <v>107</v>
      </c>
      <c r="C182" s="17" t="s">
        <v>125</v>
      </c>
      <c r="D182" s="17">
        <v>5</v>
      </c>
      <c r="E182" s="17">
        <v>3</v>
      </c>
      <c r="F182" s="18">
        <v>44177</v>
      </c>
      <c r="G182" s="18">
        <v>46113</v>
      </c>
      <c r="H182" s="13">
        <v>41657.29</v>
      </c>
      <c r="I182" s="17">
        <v>4.49</v>
      </c>
      <c r="J182" s="17">
        <v>1</v>
      </c>
    </row>
    <row r="183" spans="1:10" x14ac:dyDescent="0.3">
      <c r="A183" s="17" t="s">
        <v>307</v>
      </c>
      <c r="B183" s="17" t="s">
        <v>107</v>
      </c>
      <c r="C183" s="17" t="s">
        <v>125</v>
      </c>
      <c r="D183" s="17">
        <v>4</v>
      </c>
      <c r="E183" s="17">
        <v>2</v>
      </c>
      <c r="F183" s="18">
        <v>43775</v>
      </c>
      <c r="G183" s="18">
        <v>46113</v>
      </c>
      <c r="H183" s="13">
        <v>36329.9</v>
      </c>
      <c r="I183" s="17">
        <v>4.71</v>
      </c>
      <c r="J183" s="17">
        <v>1</v>
      </c>
    </row>
    <row r="184" spans="1:10" x14ac:dyDescent="0.3">
      <c r="A184" s="17" t="s">
        <v>308</v>
      </c>
      <c r="B184" s="17" t="s">
        <v>107</v>
      </c>
      <c r="C184" s="17" t="s">
        <v>125</v>
      </c>
      <c r="D184" s="17">
        <v>4</v>
      </c>
      <c r="E184" s="17">
        <v>5</v>
      </c>
      <c r="F184" s="18">
        <v>45127</v>
      </c>
      <c r="G184" s="18">
        <v>46113</v>
      </c>
      <c r="H184" s="13">
        <v>34672.81</v>
      </c>
      <c r="I184" s="17">
        <v>5.39</v>
      </c>
      <c r="J184" s="17">
        <v>1</v>
      </c>
    </row>
    <row r="185" spans="1:10" x14ac:dyDescent="0.3">
      <c r="A185" s="17" t="s">
        <v>309</v>
      </c>
      <c r="B185" s="17" t="s">
        <v>107</v>
      </c>
      <c r="C185" s="17" t="s">
        <v>125</v>
      </c>
      <c r="D185" s="17">
        <v>4</v>
      </c>
      <c r="E185" s="17">
        <v>5</v>
      </c>
      <c r="F185" s="18">
        <v>45090</v>
      </c>
      <c r="G185" s="18">
        <v>46113</v>
      </c>
      <c r="H185" s="13">
        <v>27579.18</v>
      </c>
      <c r="I185" s="17">
        <v>6.1</v>
      </c>
      <c r="J185" s="17">
        <v>1</v>
      </c>
    </row>
    <row r="186" spans="1:10" x14ac:dyDescent="0.3">
      <c r="A186" s="17" t="s">
        <v>310</v>
      </c>
      <c r="B186" s="17" t="s">
        <v>107</v>
      </c>
      <c r="C186" s="17" t="s">
        <v>125</v>
      </c>
      <c r="D186" s="17">
        <v>4</v>
      </c>
      <c r="E186" s="17">
        <v>3</v>
      </c>
      <c r="F186" s="18">
        <v>43848</v>
      </c>
      <c r="G186" s="18">
        <v>46113</v>
      </c>
      <c r="H186" s="13">
        <v>38844.18</v>
      </c>
      <c r="I186" s="17">
        <v>5.66</v>
      </c>
      <c r="J186" s="17">
        <v>1</v>
      </c>
    </row>
    <row r="187" spans="1:10" x14ac:dyDescent="0.3">
      <c r="A187" s="17" t="s">
        <v>311</v>
      </c>
      <c r="B187" s="17" t="s">
        <v>107</v>
      </c>
      <c r="C187" s="17" t="s">
        <v>130</v>
      </c>
      <c r="D187" s="17">
        <v>5</v>
      </c>
      <c r="E187" s="17">
        <v>3</v>
      </c>
      <c r="F187" s="18">
        <v>42935</v>
      </c>
      <c r="G187" s="18">
        <v>46113</v>
      </c>
      <c r="H187" s="13">
        <v>35685.33</v>
      </c>
      <c r="I187" s="17">
        <v>5.55</v>
      </c>
      <c r="J187" s="17">
        <v>1</v>
      </c>
    </row>
    <row r="188" spans="1:10" x14ac:dyDescent="0.3">
      <c r="A188" s="17" t="s">
        <v>312</v>
      </c>
      <c r="B188" s="17" t="s">
        <v>112</v>
      </c>
      <c r="C188" s="17" t="s">
        <v>130</v>
      </c>
      <c r="D188" s="17">
        <v>9</v>
      </c>
      <c r="E188" s="17">
        <v>3</v>
      </c>
      <c r="F188" s="18">
        <v>44871</v>
      </c>
      <c r="G188" s="18">
        <v>46113</v>
      </c>
      <c r="H188" s="13">
        <v>65665.600000000006</v>
      </c>
      <c r="I188" s="17">
        <v>13</v>
      </c>
      <c r="J188" s="17">
        <v>1</v>
      </c>
    </row>
    <row r="189" spans="1:10" x14ac:dyDescent="0.3">
      <c r="A189" s="17" t="s">
        <v>313</v>
      </c>
      <c r="B189" s="17" t="s">
        <v>112</v>
      </c>
      <c r="C189" s="17" t="s">
        <v>125</v>
      </c>
      <c r="D189" s="17">
        <v>9</v>
      </c>
      <c r="E189" s="17">
        <v>3</v>
      </c>
      <c r="F189" s="18">
        <v>44871</v>
      </c>
      <c r="G189" s="18">
        <v>46113</v>
      </c>
      <c r="H189" s="13">
        <v>65665.600000000006</v>
      </c>
      <c r="I189" s="17">
        <v>26</v>
      </c>
      <c r="J189" s="17">
        <v>1</v>
      </c>
    </row>
    <row r="190" spans="1:10" x14ac:dyDescent="0.3">
      <c r="A190" s="17" t="s">
        <v>314</v>
      </c>
      <c r="B190" s="17" t="s">
        <v>112</v>
      </c>
      <c r="C190" s="17" t="s">
        <v>130</v>
      </c>
      <c r="D190" s="17">
        <v>8</v>
      </c>
      <c r="E190" s="17">
        <v>3</v>
      </c>
      <c r="F190" s="18">
        <v>45017</v>
      </c>
      <c r="G190" s="18">
        <v>46113</v>
      </c>
      <c r="H190" s="13">
        <v>47360.49</v>
      </c>
      <c r="I190" s="17">
        <v>13</v>
      </c>
      <c r="J190" s="17">
        <v>1</v>
      </c>
    </row>
    <row r="191" spans="1:10" x14ac:dyDescent="0.3">
      <c r="A191" s="17" t="s">
        <v>315</v>
      </c>
      <c r="B191" s="17" t="s">
        <v>112</v>
      </c>
      <c r="C191" s="17" t="s">
        <v>125</v>
      </c>
      <c r="D191" s="17">
        <v>8</v>
      </c>
      <c r="E191" s="17">
        <v>2</v>
      </c>
      <c r="F191" s="18">
        <v>45017</v>
      </c>
      <c r="G191" s="18">
        <v>46113</v>
      </c>
      <c r="H191" s="13">
        <v>58300</v>
      </c>
      <c r="I191" s="17">
        <v>26</v>
      </c>
      <c r="J191" s="17">
        <v>1</v>
      </c>
    </row>
    <row r="192" spans="1:10" x14ac:dyDescent="0.3">
      <c r="A192" s="17" t="s">
        <v>316</v>
      </c>
      <c r="B192" s="17" t="s">
        <v>112</v>
      </c>
      <c r="C192" s="17" t="s">
        <v>130</v>
      </c>
      <c r="D192" s="17">
        <v>8</v>
      </c>
      <c r="E192" s="17">
        <v>3</v>
      </c>
      <c r="F192" s="18">
        <v>45309</v>
      </c>
      <c r="G192" s="18">
        <v>46113</v>
      </c>
      <c r="H192" s="13">
        <v>57640</v>
      </c>
      <c r="I192" s="17">
        <v>13</v>
      </c>
      <c r="J192" s="17">
        <v>1</v>
      </c>
    </row>
    <row r="193" spans="1:10" x14ac:dyDescent="0.3">
      <c r="A193" s="17" t="s">
        <v>317</v>
      </c>
      <c r="B193" s="17" t="s">
        <v>112</v>
      </c>
      <c r="C193" s="17" t="s">
        <v>125</v>
      </c>
      <c r="D193" s="17">
        <v>8</v>
      </c>
      <c r="E193" s="17">
        <v>3</v>
      </c>
      <c r="F193" s="18">
        <v>45309</v>
      </c>
      <c r="G193" s="18">
        <v>46244</v>
      </c>
      <c r="H193" s="13">
        <v>48905.94</v>
      </c>
      <c r="I193" s="17">
        <v>26</v>
      </c>
      <c r="J193" s="17">
        <v>1</v>
      </c>
    </row>
    <row r="194" spans="1:10" x14ac:dyDescent="0.3">
      <c r="A194" s="17" t="s">
        <v>318</v>
      </c>
      <c r="B194" s="17" t="s">
        <v>112</v>
      </c>
      <c r="C194" s="17" t="s">
        <v>130</v>
      </c>
      <c r="D194" s="17">
        <v>10</v>
      </c>
      <c r="E194" s="17">
        <v>2</v>
      </c>
      <c r="F194" s="18">
        <v>43885</v>
      </c>
      <c r="G194" s="18">
        <v>46113</v>
      </c>
      <c r="H194" s="13">
        <v>76339.649999999994</v>
      </c>
      <c r="I194" s="17">
        <v>13</v>
      </c>
      <c r="J194" s="17">
        <v>1</v>
      </c>
    </row>
    <row r="195" spans="1:10" x14ac:dyDescent="0.3">
      <c r="A195" s="17" t="s">
        <v>319</v>
      </c>
      <c r="B195" s="17" t="s">
        <v>112</v>
      </c>
      <c r="C195" s="17" t="s">
        <v>125</v>
      </c>
      <c r="D195" s="17">
        <v>10</v>
      </c>
      <c r="E195" s="17">
        <v>3</v>
      </c>
      <c r="F195" s="18">
        <v>43885</v>
      </c>
      <c r="G195" s="18">
        <v>46113</v>
      </c>
      <c r="H195" s="13">
        <v>76339.649999999994</v>
      </c>
      <c r="I195" s="17">
        <v>26</v>
      </c>
      <c r="J195" s="17">
        <v>1</v>
      </c>
    </row>
    <row r="196" spans="1:10" x14ac:dyDescent="0.3">
      <c r="A196" s="17" t="s">
        <v>320</v>
      </c>
      <c r="B196" s="17" t="s">
        <v>112</v>
      </c>
      <c r="C196" s="17" t="s">
        <v>130</v>
      </c>
      <c r="D196" s="17">
        <v>11</v>
      </c>
      <c r="E196" s="17">
        <v>3</v>
      </c>
      <c r="F196" s="18">
        <v>42132</v>
      </c>
      <c r="G196" s="18">
        <v>46113</v>
      </c>
      <c r="H196" s="13">
        <v>91063.92</v>
      </c>
      <c r="I196" s="17">
        <v>13</v>
      </c>
      <c r="J196" s="17">
        <v>1</v>
      </c>
    </row>
    <row r="197" spans="1:10" x14ac:dyDescent="0.3">
      <c r="A197" s="17" t="s">
        <v>321</v>
      </c>
      <c r="B197" s="17" t="s">
        <v>112</v>
      </c>
      <c r="C197" s="17" t="s">
        <v>125</v>
      </c>
      <c r="D197" s="17">
        <v>11</v>
      </c>
      <c r="E197" s="17">
        <v>4</v>
      </c>
      <c r="F197" s="18">
        <v>42132</v>
      </c>
      <c r="G197" s="18">
        <v>46113</v>
      </c>
      <c r="H197" s="13">
        <v>91063.92</v>
      </c>
      <c r="I197" s="17">
        <v>26</v>
      </c>
      <c r="J197" s="17">
        <v>1</v>
      </c>
    </row>
    <row r="198" spans="1:10" x14ac:dyDescent="0.3">
      <c r="A198" s="17" t="s">
        <v>322</v>
      </c>
      <c r="B198" s="17" t="s">
        <v>112</v>
      </c>
      <c r="C198" s="17" t="s">
        <v>130</v>
      </c>
      <c r="D198" s="17">
        <v>9</v>
      </c>
      <c r="E198" s="17">
        <v>2</v>
      </c>
      <c r="F198" s="18">
        <v>45601</v>
      </c>
      <c r="G198" s="18">
        <v>46113</v>
      </c>
      <c r="H198" s="13">
        <v>63817.599999999999</v>
      </c>
      <c r="I198" s="17">
        <v>13</v>
      </c>
      <c r="J198" s="17">
        <v>1</v>
      </c>
    </row>
    <row r="199" spans="1:10" x14ac:dyDescent="0.3">
      <c r="A199" s="17" t="s">
        <v>323</v>
      </c>
      <c r="B199" s="17" t="s">
        <v>112</v>
      </c>
      <c r="C199" s="17" t="s">
        <v>125</v>
      </c>
      <c r="D199" s="17">
        <v>9</v>
      </c>
      <c r="E199" s="17">
        <v>2</v>
      </c>
      <c r="F199" s="18">
        <v>45601</v>
      </c>
      <c r="G199" s="18">
        <v>46113</v>
      </c>
      <c r="H199" s="13">
        <v>55135.17</v>
      </c>
      <c r="I199" s="17">
        <v>26</v>
      </c>
      <c r="J199" s="17">
        <v>1</v>
      </c>
    </row>
    <row r="200" spans="1:10" x14ac:dyDescent="0.3">
      <c r="A200" s="17" t="s">
        <v>324</v>
      </c>
      <c r="B200" s="17" t="s">
        <v>112</v>
      </c>
      <c r="C200" s="17" t="s">
        <v>130</v>
      </c>
      <c r="D200" s="17">
        <v>8</v>
      </c>
      <c r="E200" s="17">
        <v>3</v>
      </c>
      <c r="F200" s="18">
        <v>45857</v>
      </c>
      <c r="G200" s="18">
        <v>46113</v>
      </c>
      <c r="H200" s="13">
        <v>56402.5</v>
      </c>
      <c r="I200" s="17">
        <v>13</v>
      </c>
      <c r="J200" s="17">
        <v>1</v>
      </c>
    </row>
    <row r="201" spans="1:10" x14ac:dyDescent="0.3">
      <c r="A201" s="17" t="s">
        <v>325</v>
      </c>
      <c r="B201" s="17" t="s">
        <v>112</v>
      </c>
      <c r="C201" s="17" t="s">
        <v>125</v>
      </c>
      <c r="D201" s="17">
        <v>8</v>
      </c>
      <c r="E201" s="17">
        <v>2</v>
      </c>
      <c r="F201" s="18">
        <v>45857</v>
      </c>
      <c r="G201" s="18">
        <v>46113</v>
      </c>
      <c r="H201" s="13">
        <v>56402.5</v>
      </c>
      <c r="I201" s="17">
        <v>26</v>
      </c>
      <c r="J201" s="17">
        <v>1</v>
      </c>
    </row>
    <row r="202" spans="1:10" x14ac:dyDescent="0.3">
      <c r="A202" s="17" t="s">
        <v>326</v>
      </c>
      <c r="B202" s="17" t="s">
        <v>112</v>
      </c>
      <c r="C202" s="17" t="s">
        <v>130</v>
      </c>
      <c r="D202" s="17">
        <v>10</v>
      </c>
      <c r="E202" s="17">
        <v>4</v>
      </c>
      <c r="F202" s="18">
        <v>43812</v>
      </c>
      <c r="G202" s="18">
        <v>46113</v>
      </c>
      <c r="H202" s="13">
        <v>76546.62</v>
      </c>
      <c r="I202" s="17">
        <v>13</v>
      </c>
      <c r="J202" s="17">
        <v>1</v>
      </c>
    </row>
    <row r="203" spans="1:10" x14ac:dyDescent="0.3">
      <c r="A203" s="17" t="s">
        <v>327</v>
      </c>
      <c r="B203" s="17" t="s">
        <v>112</v>
      </c>
      <c r="C203" s="17" t="s">
        <v>125</v>
      </c>
      <c r="D203" s="17">
        <v>10</v>
      </c>
      <c r="E203" s="17">
        <v>4</v>
      </c>
      <c r="F203" s="18">
        <v>43812</v>
      </c>
      <c r="G203" s="18">
        <v>46113</v>
      </c>
      <c r="H203" s="13">
        <v>76546.62</v>
      </c>
      <c r="I203" s="17">
        <v>26</v>
      </c>
      <c r="J203" s="17">
        <v>1</v>
      </c>
    </row>
    <row r="204" spans="1:10" x14ac:dyDescent="0.3">
      <c r="A204" s="17" t="s">
        <v>328</v>
      </c>
      <c r="B204" s="17" t="s">
        <v>112</v>
      </c>
      <c r="C204" s="17" t="s">
        <v>130</v>
      </c>
      <c r="D204" s="17">
        <v>12</v>
      </c>
      <c r="E204" s="17">
        <v>4</v>
      </c>
      <c r="F204" s="18">
        <v>42935</v>
      </c>
      <c r="G204" s="18">
        <v>46113</v>
      </c>
      <c r="H204" s="13">
        <v>99135.65</v>
      </c>
      <c r="I204" s="17">
        <v>13</v>
      </c>
      <c r="J204" s="17">
        <v>1</v>
      </c>
    </row>
    <row r="205" spans="1:10" x14ac:dyDescent="0.3">
      <c r="A205" s="17" t="s">
        <v>329</v>
      </c>
      <c r="B205" s="17" t="s">
        <v>112</v>
      </c>
      <c r="C205" s="17" t="s">
        <v>125</v>
      </c>
      <c r="D205" s="17">
        <v>12</v>
      </c>
      <c r="E205" s="17">
        <v>4</v>
      </c>
      <c r="F205" s="18">
        <v>42935</v>
      </c>
      <c r="G205" s="18">
        <v>46113</v>
      </c>
      <c r="H205" s="13">
        <v>99135.65</v>
      </c>
      <c r="I205" s="17">
        <v>26</v>
      </c>
      <c r="J205" s="17">
        <v>1</v>
      </c>
    </row>
    <row r="206" spans="1:10" x14ac:dyDescent="0.3">
      <c r="A206" s="17" t="s">
        <v>330</v>
      </c>
      <c r="B206" s="17" t="s">
        <v>112</v>
      </c>
      <c r="C206" s="17" t="s">
        <v>130</v>
      </c>
      <c r="D206" s="17">
        <v>11</v>
      </c>
      <c r="E206" s="17">
        <v>3</v>
      </c>
      <c r="F206" s="18">
        <v>43629</v>
      </c>
      <c r="G206" s="18">
        <v>46113</v>
      </c>
      <c r="H206" s="13">
        <v>86311.75</v>
      </c>
      <c r="I206" s="17">
        <v>13</v>
      </c>
      <c r="J206" s="17">
        <v>1</v>
      </c>
    </row>
    <row r="207" spans="1:10" x14ac:dyDescent="0.3">
      <c r="A207" s="17" t="s">
        <v>331</v>
      </c>
      <c r="B207" s="17" t="s">
        <v>112</v>
      </c>
      <c r="C207" s="17" t="s">
        <v>125</v>
      </c>
      <c r="D207" s="17">
        <v>11</v>
      </c>
      <c r="E207" s="17">
        <v>3</v>
      </c>
      <c r="F207" s="18">
        <v>43629</v>
      </c>
      <c r="G207" s="18">
        <v>46113</v>
      </c>
      <c r="H207" s="13">
        <v>86311.75</v>
      </c>
      <c r="I207" s="17">
        <v>26</v>
      </c>
      <c r="J207" s="17">
        <v>1</v>
      </c>
    </row>
    <row r="208" spans="1:10" x14ac:dyDescent="0.3">
      <c r="A208" s="17" t="s">
        <v>332</v>
      </c>
      <c r="B208" s="17" t="s">
        <v>112</v>
      </c>
      <c r="C208" s="17" t="s">
        <v>130</v>
      </c>
      <c r="D208" s="17">
        <v>10</v>
      </c>
      <c r="E208" s="17">
        <v>2</v>
      </c>
      <c r="F208" s="18">
        <v>44652</v>
      </c>
      <c r="G208" s="18">
        <v>46113</v>
      </c>
      <c r="H208" s="13">
        <v>74166.399999999994</v>
      </c>
      <c r="I208" s="17">
        <v>13</v>
      </c>
      <c r="J208" s="17">
        <v>1</v>
      </c>
    </row>
    <row r="209" spans="1:10" x14ac:dyDescent="0.3">
      <c r="A209" s="17" t="s">
        <v>333</v>
      </c>
      <c r="B209" s="17" t="s">
        <v>112</v>
      </c>
      <c r="C209" s="17" t="s">
        <v>125</v>
      </c>
      <c r="D209" s="17">
        <v>10</v>
      </c>
      <c r="E209" s="17">
        <v>4</v>
      </c>
      <c r="F209" s="18">
        <v>44652</v>
      </c>
      <c r="G209" s="18">
        <v>46113</v>
      </c>
      <c r="H209" s="13">
        <v>74166.399999999994</v>
      </c>
      <c r="I209" s="17">
        <v>26</v>
      </c>
      <c r="J209" s="17">
        <v>1</v>
      </c>
    </row>
    <row r="210" spans="1:10" x14ac:dyDescent="0.3">
      <c r="A210" s="17" t="s">
        <v>334</v>
      </c>
      <c r="B210" s="17" t="s">
        <v>112</v>
      </c>
      <c r="C210" s="17" t="s">
        <v>130</v>
      </c>
      <c r="D210" s="17">
        <v>11</v>
      </c>
      <c r="E210" s="17">
        <v>4</v>
      </c>
      <c r="F210" s="18">
        <v>42132</v>
      </c>
      <c r="G210" s="18">
        <v>46113</v>
      </c>
      <c r="H210" s="13">
        <v>91063.92</v>
      </c>
      <c r="I210" s="17">
        <v>13</v>
      </c>
      <c r="J210" s="17">
        <v>1</v>
      </c>
    </row>
    <row r="211" spans="1:10" x14ac:dyDescent="0.3">
      <c r="A211" s="17" t="s">
        <v>335</v>
      </c>
      <c r="B211" s="17" t="s">
        <v>112</v>
      </c>
      <c r="C211" s="17" t="s">
        <v>125</v>
      </c>
      <c r="D211" s="17">
        <v>11</v>
      </c>
      <c r="E211" s="17">
        <v>4</v>
      </c>
      <c r="F211" s="18">
        <v>42132</v>
      </c>
      <c r="G211" s="18">
        <v>46113</v>
      </c>
      <c r="H211" s="13">
        <v>91063.92</v>
      </c>
      <c r="I211" s="17">
        <v>26</v>
      </c>
      <c r="J211" s="17">
        <v>1</v>
      </c>
    </row>
    <row r="212" spans="1:10" x14ac:dyDescent="0.3">
      <c r="A212" s="17" t="s">
        <v>336</v>
      </c>
      <c r="B212" s="17" t="s">
        <v>112</v>
      </c>
      <c r="C212" s="17" t="s">
        <v>130</v>
      </c>
      <c r="D212" s="17">
        <v>9</v>
      </c>
      <c r="E212" s="17">
        <v>3</v>
      </c>
      <c r="F212" s="18">
        <v>45127</v>
      </c>
      <c r="G212" s="18">
        <v>46113</v>
      </c>
      <c r="H212" s="13">
        <v>65018.8</v>
      </c>
      <c r="I212" s="17">
        <v>13</v>
      </c>
      <c r="J212" s="17">
        <v>1</v>
      </c>
    </row>
    <row r="213" spans="1:10" x14ac:dyDescent="0.3">
      <c r="A213" s="17" t="s">
        <v>337</v>
      </c>
      <c r="B213" s="17" t="s">
        <v>112</v>
      </c>
      <c r="C213" s="17" t="s">
        <v>125</v>
      </c>
      <c r="D213" s="17">
        <v>9</v>
      </c>
      <c r="E213" s="17">
        <v>3</v>
      </c>
      <c r="F213" s="18">
        <v>45127</v>
      </c>
      <c r="G213" s="18">
        <v>46113</v>
      </c>
      <c r="H213" s="13">
        <v>54620.08</v>
      </c>
      <c r="I213" s="17">
        <v>26</v>
      </c>
      <c r="J213" s="1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21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75" width="14" customWidth="1"/>
  </cols>
  <sheetData>
    <row r="1" spans="1:75" x14ac:dyDescent="0.3">
      <c r="A1" s="19" t="s">
        <v>338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9" t="s">
        <v>339</v>
      </c>
      <c r="M1" s="20"/>
      <c r="N1" s="20"/>
      <c r="O1" s="20"/>
      <c r="P1" s="20"/>
      <c r="Q1" s="20"/>
      <c r="R1" s="19" t="s">
        <v>340</v>
      </c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19" t="s">
        <v>341</v>
      </c>
      <c r="AG1" s="20"/>
      <c r="AH1" s="20"/>
      <c r="AI1" s="19" t="s">
        <v>342</v>
      </c>
      <c r="AJ1" s="20"/>
      <c r="AK1" s="20"/>
      <c r="AL1" s="20"/>
      <c r="AM1" s="20"/>
      <c r="AN1" s="20"/>
      <c r="AO1" s="19" t="s">
        <v>343</v>
      </c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19" t="s">
        <v>344</v>
      </c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19" t="s">
        <v>345</v>
      </c>
      <c r="BO1" s="20"/>
      <c r="BP1" s="20"/>
      <c r="BQ1" s="20"/>
      <c r="BR1" s="20"/>
      <c r="BS1" s="20"/>
      <c r="BT1" s="19" t="s">
        <v>346</v>
      </c>
      <c r="BU1" s="20"/>
      <c r="BV1" s="20"/>
      <c r="BW1" s="20"/>
    </row>
    <row r="2" spans="1:75" ht="75" customHeight="1" x14ac:dyDescent="0.3">
      <c r="A2" s="9" t="s">
        <v>347</v>
      </c>
      <c r="B2" s="9" t="s">
        <v>348</v>
      </c>
      <c r="C2" s="9" t="s">
        <v>349</v>
      </c>
      <c r="D2" s="9" t="s">
        <v>350</v>
      </c>
      <c r="E2" s="9"/>
      <c r="F2" s="9" t="s">
        <v>351</v>
      </c>
      <c r="G2" s="9"/>
      <c r="H2" s="9" t="s">
        <v>352</v>
      </c>
      <c r="I2" s="9" t="s">
        <v>353</v>
      </c>
      <c r="J2" s="9" t="s">
        <v>354</v>
      </c>
      <c r="K2" s="9" t="s">
        <v>355</v>
      </c>
      <c r="L2" s="9" t="s">
        <v>356</v>
      </c>
      <c r="M2" s="9" t="s">
        <v>357</v>
      </c>
      <c r="N2" s="9"/>
      <c r="O2" s="9"/>
      <c r="P2" s="9" t="s">
        <v>358</v>
      </c>
      <c r="Q2" s="9" t="s">
        <v>359</v>
      </c>
      <c r="R2" s="9" t="s">
        <v>360</v>
      </c>
      <c r="S2" s="9"/>
      <c r="T2" s="9"/>
      <c r="U2" s="9"/>
      <c r="V2" s="9"/>
      <c r="W2" s="9" t="s">
        <v>361</v>
      </c>
      <c r="X2" s="9" t="s">
        <v>362</v>
      </c>
      <c r="Y2" s="9" t="s">
        <v>363</v>
      </c>
      <c r="Z2" s="9" t="s">
        <v>364</v>
      </c>
      <c r="AA2" s="9"/>
      <c r="AB2" s="9" t="s">
        <v>365</v>
      </c>
      <c r="AC2" s="9" t="s">
        <v>366</v>
      </c>
      <c r="AD2" s="9" t="s">
        <v>367</v>
      </c>
      <c r="AE2" s="9" t="s">
        <v>368</v>
      </c>
      <c r="AF2" s="9" t="s">
        <v>369</v>
      </c>
      <c r="AG2" s="9" t="s">
        <v>370</v>
      </c>
      <c r="AH2" s="9" t="s">
        <v>371</v>
      </c>
      <c r="AI2" s="9" t="s">
        <v>372</v>
      </c>
      <c r="AJ2" s="9" t="s">
        <v>373</v>
      </c>
      <c r="AK2" s="9" t="s">
        <v>374</v>
      </c>
      <c r="AL2" s="9" t="s">
        <v>375</v>
      </c>
      <c r="AM2" s="9" t="s">
        <v>376</v>
      </c>
      <c r="AN2" s="9" t="s">
        <v>377</v>
      </c>
      <c r="AO2" s="9" t="s">
        <v>378</v>
      </c>
      <c r="AP2" s="9" t="s">
        <v>379</v>
      </c>
      <c r="AQ2" s="9"/>
      <c r="AR2" s="9" t="s">
        <v>380</v>
      </c>
      <c r="AS2" s="9" t="s">
        <v>381</v>
      </c>
      <c r="AT2" s="9" t="s">
        <v>382</v>
      </c>
      <c r="AU2" s="9" t="s">
        <v>383</v>
      </c>
      <c r="AV2" s="9" t="s">
        <v>384</v>
      </c>
      <c r="AW2" s="9" t="s">
        <v>385</v>
      </c>
      <c r="AX2" s="9"/>
      <c r="AY2" s="9"/>
      <c r="AZ2" s="9" t="s">
        <v>386</v>
      </c>
      <c r="BA2" s="9" t="s">
        <v>387</v>
      </c>
      <c r="BB2" s="9" t="s">
        <v>388</v>
      </c>
      <c r="BC2" s="9"/>
      <c r="BD2" s="9"/>
      <c r="BE2" s="9"/>
      <c r="BF2" s="9"/>
      <c r="BG2" s="9"/>
      <c r="BH2" s="9" t="s">
        <v>389</v>
      </c>
      <c r="BI2" s="9" t="s">
        <v>390</v>
      </c>
      <c r="BJ2" s="9"/>
      <c r="BK2" s="9"/>
      <c r="BL2" s="9"/>
      <c r="BM2" s="9" t="s">
        <v>391</v>
      </c>
      <c r="BN2" s="9" t="s">
        <v>392</v>
      </c>
      <c r="BO2" s="9"/>
      <c r="BP2" s="9" t="s">
        <v>393</v>
      </c>
      <c r="BQ2" s="9"/>
      <c r="BR2" s="9"/>
      <c r="BS2" s="9" t="s">
        <v>394</v>
      </c>
      <c r="BT2" s="9"/>
      <c r="BU2" s="9"/>
      <c r="BV2" s="9" t="s">
        <v>395</v>
      </c>
      <c r="BW2" s="9"/>
    </row>
    <row r="4" spans="1:75" ht="57.6" x14ac:dyDescent="0.3">
      <c r="A4" s="21" t="s">
        <v>396</v>
      </c>
      <c r="B4" s="21" t="s">
        <v>397</v>
      </c>
      <c r="C4" s="21" t="s">
        <v>101</v>
      </c>
      <c r="D4" s="21" t="s">
        <v>398</v>
      </c>
      <c r="E4" s="21" t="s">
        <v>102</v>
      </c>
      <c r="F4" s="21" t="s">
        <v>80</v>
      </c>
      <c r="G4" s="21" t="s">
        <v>399</v>
      </c>
      <c r="H4" s="21" t="s">
        <v>400</v>
      </c>
      <c r="I4" s="21" t="s">
        <v>401</v>
      </c>
      <c r="J4" s="21" t="s">
        <v>402</v>
      </c>
      <c r="K4" s="21" t="s">
        <v>403</v>
      </c>
      <c r="L4" s="21" t="s">
        <v>404</v>
      </c>
      <c r="M4" s="21" t="s">
        <v>103</v>
      </c>
      <c r="N4" s="21" t="s">
        <v>104</v>
      </c>
      <c r="O4" s="21" t="s">
        <v>105</v>
      </c>
      <c r="P4" s="21" t="s">
        <v>405</v>
      </c>
      <c r="Q4" s="21" t="s">
        <v>406</v>
      </c>
      <c r="R4" s="21" t="s">
        <v>407</v>
      </c>
      <c r="S4" s="21" t="s">
        <v>408</v>
      </c>
      <c r="T4" s="21" t="s">
        <v>409</v>
      </c>
      <c r="U4" s="21" t="s">
        <v>410</v>
      </c>
      <c r="V4" s="21" t="s">
        <v>411</v>
      </c>
      <c r="W4" s="21" t="s">
        <v>412</v>
      </c>
      <c r="X4" s="21" t="s">
        <v>413</v>
      </c>
      <c r="Y4" s="21" t="s">
        <v>414</v>
      </c>
      <c r="Z4" s="21" t="s">
        <v>415</v>
      </c>
      <c r="AA4" s="21" t="s">
        <v>416</v>
      </c>
      <c r="AB4" s="21" t="s">
        <v>417</v>
      </c>
      <c r="AC4" s="21" t="s">
        <v>418</v>
      </c>
      <c r="AD4" s="21" t="s">
        <v>419</v>
      </c>
      <c r="AE4" s="21" t="s">
        <v>420</v>
      </c>
      <c r="AF4" s="21" t="s">
        <v>421</v>
      </c>
      <c r="AG4" s="21" t="s">
        <v>422</v>
      </c>
      <c r="AH4" s="21" t="s">
        <v>423</v>
      </c>
      <c r="AI4" s="21" t="s">
        <v>424</v>
      </c>
      <c r="AJ4" s="21" t="s">
        <v>425</v>
      </c>
      <c r="AK4" s="21" t="s">
        <v>426</v>
      </c>
      <c r="AL4" s="21" t="s">
        <v>427</v>
      </c>
      <c r="AM4" s="21" t="s">
        <v>428</v>
      </c>
      <c r="AN4" s="21" t="s">
        <v>429</v>
      </c>
      <c r="AO4" s="21" t="s">
        <v>430</v>
      </c>
      <c r="AP4" s="21" t="s">
        <v>431</v>
      </c>
      <c r="AQ4" s="21" t="s">
        <v>432</v>
      </c>
      <c r="AR4" s="21" t="s">
        <v>433</v>
      </c>
      <c r="AS4" s="21" t="s">
        <v>434</v>
      </c>
      <c r="AT4" s="21" t="s">
        <v>435</v>
      </c>
      <c r="AU4" s="21" t="s">
        <v>436</v>
      </c>
      <c r="AV4" s="21" t="s">
        <v>437</v>
      </c>
      <c r="AW4" s="21" t="s">
        <v>438</v>
      </c>
      <c r="AX4" s="21" t="s">
        <v>439</v>
      </c>
      <c r="AY4" s="21" t="s">
        <v>440</v>
      </c>
      <c r="AZ4" s="21" t="s">
        <v>41</v>
      </c>
      <c r="BA4" s="21" t="s">
        <v>441</v>
      </c>
      <c r="BB4" s="21" t="s">
        <v>442</v>
      </c>
      <c r="BC4" s="21" t="s">
        <v>443</v>
      </c>
      <c r="BD4" s="21" t="s">
        <v>444</v>
      </c>
      <c r="BE4" s="21" t="s">
        <v>445</v>
      </c>
      <c r="BF4" s="21" t="s">
        <v>446</v>
      </c>
      <c r="BG4" s="21" t="s">
        <v>447</v>
      </c>
      <c r="BH4" s="21" t="s">
        <v>448</v>
      </c>
      <c r="BI4" s="21" t="s">
        <v>449</v>
      </c>
      <c r="BJ4" s="21" t="s">
        <v>450</v>
      </c>
      <c r="BK4" s="21" t="s">
        <v>451</v>
      </c>
      <c r="BL4" s="21" t="s">
        <v>452</v>
      </c>
      <c r="BM4" s="21" t="s">
        <v>453</v>
      </c>
      <c r="BN4" s="21" t="s">
        <v>454</v>
      </c>
      <c r="BO4" s="21" t="s">
        <v>455</v>
      </c>
      <c r="BP4" s="21" t="s">
        <v>456</v>
      </c>
      <c r="BQ4" s="21" t="s">
        <v>457</v>
      </c>
      <c r="BR4" s="21" t="s">
        <v>458</v>
      </c>
      <c r="BS4" s="21" t="s">
        <v>459</v>
      </c>
      <c r="BT4" s="21" t="s">
        <v>460</v>
      </c>
      <c r="BU4" s="21" t="s">
        <v>461</v>
      </c>
      <c r="BV4" s="21" t="s">
        <v>462</v>
      </c>
      <c r="BW4" s="21" t="s">
        <v>463</v>
      </c>
    </row>
    <row r="5" spans="1:75" x14ac:dyDescent="0.3">
      <c r="A5" s="3">
        <f t="shared" ref="A5:A68" si="0">ROW()-4</f>
        <v>1</v>
      </c>
      <c r="B5" t="str">
        <f>INDEX(Employees!$A:$A,A5+1)</f>
        <v>E001</v>
      </c>
      <c r="C5" t="str">
        <f>INDEX(Employees!$A:$Z,MATCH(B5,Employees!$A:$A,0),MATCH("category",Employees!$1:$1,0))</f>
        <v>Engineering</v>
      </c>
      <c r="D5" t="str">
        <f>INDEX(Employees!$A:$Z,MATCH(B5,Employees!$A:$A,0),MATCH("gender",Employees!$1:$1,0))</f>
        <v>M</v>
      </c>
      <c r="E5" s="3">
        <f>INDEX(Employees!$A:$Z,MATCH(B5,Employees!$A:$A,0),MATCH("grade",Employees!$1:$1,0))</f>
        <v>8</v>
      </c>
      <c r="F5" s="3">
        <f>INDEX(Employees!$A:$Z,MATCH(B5,Employees!$A:$A,0),MATCH("rating",Employees!$1:$1,0))</f>
        <v>4</v>
      </c>
      <c r="G5" s="22">
        <f>INDEX(Employees!$A:$Z,MATCH(B5,Employees!$A:$A,0),MATCH("hire_date",Employees!$1:$1,0))</f>
        <v>44433</v>
      </c>
      <c r="H5" s="22">
        <f>INDEX(Employees!$A:$Z,MATCH(B5,Employees!$A:$A,0),MATCH("last_change_date",Employees!$1:$1,0))</f>
        <v>46270</v>
      </c>
      <c r="I5" s="4">
        <f>INDEX(Employees!$A:$Z,MATCH(B5,Employees!$A:$A,0),MATCH("base_salary",Employees!$1:$1,0))</f>
        <v>56987.18</v>
      </c>
      <c r="J5" s="5">
        <f>INDEX(Employees!$A:$Z,MATCH(B5,Employees!$A:$A,0),MATCH("bonus_pct",Employees!$1:$1,0))/100</f>
        <v>0.14330000000000001</v>
      </c>
      <c r="K5" s="7">
        <f>INDEX(Employees!$A:$Z,MATCH(B5,Employees!$A:$A,0),MATCH("fte",Employees!$1:$1,0))</f>
        <v>1</v>
      </c>
      <c r="L5" s="3">
        <f>IF(ISNA(MATCH(C5&amp;"|"&amp;E5,Bands!$F:$F,0)),0,1)</f>
        <v>1</v>
      </c>
      <c r="M5" s="4">
        <f>INDEX(Bands!$C:$C,MATCH(C5&amp;"|"&amp;E5,Bands!$F:$F,0))</f>
        <v>47700</v>
      </c>
      <c r="N5" s="4">
        <f>INDEX(Bands!$D:$D,MATCH(C5&amp;"|"&amp;E5,Bands!$F:$F,0))</f>
        <v>57200</v>
      </c>
      <c r="O5" s="4">
        <f>INDEX(Bands!$E:$E,MATCH(C5&amp;"|"&amp;E5,Bands!$F:$F,0))</f>
        <v>66800</v>
      </c>
      <c r="P5" s="7">
        <f t="shared" ref="P5:P68" si="1">(EffDate-G5)/365.25</f>
        <v>5.5989048596851472</v>
      </c>
      <c r="Q5" s="4">
        <f t="shared" ref="Q5:Q68" si="2">I5*(1+J5)</f>
        <v>65153.442894</v>
      </c>
      <c r="R5" s="7">
        <f t="shared" ref="R5:R68" si="3">E5^2</f>
        <v>64</v>
      </c>
      <c r="S5" s="7">
        <f t="shared" ref="S5:S68" si="4">P5^2</f>
        <v>31.347735627805957</v>
      </c>
      <c r="T5" s="7">
        <f t="shared" ref="T5:T68" si="5">E5*P5</f>
        <v>44.791238877481177</v>
      </c>
      <c r="U5" s="7">
        <f t="shared" ref="U5:U68" si="6">E5*Q5</f>
        <v>521227.543152</v>
      </c>
      <c r="V5" s="7">
        <f t="shared" ref="V5:V68" si="7">P5*Q5</f>
        <v>364787.92804443534</v>
      </c>
      <c r="W5" s="4">
        <f t="shared" ref="W5:W68" si="8">ROUND(Q5,2)</f>
        <v>65153.440000000002</v>
      </c>
      <c r="X5" s="3">
        <f t="shared" ref="X5:X68" si="9">COUNTIFS($C:$C,C5,$W:$W,"&lt;"&amp;W5)+COUNTIFS($C:$C,C5,$W:$W,W5,$B:$B,"&lt;"&amp;B5)+1</f>
        <v>17</v>
      </c>
      <c r="Y5" s="4">
        <f>INDEX(Categories!$AH:$AH,MATCH(C5,Categories!$A:$A,0))</f>
        <v>71955.39427199999</v>
      </c>
      <c r="Z5" s="3">
        <f>IF(AND(D5="F",Q5&lt;Y5,INDEX(Categories!$AI:$AI,MATCH(C5,Categories!$A:$A,0))&gt;0),1,0)</f>
        <v>0</v>
      </c>
      <c r="AA5" s="4">
        <f t="shared" ref="AA5:AA68" si="10">IF(Z5=1,Y5-Q5,0)</f>
        <v>0</v>
      </c>
      <c r="AB5" s="4">
        <f>IF(Z5=1,INDEX(Categories!$AI:$AI,MATCH(C5,Categories!$A:$A,0))*AA5/INDEX(Categories!$AJ:$AJ,MATCH(C5,Categories!$A:$A,0)),0)</f>
        <v>0</v>
      </c>
      <c r="AC5" s="4">
        <f t="shared" ref="AC5:AC68" si="11">AB5/(1+J5)</f>
        <v>0</v>
      </c>
      <c r="AD5" s="4">
        <f t="shared" ref="AD5:AD68" si="12">I5+AC5</f>
        <v>56987.18</v>
      </c>
      <c r="AE5" s="3">
        <f t="shared" ref="AE5:AE68" si="13">IF(AND(AC5&gt;0,AD5&gt;O5),1,0)</f>
        <v>0</v>
      </c>
      <c r="AF5" s="3">
        <f t="shared" ref="AF5:AF68" si="14">IF(G5&gt;EffDate,-1,DATEDIF(G5,EffDate,"m"))</f>
        <v>67</v>
      </c>
      <c r="AG5" s="3">
        <f t="shared" ref="AG5:AG68" si="15">IF(H5&gt;EffDate,-1,DATEDIF(H5,EffDate,"m"))</f>
        <v>6</v>
      </c>
      <c r="AH5" s="3">
        <f t="shared" ref="AH5:AH68" si="16">IF(AND(AF5&gt;=MinMonthsHire,AG5&gt;=MinMonthsChange),1,0)</f>
        <v>1</v>
      </c>
      <c r="AI5" s="5">
        <f t="shared" ref="AI5:AI68" si="17">AD5/N5</f>
        <v>0.99627937062937066</v>
      </c>
      <c r="AJ5" s="3">
        <f>MATCH(AI5,Inputs!$B$31:$B$34,1)</f>
        <v>2</v>
      </c>
      <c r="AK5" s="5">
        <f>INDEX(Inputs!$C$21:$C$25,MATCH(F5,Inputs!$A$21:$A$25,0))</f>
        <v>1.05</v>
      </c>
      <c r="AL5" s="5">
        <f>INDEX(Inputs!$D$21:$D$25,MATCH(F5,Inputs!$A$21:$A$25,0))</f>
        <v>0.01</v>
      </c>
      <c r="AM5" s="4">
        <f t="shared" ref="AM5:AM68" si="18">N5*CompanyTarget*AK5</f>
        <v>60060</v>
      </c>
      <c r="AN5" s="4">
        <f t="shared" ref="AN5:AN68" si="19">MAX(0,AM5-AD5)</f>
        <v>3072.8199999999997</v>
      </c>
      <c r="AO5" s="3">
        <f t="shared" ref="AO5:AO68" si="20">IF(AND(ISNUMBER(MaxIncrease),MaxIncrease&gt;0),1,0)</f>
        <v>1</v>
      </c>
      <c r="AP5" s="4">
        <f t="shared" ref="AP5:AP68" si="21">IF(AO5=1,AD5*MaxIncrease,0)</f>
        <v>17096.153999999999</v>
      </c>
      <c r="AQ5" s="4">
        <f t="shared" ref="AQ5:AQ68" si="22">AD5*AL5</f>
        <v>569.87180000000001</v>
      </c>
      <c r="AR5" s="4">
        <f t="shared" ref="AR5:AR68" si="23">IF(AK5=0,0,IF(AO5=1,MIN(MAX(AN5,AQ5),AP5),MAX(AN5,AQ5)))</f>
        <v>3072.8199999999997</v>
      </c>
      <c r="AS5" s="3">
        <f t="shared" ref="AS5:AS68" si="24">IF(AD5&gt;=O5,1,0)</f>
        <v>0</v>
      </c>
      <c r="AT5" s="4">
        <f t="shared" ref="AT5:AT68" si="25">IF(AS5=1,0,AR5)</f>
        <v>3072.8199999999997</v>
      </c>
      <c r="AU5" s="4">
        <f t="shared" ref="AU5:AU68" si="26">MAX(0,O5-AD5)</f>
        <v>9812.82</v>
      </c>
      <c r="AV5" s="4">
        <f t="shared" ref="AV5:AV68" si="27">IF(ClipAtMax="No",AT5,MIN(AT5,AU5))</f>
        <v>3072.8199999999997</v>
      </c>
      <c r="AW5" s="4">
        <f t="shared" ref="AW5:AW68" si="28">IF(AH5=1,AV5,0)</f>
        <v>3072.8199999999997</v>
      </c>
      <c r="AX5" s="5">
        <f t="shared" ref="AX5:AX68" si="29">IF(AD5&gt;0,AW5/AD5,0)</f>
        <v>5.3921250358413941E-2</v>
      </c>
      <c r="AY5" s="4">
        <f t="shared" ref="AY5:AY68" si="30">AD5+AW5</f>
        <v>60060</v>
      </c>
      <c r="AZ5" s="3">
        <f t="shared" ref="AZ5:AZ68" si="31">IF(AY5&lt;M5,1,0)</f>
        <v>0</v>
      </c>
      <c r="BA5" s="4">
        <f t="shared" ref="BA5:BA68" si="32">Q5*K5</f>
        <v>65153.442894</v>
      </c>
      <c r="BB5" s="4">
        <f t="shared" ref="BB5:BB68" si="33">RateBelow*MIN(BA5,Ceiling)+AboveCeilingTier1*MIN(MAX(0,BA5-Ceiling),0.1*Ceiling)+AboveCeilingTier2*MIN(MAX(0,BA5-1.1*Ceiling),0.4*Ceiling)+AboveCeilingTier3*MAX(0,BA5-1.5*Ceiling)</f>
        <v>19718.244411782398</v>
      </c>
      <c r="BC5" s="4">
        <f t="shared" ref="BC5:BC68" si="34">AD5*(1+J5)*K5</f>
        <v>65153.442894</v>
      </c>
      <c r="BD5" s="4">
        <f t="shared" ref="BD5:BD68" si="35">RateBelow*MIN(BC5,Ceiling)+AboveCeilingTier1*MIN(MAX(0,BC5-Ceiling),0.1*Ceiling)+AboveCeilingTier2*MIN(MAX(0,BC5-1.1*Ceiling),0.4*Ceiling)+AboveCeilingTier3*MAX(0,BC5-1.5*Ceiling)</f>
        <v>19718.244411782398</v>
      </c>
      <c r="BE5" s="4">
        <f t="shared" ref="BE5:BE68" si="36">AY5*(1+J5)*K5</f>
        <v>68666.597999999998</v>
      </c>
      <c r="BF5" s="4">
        <f t="shared" ref="BF5:BF68" si="37">RateBelow*MIN(BE5,Ceiling)+AboveCeilingTier1*MIN(MAX(0,BE5-Ceiling),0.1*Ceiling)+AboveCeilingTier2*MIN(MAX(0,BE5-1.1*Ceiling),0.4*Ceiling)+AboveCeilingTier3*MAX(0,BE5-1.5*Ceiling)</f>
        <v>19753.035307199996</v>
      </c>
      <c r="BG5" s="4">
        <f t="shared" ref="BG5:BG68" si="38">AC5*K5</f>
        <v>0</v>
      </c>
      <c r="BH5" s="4">
        <f t="shared" ref="BH5:BH68" si="39">AC5*J5*K5</f>
        <v>0</v>
      </c>
      <c r="BI5" s="4">
        <f t="shared" ref="BI5:BI68" si="40">BD5-BB5</f>
        <v>0</v>
      </c>
      <c r="BJ5" s="4">
        <f t="shared" ref="BJ5:BJ68" si="41">AW5*K5</f>
        <v>3072.8199999999997</v>
      </c>
      <c r="BK5" s="4">
        <f t="shared" ref="BK5:BK68" si="42">AW5*J5*K5</f>
        <v>440.335106</v>
      </c>
      <c r="BL5" s="4">
        <f t="shared" ref="BL5:BL68" si="43">BF5-BD5</f>
        <v>34.790895417598222</v>
      </c>
      <c r="BM5" s="4">
        <f t="shared" ref="BM5:BM68" si="44">IF(AH5=1,AD5*K5,0)</f>
        <v>56987.18</v>
      </c>
      <c r="BN5" s="4">
        <f t="shared" ref="BN5:BN68" si="45">IF(AH5=1,AD5*PoolPct,0)</f>
        <v>2279.4872</v>
      </c>
      <c r="BO5" s="4">
        <f t="shared" ref="BO5:BO68" si="46">BN5*K5</f>
        <v>2279.4872</v>
      </c>
      <c r="BP5" s="4">
        <f t="shared" ref="BP5:BP68" si="47">BN5*J5*K5</f>
        <v>326.65051576000002</v>
      </c>
      <c r="BQ5" s="4">
        <f t="shared" ref="BQ5:BQ68" si="48">(AD5+BN5)*(1+J5)*K5</f>
        <v>67759.58060976</v>
      </c>
      <c r="BR5" s="4">
        <f t="shared" ref="BR5:BR68" si="49">RateBelow*MIN(BQ5,Ceiling)+AboveCeilingTier1*MIN(MAX(0,BQ5-Ceiling),0.1*Ceiling)+AboveCeilingTier2*MIN(MAX(0,BQ5-1.1*Ceiling),0.4*Ceiling)+AboveCeilingTier3*MAX(0,BQ5-1.5*Ceiling)</f>
        <v>19743.602326341501</v>
      </c>
      <c r="BS5" s="4">
        <f t="shared" ref="BS5:BS68" si="50">BR5-BD5</f>
        <v>25.357914559102937</v>
      </c>
      <c r="BT5" s="4">
        <f t="shared" ref="BT5:BT68" si="51">AD5*(1+J5)</f>
        <v>65153.442894</v>
      </c>
      <c r="BU5" s="4">
        <f t="shared" ref="BU5:BU68" si="52">AY5*(1+J5)</f>
        <v>68666.597999999998</v>
      </c>
      <c r="BV5" s="7">
        <f t="shared" ref="BV5:BV68" si="53">E5*BU5</f>
        <v>549332.78399999999</v>
      </c>
      <c r="BW5" s="7">
        <f t="shared" ref="BW5:BW68" si="54">P5*BU5</f>
        <v>384457.74924024637</v>
      </c>
    </row>
    <row r="6" spans="1:75" x14ac:dyDescent="0.3">
      <c r="A6" s="3">
        <f t="shared" si="0"/>
        <v>2</v>
      </c>
      <c r="B6" t="str">
        <f>INDEX(Employees!$A:$A,A6+1)</f>
        <v>E002</v>
      </c>
      <c r="C6" t="str">
        <f>INDEX(Employees!$A:$Z,MATCH(B6,Employees!$A:$A,0),MATCH("category",Employees!$1:$1,0))</f>
        <v>Engineering</v>
      </c>
      <c r="D6" t="str">
        <f>INDEX(Employees!$A:$Z,MATCH(B6,Employees!$A:$A,0),MATCH("gender",Employees!$1:$1,0))</f>
        <v>M</v>
      </c>
      <c r="E6" s="3">
        <f>INDEX(Employees!$A:$Z,MATCH(B6,Employees!$A:$A,0),MATCH("grade",Employees!$1:$1,0))</f>
        <v>9</v>
      </c>
      <c r="F6" s="3">
        <f>INDEX(Employees!$A:$Z,MATCH(B6,Employees!$A:$A,0),MATCH("rating",Employees!$1:$1,0))</f>
        <v>2</v>
      </c>
      <c r="G6" s="22">
        <f>INDEX(Employees!$A:$Z,MATCH(B6,Employees!$A:$A,0),MATCH("hire_date",Employees!$1:$1,0))</f>
        <v>43227</v>
      </c>
      <c r="H6" s="22">
        <f>INDEX(Employees!$A:$Z,MATCH(B6,Employees!$A:$A,0),MATCH("last_change_date",Employees!$1:$1,0))</f>
        <v>46113</v>
      </c>
      <c r="I6" s="4">
        <f>INDEX(Employees!$A:$Z,MATCH(B6,Employees!$A:$A,0),MATCH("base_salary",Employees!$1:$1,0))</f>
        <v>65996.639999999999</v>
      </c>
      <c r="J6" s="5">
        <f>INDEX(Employees!$A:$Z,MATCH(B6,Employees!$A:$A,0),MATCH("bonus_pct",Employees!$1:$1,0))/100</f>
        <v>0.1338</v>
      </c>
      <c r="K6" s="7">
        <f>INDEX(Employees!$A:$Z,MATCH(B6,Employees!$A:$A,0),MATCH("fte",Employees!$1:$1,0))</f>
        <v>1</v>
      </c>
      <c r="L6" s="3">
        <f>IF(ISNA(MATCH(C6&amp;"|"&amp;E6,Bands!$F:$F,0)),0,1)</f>
        <v>1</v>
      </c>
      <c r="M6" s="4">
        <f>INDEX(Bands!$C:$C,MATCH(C6&amp;"|"&amp;E6,Bands!$F:$F,0))</f>
        <v>54500</v>
      </c>
      <c r="N6" s="4">
        <f>INDEX(Bands!$D:$D,MATCH(C6&amp;"|"&amp;E6,Bands!$F:$F,0))</f>
        <v>65400</v>
      </c>
      <c r="O6" s="4">
        <f>INDEX(Bands!$E:$E,MATCH(C6&amp;"|"&amp;E6,Bands!$F:$F,0))</f>
        <v>76300</v>
      </c>
      <c r="P6" s="7">
        <f t="shared" si="1"/>
        <v>8.9007529089664619</v>
      </c>
      <c r="Q6" s="4">
        <f t="shared" si="2"/>
        <v>74826.990431999991</v>
      </c>
      <c r="R6" s="7">
        <f t="shared" si="3"/>
        <v>81</v>
      </c>
      <c r="S6" s="7">
        <f t="shared" si="4"/>
        <v>79.223402346474927</v>
      </c>
      <c r="T6" s="7">
        <f t="shared" si="5"/>
        <v>80.106776180698162</v>
      </c>
      <c r="U6" s="7">
        <f t="shared" si="6"/>
        <v>673442.91388799995</v>
      </c>
      <c r="V6" s="7">
        <f t="shared" si="7"/>
        <v>666016.55275682954</v>
      </c>
      <c r="W6" s="4">
        <f t="shared" si="8"/>
        <v>74826.990000000005</v>
      </c>
      <c r="X6" s="3">
        <f t="shared" si="9"/>
        <v>25</v>
      </c>
      <c r="Y6" s="4">
        <f>INDEX(Categories!$AH:$AH,MATCH(C6,Categories!$A:$A,0))</f>
        <v>71955.39427199999</v>
      </c>
      <c r="Z6" s="3">
        <f>IF(AND(D6="F",Q6&lt;Y6,INDEX(Categories!$AI:$AI,MATCH(C6,Categories!$A:$A,0))&gt;0),1,0)</f>
        <v>0</v>
      </c>
      <c r="AA6" s="4">
        <f t="shared" si="10"/>
        <v>0</v>
      </c>
      <c r="AB6" s="4">
        <f>IF(Z6=1,INDEX(Categories!$AI:$AI,MATCH(C6,Categories!$A:$A,0))*AA6/INDEX(Categories!$AJ:$AJ,MATCH(C6,Categories!$A:$A,0)),0)</f>
        <v>0</v>
      </c>
      <c r="AC6" s="4">
        <f t="shared" si="11"/>
        <v>0</v>
      </c>
      <c r="AD6" s="4">
        <f t="shared" si="12"/>
        <v>65996.639999999999</v>
      </c>
      <c r="AE6" s="3">
        <f t="shared" si="13"/>
        <v>0</v>
      </c>
      <c r="AF6" s="3">
        <f t="shared" si="14"/>
        <v>106</v>
      </c>
      <c r="AG6" s="3">
        <f t="shared" si="15"/>
        <v>12</v>
      </c>
      <c r="AH6" s="3">
        <f t="shared" si="16"/>
        <v>1</v>
      </c>
      <c r="AI6" s="5">
        <f t="shared" si="17"/>
        <v>1.0091229357798166</v>
      </c>
      <c r="AJ6" s="3">
        <f>MATCH(AI6,Inputs!$B$31:$B$34,1)</f>
        <v>3</v>
      </c>
      <c r="AK6" s="5">
        <f>INDEX(Inputs!$C$21:$C$25,MATCH(F6,Inputs!$A$21:$A$25,0))</f>
        <v>0.95</v>
      </c>
      <c r="AL6" s="5">
        <f>INDEX(Inputs!$D$21:$D$25,MATCH(F6,Inputs!$A$21:$A$25,0))</f>
        <v>0</v>
      </c>
      <c r="AM6" s="4">
        <f t="shared" si="18"/>
        <v>62130</v>
      </c>
      <c r="AN6" s="4">
        <f t="shared" si="19"/>
        <v>0</v>
      </c>
      <c r="AO6" s="3">
        <f t="shared" si="20"/>
        <v>1</v>
      </c>
      <c r="AP6" s="4">
        <f t="shared" si="21"/>
        <v>19798.991999999998</v>
      </c>
      <c r="AQ6" s="4">
        <f t="shared" si="22"/>
        <v>0</v>
      </c>
      <c r="AR6" s="4">
        <f t="shared" si="23"/>
        <v>0</v>
      </c>
      <c r="AS6" s="3">
        <f t="shared" si="24"/>
        <v>0</v>
      </c>
      <c r="AT6" s="4">
        <f t="shared" si="25"/>
        <v>0</v>
      </c>
      <c r="AU6" s="4">
        <f t="shared" si="26"/>
        <v>10303.36</v>
      </c>
      <c r="AV6" s="4">
        <f t="shared" si="27"/>
        <v>0</v>
      </c>
      <c r="AW6" s="4">
        <f t="shared" si="28"/>
        <v>0</v>
      </c>
      <c r="AX6" s="5">
        <f t="shared" si="29"/>
        <v>0</v>
      </c>
      <c r="AY6" s="4">
        <f t="shared" si="30"/>
        <v>65996.639999999999</v>
      </c>
      <c r="AZ6" s="3">
        <f t="shared" si="31"/>
        <v>0</v>
      </c>
      <c r="BA6" s="4">
        <f t="shared" si="32"/>
        <v>74826.990431999991</v>
      </c>
      <c r="BB6" s="4">
        <f t="shared" si="33"/>
        <v>19817.103388492797</v>
      </c>
      <c r="BC6" s="4">
        <f t="shared" si="34"/>
        <v>74826.990431999991</v>
      </c>
      <c r="BD6" s="4">
        <f t="shared" si="35"/>
        <v>19817.103388492797</v>
      </c>
      <c r="BE6" s="4">
        <f t="shared" si="36"/>
        <v>74826.990431999991</v>
      </c>
      <c r="BF6" s="4">
        <f t="shared" si="37"/>
        <v>19817.103388492797</v>
      </c>
      <c r="BG6" s="4">
        <f t="shared" si="38"/>
        <v>0</v>
      </c>
      <c r="BH6" s="4">
        <f t="shared" si="39"/>
        <v>0</v>
      </c>
      <c r="BI6" s="4">
        <f t="shared" si="40"/>
        <v>0</v>
      </c>
      <c r="BJ6" s="4">
        <f t="shared" si="41"/>
        <v>0</v>
      </c>
      <c r="BK6" s="4">
        <f t="shared" si="42"/>
        <v>0</v>
      </c>
      <c r="BL6" s="4">
        <f t="shared" si="43"/>
        <v>0</v>
      </c>
      <c r="BM6" s="4">
        <f t="shared" si="44"/>
        <v>65996.639999999999</v>
      </c>
      <c r="BN6" s="4">
        <f t="shared" si="45"/>
        <v>2639.8656000000001</v>
      </c>
      <c r="BO6" s="4">
        <f t="shared" si="46"/>
        <v>2639.8656000000001</v>
      </c>
      <c r="BP6" s="4">
        <f t="shared" si="47"/>
        <v>353.21401728000001</v>
      </c>
      <c r="BQ6" s="4">
        <f t="shared" si="48"/>
        <v>77820.070049279995</v>
      </c>
      <c r="BR6" s="4">
        <f t="shared" si="49"/>
        <v>19848.23141651251</v>
      </c>
      <c r="BS6" s="4">
        <f t="shared" si="50"/>
        <v>31.128028019713383</v>
      </c>
      <c r="BT6" s="4">
        <f t="shared" si="51"/>
        <v>74826.990431999991</v>
      </c>
      <c r="BU6" s="4">
        <f t="shared" si="52"/>
        <v>74826.990431999991</v>
      </c>
      <c r="BV6" s="7">
        <f t="shared" si="53"/>
        <v>673442.91388799995</v>
      </c>
      <c r="BW6" s="7">
        <f t="shared" si="54"/>
        <v>666016.55275682954</v>
      </c>
    </row>
    <row r="7" spans="1:75" x14ac:dyDescent="0.3">
      <c r="A7" s="3">
        <f t="shared" si="0"/>
        <v>3</v>
      </c>
      <c r="B7" t="str">
        <f>INDEX(Employees!$A:$A,A7+1)</f>
        <v>E003</v>
      </c>
      <c r="C7" t="str">
        <f>INDEX(Employees!$A:$Z,MATCH(B7,Employees!$A:$A,0),MATCH("category",Employees!$1:$1,0))</f>
        <v>Engineering</v>
      </c>
      <c r="D7" t="str">
        <f>INDEX(Employees!$A:$Z,MATCH(B7,Employees!$A:$A,0),MATCH("gender",Employees!$1:$1,0))</f>
        <v>M</v>
      </c>
      <c r="E7" s="3">
        <f>INDEX(Employees!$A:$Z,MATCH(B7,Employees!$A:$A,0),MATCH("grade",Employees!$1:$1,0))</f>
        <v>11</v>
      </c>
      <c r="F7" s="3">
        <f>INDEX(Employees!$A:$Z,MATCH(B7,Employees!$A:$A,0),MATCH("rating",Employees!$1:$1,0))</f>
        <v>3</v>
      </c>
      <c r="G7" s="22">
        <f>INDEX(Employees!$A:$Z,MATCH(B7,Employees!$A:$A,0),MATCH("hire_date",Employees!$1:$1,0))</f>
        <v>42168</v>
      </c>
      <c r="H7" s="22">
        <f>INDEX(Employees!$A:$Z,MATCH(B7,Employees!$A:$A,0),MATCH("last_change_date",Employees!$1:$1,0))</f>
        <v>46113</v>
      </c>
      <c r="I7" s="4">
        <f>INDEX(Employees!$A:$Z,MATCH(B7,Employees!$A:$A,0),MATCH("base_salary",Employees!$1:$1,0))</f>
        <v>79747.78</v>
      </c>
      <c r="J7" s="5">
        <f>INDEX(Employees!$A:$Z,MATCH(B7,Employees!$A:$A,0),MATCH("bonus_pct",Employees!$1:$1,0))/100</f>
        <v>0.14119999999999999</v>
      </c>
      <c r="K7" s="7">
        <f>INDEX(Employees!$A:$Z,MATCH(B7,Employees!$A:$A,0),MATCH("fte",Employees!$1:$1,0))</f>
        <v>1</v>
      </c>
      <c r="L7" s="3">
        <f>IF(ISNA(MATCH(C7&amp;"|"&amp;E7,Bands!$F:$F,0)),0,1)</f>
        <v>1</v>
      </c>
      <c r="M7" s="4">
        <f>INDEX(Bands!$C:$C,MATCH(C7&amp;"|"&amp;E7,Bands!$F:$F,0))</f>
        <v>68400</v>
      </c>
      <c r="N7" s="4">
        <f>INDEX(Bands!$D:$D,MATCH(C7&amp;"|"&amp;E7,Bands!$F:$F,0))</f>
        <v>85500</v>
      </c>
      <c r="O7" s="4">
        <f>INDEX(Bands!$E:$E,MATCH(C7&amp;"|"&amp;E7,Bands!$F:$F,0))</f>
        <v>102600</v>
      </c>
      <c r="P7" s="7">
        <f t="shared" si="1"/>
        <v>11.800136892539356</v>
      </c>
      <c r="Q7" s="4">
        <f t="shared" si="2"/>
        <v>91008.166536000004</v>
      </c>
      <c r="R7" s="7">
        <f t="shared" si="3"/>
        <v>121</v>
      </c>
      <c r="S7" s="7">
        <f t="shared" si="4"/>
        <v>139.24323068266838</v>
      </c>
      <c r="T7" s="7">
        <f t="shared" si="5"/>
        <v>129.80150581793293</v>
      </c>
      <c r="U7" s="7">
        <f t="shared" si="6"/>
        <v>1001089.8318960001</v>
      </c>
      <c r="V7" s="7">
        <f t="shared" si="7"/>
        <v>1073908.8234638192</v>
      </c>
      <c r="W7" s="4">
        <f t="shared" si="8"/>
        <v>91008.17</v>
      </c>
      <c r="X7" s="3">
        <f t="shared" si="9"/>
        <v>40</v>
      </c>
      <c r="Y7" s="4">
        <f>INDEX(Categories!$AH:$AH,MATCH(C7,Categories!$A:$A,0))</f>
        <v>71955.39427199999</v>
      </c>
      <c r="Z7" s="3">
        <f>IF(AND(D7="F",Q7&lt;Y7,INDEX(Categories!$AI:$AI,MATCH(C7,Categories!$A:$A,0))&gt;0),1,0)</f>
        <v>0</v>
      </c>
      <c r="AA7" s="4">
        <f t="shared" si="10"/>
        <v>0</v>
      </c>
      <c r="AB7" s="4">
        <f>IF(Z7=1,INDEX(Categories!$AI:$AI,MATCH(C7,Categories!$A:$A,0))*AA7/INDEX(Categories!$AJ:$AJ,MATCH(C7,Categories!$A:$A,0)),0)</f>
        <v>0</v>
      </c>
      <c r="AC7" s="4">
        <f t="shared" si="11"/>
        <v>0</v>
      </c>
      <c r="AD7" s="4">
        <f t="shared" si="12"/>
        <v>79747.78</v>
      </c>
      <c r="AE7" s="3">
        <f t="shared" si="13"/>
        <v>0</v>
      </c>
      <c r="AF7" s="3">
        <f t="shared" si="14"/>
        <v>141</v>
      </c>
      <c r="AG7" s="3">
        <f t="shared" si="15"/>
        <v>12</v>
      </c>
      <c r="AH7" s="3">
        <f t="shared" si="16"/>
        <v>1</v>
      </c>
      <c r="AI7" s="5">
        <f t="shared" si="17"/>
        <v>0.9327225730994152</v>
      </c>
      <c r="AJ7" s="3">
        <f>MATCH(AI7,Inputs!$B$31:$B$34,1)</f>
        <v>2</v>
      </c>
      <c r="AK7" s="5">
        <f>INDEX(Inputs!$C$21:$C$25,MATCH(F7,Inputs!$A$21:$A$25,0))</f>
        <v>1</v>
      </c>
      <c r="AL7" s="5">
        <f>INDEX(Inputs!$D$21:$D$25,MATCH(F7,Inputs!$A$21:$A$25,0))</f>
        <v>0</v>
      </c>
      <c r="AM7" s="4">
        <f t="shared" si="18"/>
        <v>85500</v>
      </c>
      <c r="AN7" s="4">
        <f t="shared" si="19"/>
        <v>5752.2200000000012</v>
      </c>
      <c r="AO7" s="3">
        <f t="shared" si="20"/>
        <v>1</v>
      </c>
      <c r="AP7" s="4">
        <f t="shared" si="21"/>
        <v>23924.333999999999</v>
      </c>
      <c r="AQ7" s="4">
        <f t="shared" si="22"/>
        <v>0</v>
      </c>
      <c r="AR7" s="4">
        <f t="shared" si="23"/>
        <v>5752.2200000000012</v>
      </c>
      <c r="AS7" s="3">
        <f t="shared" si="24"/>
        <v>0</v>
      </c>
      <c r="AT7" s="4">
        <f t="shared" si="25"/>
        <v>5752.2200000000012</v>
      </c>
      <c r="AU7" s="4">
        <f t="shared" si="26"/>
        <v>22852.22</v>
      </c>
      <c r="AV7" s="4">
        <f t="shared" si="27"/>
        <v>5752.2200000000012</v>
      </c>
      <c r="AW7" s="4">
        <f t="shared" si="28"/>
        <v>5752.2200000000012</v>
      </c>
      <c r="AX7" s="5">
        <f t="shared" si="29"/>
        <v>7.2130158356759289E-2</v>
      </c>
      <c r="AY7" s="4">
        <f t="shared" si="30"/>
        <v>85500</v>
      </c>
      <c r="AZ7" s="3">
        <f t="shared" si="31"/>
        <v>0</v>
      </c>
      <c r="BA7" s="4">
        <f t="shared" si="32"/>
        <v>91008.166536000004</v>
      </c>
      <c r="BB7" s="4">
        <f t="shared" si="33"/>
        <v>19985.387619974397</v>
      </c>
      <c r="BC7" s="4">
        <f t="shared" si="34"/>
        <v>91008.166536000004</v>
      </c>
      <c r="BD7" s="4">
        <f t="shared" si="35"/>
        <v>19985.387619974397</v>
      </c>
      <c r="BE7" s="4">
        <f t="shared" si="36"/>
        <v>97572.6</v>
      </c>
      <c r="BF7" s="4">
        <f t="shared" si="37"/>
        <v>20064.009527999995</v>
      </c>
      <c r="BG7" s="4">
        <f t="shared" si="38"/>
        <v>0</v>
      </c>
      <c r="BH7" s="4">
        <f t="shared" si="39"/>
        <v>0</v>
      </c>
      <c r="BI7" s="4">
        <f t="shared" si="40"/>
        <v>0</v>
      </c>
      <c r="BJ7" s="4">
        <f t="shared" si="41"/>
        <v>5752.2200000000012</v>
      </c>
      <c r="BK7" s="4">
        <f t="shared" si="42"/>
        <v>812.21346400000016</v>
      </c>
      <c r="BL7" s="4">
        <f t="shared" si="43"/>
        <v>78.621908025597804</v>
      </c>
      <c r="BM7" s="4">
        <f t="shared" si="44"/>
        <v>79747.78</v>
      </c>
      <c r="BN7" s="4">
        <f t="shared" si="45"/>
        <v>3189.9112</v>
      </c>
      <c r="BO7" s="4">
        <f t="shared" si="46"/>
        <v>3189.9112</v>
      </c>
      <c r="BP7" s="4">
        <f t="shared" si="47"/>
        <v>450.41546144</v>
      </c>
      <c r="BQ7" s="4">
        <f t="shared" si="48"/>
        <v>94648.493197439995</v>
      </c>
      <c r="BR7" s="4">
        <f t="shared" si="49"/>
        <v>20028.335425008765</v>
      </c>
      <c r="BS7" s="4">
        <f t="shared" si="50"/>
        <v>42.947805034367775</v>
      </c>
      <c r="BT7" s="4">
        <f t="shared" si="51"/>
        <v>91008.166536000004</v>
      </c>
      <c r="BU7" s="4">
        <f t="shared" si="52"/>
        <v>97572.6</v>
      </c>
      <c r="BV7" s="7">
        <f t="shared" si="53"/>
        <v>1073298.6000000001</v>
      </c>
      <c r="BW7" s="7">
        <f t="shared" si="54"/>
        <v>1151370.0369609857</v>
      </c>
    </row>
    <row r="8" spans="1:75" x14ac:dyDescent="0.3">
      <c r="A8" s="3">
        <f t="shared" si="0"/>
        <v>4</v>
      </c>
      <c r="B8" t="str">
        <f>INDEX(Employees!$A:$A,A8+1)</f>
        <v>E004</v>
      </c>
      <c r="C8" t="str">
        <f>INDEX(Employees!$A:$Z,MATCH(B8,Employees!$A:$A,0),MATCH("category",Employees!$1:$1,0))</f>
        <v>Engineering</v>
      </c>
      <c r="D8" t="str">
        <f>INDEX(Employees!$A:$Z,MATCH(B8,Employees!$A:$A,0),MATCH("gender",Employees!$1:$1,0))</f>
        <v>M</v>
      </c>
      <c r="E8" s="3">
        <f>INDEX(Employees!$A:$Z,MATCH(B8,Employees!$A:$A,0),MATCH("grade",Employees!$1:$1,0))</f>
        <v>10</v>
      </c>
      <c r="F8" s="3">
        <f>INDEX(Employees!$A:$Z,MATCH(B8,Employees!$A:$A,0),MATCH("rating",Employees!$1:$1,0))</f>
        <v>2</v>
      </c>
      <c r="G8" s="22">
        <f>INDEX(Employees!$A:$Z,MATCH(B8,Employees!$A:$A,0),MATCH("hire_date",Employees!$1:$1,0))</f>
        <v>43775</v>
      </c>
      <c r="H8" s="22">
        <f>INDEX(Employees!$A:$Z,MATCH(B8,Employees!$A:$A,0),MATCH("last_change_date",Employees!$1:$1,0))</f>
        <v>46113</v>
      </c>
      <c r="I8" s="4">
        <f>INDEX(Employees!$A:$Z,MATCH(B8,Employees!$A:$A,0),MATCH("base_salary",Employees!$1:$1,0))</f>
        <v>73284.69</v>
      </c>
      <c r="J8" s="5">
        <f>INDEX(Employees!$A:$Z,MATCH(B8,Employees!$A:$A,0),MATCH("bonus_pct",Employees!$1:$1,0))/100</f>
        <v>0.11990000000000001</v>
      </c>
      <c r="K8" s="7">
        <f>INDEX(Employees!$A:$Z,MATCH(B8,Employees!$A:$A,0),MATCH("fte",Employees!$1:$1,0))</f>
        <v>1</v>
      </c>
      <c r="L8" s="3">
        <f>IF(ISNA(MATCH(C8&amp;"|"&amp;E8,Bands!$F:$F,0)),0,1)</f>
        <v>1</v>
      </c>
      <c r="M8" s="4">
        <f>INDEX(Bands!$C:$C,MATCH(C8&amp;"|"&amp;E8,Bands!$F:$F,0))</f>
        <v>59800</v>
      </c>
      <c r="N8" s="4">
        <f>INDEX(Bands!$D:$D,MATCH(C8&amp;"|"&amp;E8,Bands!$F:$F,0))</f>
        <v>74800</v>
      </c>
      <c r="O8" s="4">
        <f>INDEX(Bands!$E:$E,MATCH(C8&amp;"|"&amp;E8,Bands!$F:$F,0))</f>
        <v>89700</v>
      </c>
      <c r="P8" s="7">
        <f t="shared" si="1"/>
        <v>7.40041067761807</v>
      </c>
      <c r="Q8" s="4">
        <f t="shared" si="2"/>
        <v>82071.524330999993</v>
      </c>
      <c r="R8" s="7">
        <f t="shared" si="3"/>
        <v>100</v>
      </c>
      <c r="S8" s="7">
        <f t="shared" si="4"/>
        <v>54.766078197403544</v>
      </c>
      <c r="T8" s="7">
        <f t="shared" si="5"/>
        <v>74.004106776180706</v>
      </c>
      <c r="U8" s="7">
        <f t="shared" si="6"/>
        <v>820715.24330999993</v>
      </c>
      <c r="V8" s="7">
        <f t="shared" si="7"/>
        <v>607362.98498752364</v>
      </c>
      <c r="W8" s="4">
        <f t="shared" si="8"/>
        <v>82071.520000000004</v>
      </c>
      <c r="X8" s="3">
        <f t="shared" si="9"/>
        <v>33</v>
      </c>
      <c r="Y8" s="4">
        <f>INDEX(Categories!$AH:$AH,MATCH(C8,Categories!$A:$A,0))</f>
        <v>71955.39427199999</v>
      </c>
      <c r="Z8" s="3">
        <f>IF(AND(D8="F",Q8&lt;Y8,INDEX(Categories!$AI:$AI,MATCH(C8,Categories!$A:$A,0))&gt;0),1,0)</f>
        <v>0</v>
      </c>
      <c r="AA8" s="4">
        <f t="shared" si="10"/>
        <v>0</v>
      </c>
      <c r="AB8" s="4">
        <f>IF(Z8=1,INDEX(Categories!$AI:$AI,MATCH(C8,Categories!$A:$A,0))*AA8/INDEX(Categories!$AJ:$AJ,MATCH(C8,Categories!$A:$A,0)),0)</f>
        <v>0</v>
      </c>
      <c r="AC8" s="4">
        <f t="shared" si="11"/>
        <v>0</v>
      </c>
      <c r="AD8" s="4">
        <f t="shared" si="12"/>
        <v>73284.69</v>
      </c>
      <c r="AE8" s="3">
        <f t="shared" si="13"/>
        <v>0</v>
      </c>
      <c r="AF8" s="3">
        <f t="shared" si="14"/>
        <v>88</v>
      </c>
      <c r="AG8" s="3">
        <f t="shared" si="15"/>
        <v>12</v>
      </c>
      <c r="AH8" s="3">
        <f t="shared" si="16"/>
        <v>1</v>
      </c>
      <c r="AI8" s="5">
        <f t="shared" si="17"/>
        <v>0.97974184491978611</v>
      </c>
      <c r="AJ8" s="3">
        <f>MATCH(AI8,Inputs!$B$31:$B$34,1)</f>
        <v>2</v>
      </c>
      <c r="AK8" s="5">
        <f>INDEX(Inputs!$C$21:$C$25,MATCH(F8,Inputs!$A$21:$A$25,0))</f>
        <v>0.95</v>
      </c>
      <c r="AL8" s="5">
        <f>INDEX(Inputs!$D$21:$D$25,MATCH(F8,Inputs!$A$21:$A$25,0))</f>
        <v>0</v>
      </c>
      <c r="AM8" s="4">
        <f t="shared" si="18"/>
        <v>71060</v>
      </c>
      <c r="AN8" s="4">
        <f t="shared" si="19"/>
        <v>0</v>
      </c>
      <c r="AO8" s="3">
        <f t="shared" si="20"/>
        <v>1</v>
      </c>
      <c r="AP8" s="4">
        <f t="shared" si="21"/>
        <v>21985.406999999999</v>
      </c>
      <c r="AQ8" s="4">
        <f t="shared" si="22"/>
        <v>0</v>
      </c>
      <c r="AR8" s="4">
        <f t="shared" si="23"/>
        <v>0</v>
      </c>
      <c r="AS8" s="3">
        <f t="shared" si="24"/>
        <v>0</v>
      </c>
      <c r="AT8" s="4">
        <f t="shared" si="25"/>
        <v>0</v>
      </c>
      <c r="AU8" s="4">
        <f t="shared" si="26"/>
        <v>16415.309999999998</v>
      </c>
      <c r="AV8" s="4">
        <f t="shared" si="27"/>
        <v>0</v>
      </c>
      <c r="AW8" s="4">
        <f t="shared" si="28"/>
        <v>0</v>
      </c>
      <c r="AX8" s="5">
        <f t="shared" si="29"/>
        <v>0</v>
      </c>
      <c r="AY8" s="4">
        <f t="shared" si="30"/>
        <v>73284.69</v>
      </c>
      <c r="AZ8" s="3">
        <f t="shared" si="31"/>
        <v>0</v>
      </c>
      <c r="BA8" s="4">
        <f t="shared" si="32"/>
        <v>82071.524330999993</v>
      </c>
      <c r="BB8" s="4">
        <f t="shared" si="33"/>
        <v>19892.446541042398</v>
      </c>
      <c r="BC8" s="4">
        <f t="shared" si="34"/>
        <v>82071.524330999993</v>
      </c>
      <c r="BD8" s="4">
        <f t="shared" si="35"/>
        <v>19892.446541042398</v>
      </c>
      <c r="BE8" s="4">
        <f t="shared" si="36"/>
        <v>82071.524330999993</v>
      </c>
      <c r="BF8" s="4">
        <f t="shared" si="37"/>
        <v>19892.446541042398</v>
      </c>
      <c r="BG8" s="4">
        <f t="shared" si="38"/>
        <v>0</v>
      </c>
      <c r="BH8" s="4">
        <f t="shared" si="39"/>
        <v>0</v>
      </c>
      <c r="BI8" s="4">
        <f t="shared" si="40"/>
        <v>0</v>
      </c>
      <c r="BJ8" s="4">
        <f t="shared" si="41"/>
        <v>0</v>
      </c>
      <c r="BK8" s="4">
        <f t="shared" si="42"/>
        <v>0</v>
      </c>
      <c r="BL8" s="4">
        <f t="shared" si="43"/>
        <v>0</v>
      </c>
      <c r="BM8" s="4">
        <f t="shared" si="44"/>
        <v>73284.69</v>
      </c>
      <c r="BN8" s="4">
        <f t="shared" si="45"/>
        <v>2931.3876</v>
      </c>
      <c r="BO8" s="4">
        <f t="shared" si="46"/>
        <v>2931.3876</v>
      </c>
      <c r="BP8" s="4">
        <f t="shared" si="47"/>
        <v>351.47337324</v>
      </c>
      <c r="BQ8" s="4">
        <f t="shared" si="48"/>
        <v>85354.385304240001</v>
      </c>
      <c r="BR8" s="4">
        <f t="shared" si="49"/>
        <v>19926.588295164092</v>
      </c>
      <c r="BS8" s="4">
        <f t="shared" si="50"/>
        <v>34.141754121694248</v>
      </c>
      <c r="BT8" s="4">
        <f t="shared" si="51"/>
        <v>82071.524330999993</v>
      </c>
      <c r="BU8" s="4">
        <f t="shared" si="52"/>
        <v>82071.524330999993</v>
      </c>
      <c r="BV8" s="7">
        <f t="shared" si="53"/>
        <v>820715.24330999993</v>
      </c>
      <c r="BW8" s="7">
        <f t="shared" si="54"/>
        <v>607362.98498752364</v>
      </c>
    </row>
    <row r="9" spans="1:75" x14ac:dyDescent="0.3">
      <c r="A9" s="3">
        <f t="shared" si="0"/>
        <v>5</v>
      </c>
      <c r="B9" t="str">
        <f>INDEX(Employees!$A:$A,A9+1)</f>
        <v>E005</v>
      </c>
      <c r="C9" t="str">
        <f>INDEX(Employees!$A:$Z,MATCH(B9,Employees!$A:$A,0),MATCH("category",Employees!$1:$1,0))</f>
        <v>Engineering</v>
      </c>
      <c r="D9" t="str">
        <f>INDEX(Employees!$A:$Z,MATCH(B9,Employees!$A:$A,0),MATCH("gender",Employees!$1:$1,0))</f>
        <v>F</v>
      </c>
      <c r="E9" s="3">
        <f>INDEX(Employees!$A:$Z,MATCH(B9,Employees!$A:$A,0),MATCH("grade",Employees!$1:$1,0))</f>
        <v>10</v>
      </c>
      <c r="F9" s="3">
        <f>INDEX(Employees!$A:$Z,MATCH(B9,Employees!$A:$A,0),MATCH("rating",Employees!$1:$1,0))</f>
        <v>4</v>
      </c>
      <c r="G9" s="22">
        <f>INDEX(Employees!$A:$Z,MATCH(B9,Employees!$A:$A,0),MATCH("hire_date",Employees!$1:$1,0))</f>
        <v>44067</v>
      </c>
      <c r="H9" s="22">
        <f>INDEX(Employees!$A:$Z,MATCH(B9,Employees!$A:$A,0),MATCH("last_change_date",Employees!$1:$1,0))</f>
        <v>46113</v>
      </c>
      <c r="I9" s="4">
        <f>INDEX(Employees!$A:$Z,MATCH(B9,Employees!$A:$A,0),MATCH("base_salary",Employees!$1:$1,0))</f>
        <v>69538.460000000006</v>
      </c>
      <c r="J9" s="5">
        <f>INDEX(Employees!$A:$Z,MATCH(B9,Employees!$A:$A,0),MATCH("bonus_pct",Employees!$1:$1,0))/100</f>
        <v>9.5700000000000007E-2</v>
      </c>
      <c r="K9" s="7">
        <f>INDEX(Employees!$A:$Z,MATCH(B9,Employees!$A:$A,0),MATCH("fte",Employees!$1:$1,0))</f>
        <v>1</v>
      </c>
      <c r="L9" s="3">
        <f>IF(ISNA(MATCH(C9&amp;"|"&amp;E9,Bands!$F:$F,0)),0,1)</f>
        <v>1</v>
      </c>
      <c r="M9" s="4">
        <f>INDEX(Bands!$C:$C,MATCH(C9&amp;"|"&amp;E9,Bands!$F:$F,0))</f>
        <v>59800</v>
      </c>
      <c r="N9" s="4">
        <f>INDEX(Bands!$D:$D,MATCH(C9&amp;"|"&amp;E9,Bands!$F:$F,0))</f>
        <v>74800</v>
      </c>
      <c r="O9" s="4">
        <f>INDEX(Bands!$E:$E,MATCH(C9&amp;"|"&amp;E9,Bands!$F:$F,0))</f>
        <v>89700</v>
      </c>
      <c r="P9" s="7">
        <f t="shared" si="1"/>
        <v>6.6009582477754964</v>
      </c>
      <c r="Q9" s="4">
        <f t="shared" si="2"/>
        <v>76193.290622</v>
      </c>
      <c r="R9" s="7">
        <f t="shared" si="3"/>
        <v>100</v>
      </c>
      <c r="S9" s="7">
        <f t="shared" si="4"/>
        <v>43.572649788875353</v>
      </c>
      <c r="T9" s="7">
        <f t="shared" si="5"/>
        <v>66.009582477754961</v>
      </c>
      <c r="U9" s="7">
        <f t="shared" si="6"/>
        <v>761932.90622</v>
      </c>
      <c r="V9" s="7">
        <f t="shared" si="7"/>
        <v>502948.73015644628</v>
      </c>
      <c r="W9" s="4">
        <f t="shared" si="8"/>
        <v>76193.289999999994</v>
      </c>
      <c r="X9" s="3">
        <f t="shared" si="9"/>
        <v>26</v>
      </c>
      <c r="Y9" s="4">
        <f>INDEX(Categories!$AH:$AH,MATCH(C9,Categories!$A:$A,0))</f>
        <v>71955.39427199999</v>
      </c>
      <c r="Z9" s="3">
        <f>IF(AND(D9="F",Q9&lt;Y9,INDEX(Categories!$AI:$AI,MATCH(C9,Categories!$A:$A,0))&gt;0),1,0)</f>
        <v>0</v>
      </c>
      <c r="AA9" s="4">
        <f t="shared" si="10"/>
        <v>0</v>
      </c>
      <c r="AB9" s="4">
        <f>IF(Z9=1,INDEX(Categories!$AI:$AI,MATCH(C9,Categories!$A:$A,0))*AA9/INDEX(Categories!$AJ:$AJ,MATCH(C9,Categories!$A:$A,0)),0)</f>
        <v>0</v>
      </c>
      <c r="AC9" s="4">
        <f t="shared" si="11"/>
        <v>0</v>
      </c>
      <c r="AD9" s="4">
        <f t="shared" si="12"/>
        <v>69538.460000000006</v>
      </c>
      <c r="AE9" s="3">
        <f t="shared" si="13"/>
        <v>0</v>
      </c>
      <c r="AF9" s="3">
        <f t="shared" si="14"/>
        <v>79</v>
      </c>
      <c r="AG9" s="3">
        <f t="shared" si="15"/>
        <v>12</v>
      </c>
      <c r="AH9" s="3">
        <f t="shared" si="16"/>
        <v>1</v>
      </c>
      <c r="AI9" s="5">
        <f t="shared" si="17"/>
        <v>0.9296585561497327</v>
      </c>
      <c r="AJ9" s="3">
        <f>MATCH(AI9,Inputs!$B$31:$B$34,1)</f>
        <v>2</v>
      </c>
      <c r="AK9" s="5">
        <f>INDEX(Inputs!$C$21:$C$25,MATCH(F9,Inputs!$A$21:$A$25,0))</f>
        <v>1.05</v>
      </c>
      <c r="AL9" s="5">
        <f>INDEX(Inputs!$D$21:$D$25,MATCH(F9,Inputs!$A$21:$A$25,0))</f>
        <v>0.01</v>
      </c>
      <c r="AM9" s="4">
        <f t="shared" si="18"/>
        <v>78540</v>
      </c>
      <c r="AN9" s="4">
        <f t="shared" si="19"/>
        <v>9001.5399999999936</v>
      </c>
      <c r="AO9" s="3">
        <f t="shared" si="20"/>
        <v>1</v>
      </c>
      <c r="AP9" s="4">
        <f t="shared" si="21"/>
        <v>20861.538</v>
      </c>
      <c r="AQ9" s="4">
        <f t="shared" si="22"/>
        <v>695.38460000000009</v>
      </c>
      <c r="AR9" s="4">
        <f t="shared" si="23"/>
        <v>9001.5399999999936</v>
      </c>
      <c r="AS9" s="3">
        <f t="shared" si="24"/>
        <v>0</v>
      </c>
      <c r="AT9" s="4">
        <f t="shared" si="25"/>
        <v>9001.5399999999936</v>
      </c>
      <c r="AU9" s="4">
        <f t="shared" si="26"/>
        <v>20161.539999999994</v>
      </c>
      <c r="AV9" s="4">
        <f t="shared" si="27"/>
        <v>9001.5399999999936</v>
      </c>
      <c r="AW9" s="4">
        <f t="shared" si="28"/>
        <v>9001.5399999999936</v>
      </c>
      <c r="AX9" s="5">
        <f t="shared" si="29"/>
        <v>0.12944692764263105</v>
      </c>
      <c r="AY9" s="4">
        <f t="shared" si="30"/>
        <v>78540</v>
      </c>
      <c r="AZ9" s="3">
        <f t="shared" si="31"/>
        <v>0</v>
      </c>
      <c r="BA9" s="4">
        <f t="shared" si="32"/>
        <v>76193.290622</v>
      </c>
      <c r="BB9" s="4">
        <f t="shared" si="33"/>
        <v>19831.312910468798</v>
      </c>
      <c r="BC9" s="4">
        <f t="shared" si="34"/>
        <v>76193.290622</v>
      </c>
      <c r="BD9" s="4">
        <f t="shared" si="35"/>
        <v>19831.312910468798</v>
      </c>
      <c r="BE9" s="4">
        <f t="shared" si="36"/>
        <v>86056.277999999991</v>
      </c>
      <c r="BF9" s="4">
        <f t="shared" si="37"/>
        <v>19933.887979199997</v>
      </c>
      <c r="BG9" s="4">
        <f t="shared" si="38"/>
        <v>0</v>
      </c>
      <c r="BH9" s="4">
        <f t="shared" si="39"/>
        <v>0</v>
      </c>
      <c r="BI9" s="4">
        <f t="shared" si="40"/>
        <v>0</v>
      </c>
      <c r="BJ9" s="4">
        <f t="shared" si="41"/>
        <v>9001.5399999999936</v>
      </c>
      <c r="BK9" s="4">
        <f t="shared" si="42"/>
        <v>861.4473779999995</v>
      </c>
      <c r="BL9" s="4">
        <f t="shared" si="43"/>
        <v>102.57506873119928</v>
      </c>
      <c r="BM9" s="4">
        <f t="shared" si="44"/>
        <v>69538.460000000006</v>
      </c>
      <c r="BN9" s="4">
        <f t="shared" si="45"/>
        <v>2781.5384000000004</v>
      </c>
      <c r="BO9" s="4">
        <f t="shared" si="46"/>
        <v>2781.5384000000004</v>
      </c>
      <c r="BP9" s="4">
        <f t="shared" si="47"/>
        <v>266.19322488000006</v>
      </c>
      <c r="BQ9" s="4">
        <f t="shared" si="48"/>
        <v>79241.022246880006</v>
      </c>
      <c r="BR9" s="4">
        <f t="shared" si="49"/>
        <v>19863.009319367549</v>
      </c>
      <c r="BS9" s="4">
        <f t="shared" si="50"/>
        <v>31.696408898751542</v>
      </c>
      <c r="BT9" s="4">
        <f t="shared" si="51"/>
        <v>76193.290622</v>
      </c>
      <c r="BU9" s="4">
        <f t="shared" si="52"/>
        <v>86056.277999999991</v>
      </c>
      <c r="BV9" s="7">
        <f t="shared" si="53"/>
        <v>860562.77999999991</v>
      </c>
      <c r="BW9" s="7">
        <f t="shared" si="54"/>
        <v>568053.89803696098</v>
      </c>
    </row>
    <row r="10" spans="1:75" x14ac:dyDescent="0.3">
      <c r="A10" s="3">
        <f t="shared" si="0"/>
        <v>6</v>
      </c>
      <c r="B10" t="str">
        <f>INDEX(Employees!$A:$A,A10+1)</f>
        <v>E006</v>
      </c>
      <c r="C10" t="str">
        <f>INDEX(Employees!$A:$Z,MATCH(B10,Employees!$A:$A,0),MATCH("category",Employees!$1:$1,0))</f>
        <v>Engineering</v>
      </c>
      <c r="D10" t="str">
        <f>INDEX(Employees!$A:$Z,MATCH(B10,Employees!$A:$A,0),MATCH("gender",Employees!$1:$1,0))</f>
        <v>M</v>
      </c>
      <c r="E10" s="3">
        <f>INDEX(Employees!$A:$Z,MATCH(B10,Employees!$A:$A,0),MATCH("grade",Employees!$1:$1,0))</f>
        <v>9</v>
      </c>
      <c r="F10" s="3">
        <f>INDEX(Employees!$A:$Z,MATCH(B10,Employees!$A:$A,0),MATCH("rating",Employees!$1:$1,0))</f>
        <v>5</v>
      </c>
      <c r="G10" s="22">
        <f>INDEX(Employees!$A:$Z,MATCH(B10,Employees!$A:$A,0),MATCH("hire_date",Employees!$1:$1,0))</f>
        <v>44469</v>
      </c>
      <c r="H10" s="22">
        <f>INDEX(Employees!$A:$Z,MATCH(B10,Employees!$A:$A,0),MATCH("last_change_date",Employees!$1:$1,0))</f>
        <v>46113</v>
      </c>
      <c r="I10" s="4">
        <f>INDEX(Employees!$A:$Z,MATCH(B10,Employees!$A:$A,0),MATCH("base_salary",Employees!$1:$1,0))</f>
        <v>60248.19</v>
      </c>
      <c r="J10" s="5">
        <f>INDEX(Employees!$A:$Z,MATCH(B10,Employees!$A:$A,0),MATCH("bonus_pct",Employees!$1:$1,0))/100</f>
        <v>0.10400000000000001</v>
      </c>
      <c r="K10" s="7">
        <f>INDEX(Employees!$A:$Z,MATCH(B10,Employees!$A:$A,0),MATCH("fte",Employees!$1:$1,0))</f>
        <v>1</v>
      </c>
      <c r="L10" s="3">
        <f>IF(ISNA(MATCH(C10&amp;"|"&amp;E10,Bands!$F:$F,0)),0,1)</f>
        <v>1</v>
      </c>
      <c r="M10" s="4">
        <f>INDEX(Bands!$C:$C,MATCH(C10&amp;"|"&amp;E10,Bands!$F:$F,0))</f>
        <v>54500</v>
      </c>
      <c r="N10" s="4">
        <f>INDEX(Bands!$D:$D,MATCH(C10&amp;"|"&amp;E10,Bands!$F:$F,0))</f>
        <v>65400</v>
      </c>
      <c r="O10" s="4">
        <f>INDEX(Bands!$E:$E,MATCH(C10&amp;"|"&amp;E10,Bands!$F:$F,0))</f>
        <v>76300</v>
      </c>
      <c r="P10" s="7">
        <f t="shared" si="1"/>
        <v>5.5003422313483918</v>
      </c>
      <c r="Q10" s="4">
        <f t="shared" si="2"/>
        <v>66514.001760000014</v>
      </c>
      <c r="R10" s="7">
        <f t="shared" si="3"/>
        <v>81</v>
      </c>
      <c r="S10" s="7">
        <f t="shared" si="4"/>
        <v>30.253764661954605</v>
      </c>
      <c r="T10" s="7">
        <f t="shared" si="5"/>
        <v>49.503080082135526</v>
      </c>
      <c r="U10" s="7">
        <f t="shared" si="6"/>
        <v>598626.01584000012</v>
      </c>
      <c r="V10" s="7">
        <f t="shared" si="7"/>
        <v>365849.77285650931</v>
      </c>
      <c r="W10" s="4">
        <f t="shared" si="8"/>
        <v>66514</v>
      </c>
      <c r="X10" s="3">
        <f t="shared" si="9"/>
        <v>18</v>
      </c>
      <c r="Y10" s="4">
        <f>INDEX(Categories!$AH:$AH,MATCH(C10,Categories!$A:$A,0))</f>
        <v>71955.39427199999</v>
      </c>
      <c r="Z10" s="3">
        <f>IF(AND(D10="F",Q10&lt;Y10,INDEX(Categories!$AI:$AI,MATCH(C10,Categories!$A:$A,0))&gt;0),1,0)</f>
        <v>0</v>
      </c>
      <c r="AA10" s="4">
        <f t="shared" si="10"/>
        <v>0</v>
      </c>
      <c r="AB10" s="4">
        <f>IF(Z10=1,INDEX(Categories!$AI:$AI,MATCH(C10,Categories!$A:$A,0))*AA10/INDEX(Categories!$AJ:$AJ,MATCH(C10,Categories!$A:$A,0)),0)</f>
        <v>0</v>
      </c>
      <c r="AC10" s="4">
        <f t="shared" si="11"/>
        <v>0</v>
      </c>
      <c r="AD10" s="4">
        <f t="shared" si="12"/>
        <v>60248.19</v>
      </c>
      <c r="AE10" s="3">
        <f t="shared" si="13"/>
        <v>0</v>
      </c>
      <c r="AF10" s="3">
        <f t="shared" si="14"/>
        <v>66</v>
      </c>
      <c r="AG10" s="3">
        <f t="shared" si="15"/>
        <v>12</v>
      </c>
      <c r="AH10" s="3">
        <f t="shared" si="16"/>
        <v>1</v>
      </c>
      <c r="AI10" s="5">
        <f t="shared" si="17"/>
        <v>0.92122614678899084</v>
      </c>
      <c r="AJ10" s="3">
        <f>MATCH(AI10,Inputs!$B$31:$B$34,1)</f>
        <v>2</v>
      </c>
      <c r="AK10" s="5">
        <f>INDEX(Inputs!$C$21:$C$25,MATCH(F10,Inputs!$A$21:$A$25,0))</f>
        <v>1.1000000000000001</v>
      </c>
      <c r="AL10" s="5">
        <f>INDEX(Inputs!$D$21:$D$25,MATCH(F10,Inputs!$A$21:$A$25,0))</f>
        <v>0.02</v>
      </c>
      <c r="AM10" s="4">
        <f t="shared" si="18"/>
        <v>71940</v>
      </c>
      <c r="AN10" s="4">
        <f t="shared" si="19"/>
        <v>11691.809999999998</v>
      </c>
      <c r="AO10" s="3">
        <f t="shared" si="20"/>
        <v>1</v>
      </c>
      <c r="AP10" s="4">
        <f t="shared" si="21"/>
        <v>18074.456999999999</v>
      </c>
      <c r="AQ10" s="4">
        <f t="shared" si="22"/>
        <v>1204.9638</v>
      </c>
      <c r="AR10" s="4">
        <f t="shared" si="23"/>
        <v>11691.809999999998</v>
      </c>
      <c r="AS10" s="3">
        <f t="shared" si="24"/>
        <v>0</v>
      </c>
      <c r="AT10" s="4">
        <f t="shared" si="25"/>
        <v>11691.809999999998</v>
      </c>
      <c r="AU10" s="4">
        <f t="shared" si="26"/>
        <v>16051.809999999998</v>
      </c>
      <c r="AV10" s="4">
        <f t="shared" si="27"/>
        <v>11691.809999999998</v>
      </c>
      <c r="AW10" s="4">
        <f t="shared" si="28"/>
        <v>11691.809999999998</v>
      </c>
      <c r="AX10" s="5">
        <f t="shared" si="29"/>
        <v>0.19406076763467911</v>
      </c>
      <c r="AY10" s="4">
        <f t="shared" si="30"/>
        <v>71940</v>
      </c>
      <c r="AZ10" s="3">
        <f t="shared" si="31"/>
        <v>0</v>
      </c>
      <c r="BA10" s="4">
        <f t="shared" si="32"/>
        <v>66514.001760000014</v>
      </c>
      <c r="BB10" s="4">
        <f t="shared" si="33"/>
        <v>19731.305776895999</v>
      </c>
      <c r="BC10" s="4">
        <f t="shared" si="34"/>
        <v>66514.001760000014</v>
      </c>
      <c r="BD10" s="4">
        <f t="shared" si="35"/>
        <v>19731.305776895999</v>
      </c>
      <c r="BE10" s="4">
        <f t="shared" si="36"/>
        <v>79421.760000000009</v>
      </c>
      <c r="BF10" s="4">
        <f t="shared" si="37"/>
        <v>19864.888991999997</v>
      </c>
      <c r="BG10" s="4">
        <f t="shared" si="38"/>
        <v>0</v>
      </c>
      <c r="BH10" s="4">
        <f t="shared" si="39"/>
        <v>0</v>
      </c>
      <c r="BI10" s="4">
        <f t="shared" si="40"/>
        <v>0</v>
      </c>
      <c r="BJ10" s="4">
        <f t="shared" si="41"/>
        <v>11691.809999999998</v>
      </c>
      <c r="BK10" s="4">
        <f t="shared" si="42"/>
        <v>1215.9482399999999</v>
      </c>
      <c r="BL10" s="4">
        <f t="shared" si="43"/>
        <v>133.58321510399765</v>
      </c>
      <c r="BM10" s="4">
        <f t="shared" si="44"/>
        <v>60248.19</v>
      </c>
      <c r="BN10" s="4">
        <f t="shared" si="45"/>
        <v>2409.9276</v>
      </c>
      <c r="BO10" s="4">
        <f t="shared" si="46"/>
        <v>2409.9276</v>
      </c>
      <c r="BP10" s="4">
        <f t="shared" si="47"/>
        <v>250.63247040000002</v>
      </c>
      <c r="BQ10" s="4">
        <f t="shared" si="48"/>
        <v>69174.561830400009</v>
      </c>
      <c r="BR10" s="4">
        <f t="shared" si="49"/>
        <v>19758.318131036158</v>
      </c>
      <c r="BS10" s="4">
        <f t="shared" si="50"/>
        <v>27.012354140159005</v>
      </c>
      <c r="BT10" s="4">
        <f t="shared" si="51"/>
        <v>66514.001760000014</v>
      </c>
      <c r="BU10" s="4">
        <f t="shared" si="52"/>
        <v>79421.760000000009</v>
      </c>
      <c r="BV10" s="7">
        <f t="shared" si="53"/>
        <v>714795.84000000008</v>
      </c>
      <c r="BW10" s="7">
        <f t="shared" si="54"/>
        <v>436846.86061601649</v>
      </c>
    </row>
    <row r="11" spans="1:75" x14ac:dyDescent="0.3">
      <c r="A11" s="3">
        <f t="shared" si="0"/>
        <v>7</v>
      </c>
      <c r="B11" t="str">
        <f>INDEX(Employees!$A:$A,A11+1)</f>
        <v>E007</v>
      </c>
      <c r="C11" t="str">
        <f>INDEX(Employees!$A:$Z,MATCH(B11,Employees!$A:$A,0),MATCH("category",Employees!$1:$1,0))</f>
        <v>Engineering</v>
      </c>
      <c r="D11" t="str">
        <f>INDEX(Employees!$A:$Z,MATCH(B11,Employees!$A:$A,0),MATCH("gender",Employees!$1:$1,0))</f>
        <v>M</v>
      </c>
      <c r="E11" s="3">
        <f>INDEX(Employees!$A:$Z,MATCH(B11,Employees!$A:$A,0),MATCH("grade",Employees!$1:$1,0))</f>
        <v>7</v>
      </c>
      <c r="F11" s="3">
        <f>INDEX(Employees!$A:$Z,MATCH(B11,Employees!$A:$A,0),MATCH("rating",Employees!$1:$1,0))</f>
        <v>5</v>
      </c>
      <c r="G11" s="22">
        <f>INDEX(Employees!$A:$Z,MATCH(B11,Employees!$A:$A,0),MATCH("hire_date",Employees!$1:$1,0))</f>
        <v>44725</v>
      </c>
      <c r="H11" s="22">
        <f>INDEX(Employees!$A:$Z,MATCH(B11,Employees!$A:$A,0),MATCH("last_change_date",Employees!$1:$1,0))</f>
        <v>46113</v>
      </c>
      <c r="I11" s="4">
        <f>INDEX(Employees!$A:$Z,MATCH(B11,Employees!$A:$A,0),MATCH("base_salary",Employees!$1:$1,0))</f>
        <v>47983.14</v>
      </c>
      <c r="J11" s="5">
        <f>INDEX(Employees!$A:$Z,MATCH(B11,Employees!$A:$A,0),MATCH("bonus_pct",Employees!$1:$1,0))/100</f>
        <v>0.11810000000000001</v>
      </c>
      <c r="K11" s="7">
        <f>INDEX(Employees!$A:$Z,MATCH(B11,Employees!$A:$A,0),MATCH("fte",Employees!$1:$1,0))</f>
        <v>1</v>
      </c>
      <c r="L11" s="3">
        <f>IF(ISNA(MATCH(C11&amp;"|"&amp;E11,Bands!$F:$F,0)),0,1)</f>
        <v>1</v>
      </c>
      <c r="M11" s="4">
        <f>INDEX(Bands!$C:$C,MATCH(C11&amp;"|"&amp;E11,Bands!$F:$F,0))</f>
        <v>41600</v>
      </c>
      <c r="N11" s="4">
        <f>INDEX(Bands!$D:$D,MATCH(C11&amp;"|"&amp;E11,Bands!$F:$F,0))</f>
        <v>49900</v>
      </c>
      <c r="O11" s="4">
        <f>INDEX(Bands!$E:$E,MATCH(C11&amp;"|"&amp;E11,Bands!$F:$F,0))</f>
        <v>58200</v>
      </c>
      <c r="P11" s="7">
        <f t="shared" si="1"/>
        <v>4.7994524298425736</v>
      </c>
      <c r="Q11" s="4">
        <f t="shared" si="2"/>
        <v>53649.948834000003</v>
      </c>
      <c r="R11" s="7">
        <f t="shared" si="3"/>
        <v>49</v>
      </c>
      <c r="S11" s="7">
        <f t="shared" si="4"/>
        <v>23.034743626321784</v>
      </c>
      <c r="T11" s="7">
        <f t="shared" si="5"/>
        <v>33.596167008898014</v>
      </c>
      <c r="U11" s="7">
        <f t="shared" si="6"/>
        <v>375549.64183800004</v>
      </c>
      <c r="V11" s="7">
        <f t="shared" si="7"/>
        <v>257490.37729227106</v>
      </c>
      <c r="W11" s="4">
        <f t="shared" si="8"/>
        <v>53649.95</v>
      </c>
      <c r="X11" s="3">
        <f t="shared" si="9"/>
        <v>7</v>
      </c>
      <c r="Y11" s="4">
        <f>INDEX(Categories!$AH:$AH,MATCH(C11,Categories!$A:$A,0))</f>
        <v>71955.39427199999</v>
      </c>
      <c r="Z11" s="3">
        <f>IF(AND(D11="F",Q11&lt;Y11,INDEX(Categories!$AI:$AI,MATCH(C11,Categories!$A:$A,0))&gt;0),1,0)</f>
        <v>0</v>
      </c>
      <c r="AA11" s="4">
        <f t="shared" si="10"/>
        <v>0</v>
      </c>
      <c r="AB11" s="4">
        <f>IF(Z11=1,INDEX(Categories!$AI:$AI,MATCH(C11,Categories!$A:$A,0))*AA11/INDEX(Categories!$AJ:$AJ,MATCH(C11,Categories!$A:$A,0)),0)</f>
        <v>0</v>
      </c>
      <c r="AC11" s="4">
        <f t="shared" si="11"/>
        <v>0</v>
      </c>
      <c r="AD11" s="4">
        <f t="shared" si="12"/>
        <v>47983.14</v>
      </c>
      <c r="AE11" s="3">
        <f t="shared" si="13"/>
        <v>0</v>
      </c>
      <c r="AF11" s="3">
        <f t="shared" si="14"/>
        <v>57</v>
      </c>
      <c r="AG11" s="3">
        <f t="shared" si="15"/>
        <v>12</v>
      </c>
      <c r="AH11" s="3">
        <f t="shared" si="16"/>
        <v>1</v>
      </c>
      <c r="AI11" s="5">
        <f t="shared" si="17"/>
        <v>0.96158597194388773</v>
      </c>
      <c r="AJ11" s="3">
        <f>MATCH(AI11,Inputs!$B$31:$B$34,1)</f>
        <v>2</v>
      </c>
      <c r="AK11" s="5">
        <f>INDEX(Inputs!$C$21:$C$25,MATCH(F11,Inputs!$A$21:$A$25,0))</f>
        <v>1.1000000000000001</v>
      </c>
      <c r="AL11" s="5">
        <f>INDEX(Inputs!$D$21:$D$25,MATCH(F11,Inputs!$A$21:$A$25,0))</f>
        <v>0.02</v>
      </c>
      <c r="AM11" s="4">
        <f t="shared" si="18"/>
        <v>54890.000000000007</v>
      </c>
      <c r="AN11" s="4">
        <f t="shared" si="19"/>
        <v>6906.8600000000079</v>
      </c>
      <c r="AO11" s="3">
        <f t="shared" si="20"/>
        <v>1</v>
      </c>
      <c r="AP11" s="4">
        <f t="shared" si="21"/>
        <v>14394.941999999999</v>
      </c>
      <c r="AQ11" s="4">
        <f t="shared" si="22"/>
        <v>959.66280000000006</v>
      </c>
      <c r="AR11" s="4">
        <f t="shared" si="23"/>
        <v>6906.8600000000079</v>
      </c>
      <c r="AS11" s="3">
        <f t="shared" si="24"/>
        <v>0</v>
      </c>
      <c r="AT11" s="4">
        <f t="shared" si="25"/>
        <v>6906.8600000000079</v>
      </c>
      <c r="AU11" s="4">
        <f t="shared" si="26"/>
        <v>10216.86</v>
      </c>
      <c r="AV11" s="4">
        <f t="shared" si="27"/>
        <v>6906.8600000000079</v>
      </c>
      <c r="AW11" s="4">
        <f t="shared" si="28"/>
        <v>6906.8600000000079</v>
      </c>
      <c r="AX11" s="5">
        <f t="shared" si="29"/>
        <v>0.14394347681289738</v>
      </c>
      <c r="AY11" s="4">
        <f t="shared" si="30"/>
        <v>54890.000000000007</v>
      </c>
      <c r="AZ11" s="3">
        <f t="shared" si="31"/>
        <v>0</v>
      </c>
      <c r="BA11" s="4">
        <f t="shared" si="32"/>
        <v>53649.948834000003</v>
      </c>
      <c r="BB11" s="4">
        <f t="shared" si="33"/>
        <v>17248.458550131003</v>
      </c>
      <c r="BC11" s="4">
        <f t="shared" si="34"/>
        <v>53649.948834000003</v>
      </c>
      <c r="BD11" s="4">
        <f t="shared" si="35"/>
        <v>17248.458550131003</v>
      </c>
      <c r="BE11" s="4">
        <f t="shared" si="36"/>
        <v>61372.509000000013</v>
      </c>
      <c r="BF11" s="4">
        <f t="shared" si="37"/>
        <v>19681.947446400001</v>
      </c>
      <c r="BG11" s="4">
        <f t="shared" si="38"/>
        <v>0</v>
      </c>
      <c r="BH11" s="4">
        <f t="shared" si="39"/>
        <v>0</v>
      </c>
      <c r="BI11" s="4">
        <f t="shared" si="40"/>
        <v>0</v>
      </c>
      <c r="BJ11" s="4">
        <f t="shared" si="41"/>
        <v>6906.8600000000079</v>
      </c>
      <c r="BK11" s="4">
        <f t="shared" si="42"/>
        <v>815.70016600000099</v>
      </c>
      <c r="BL11" s="4">
        <f t="shared" si="43"/>
        <v>2433.4888962689984</v>
      </c>
      <c r="BM11" s="4">
        <f t="shared" si="44"/>
        <v>47983.14</v>
      </c>
      <c r="BN11" s="4">
        <f t="shared" si="45"/>
        <v>1919.3256000000001</v>
      </c>
      <c r="BO11" s="4">
        <f t="shared" si="46"/>
        <v>1919.3256000000001</v>
      </c>
      <c r="BP11" s="4">
        <f t="shared" si="47"/>
        <v>226.67235336000005</v>
      </c>
      <c r="BQ11" s="4">
        <f t="shared" si="48"/>
        <v>55795.946787360001</v>
      </c>
      <c r="BR11" s="4">
        <f t="shared" si="49"/>
        <v>17938.396892136239</v>
      </c>
      <c r="BS11" s="4">
        <f t="shared" si="50"/>
        <v>689.93834200523634</v>
      </c>
      <c r="BT11" s="4">
        <f t="shared" si="51"/>
        <v>53649.948834000003</v>
      </c>
      <c r="BU11" s="4">
        <f t="shared" si="52"/>
        <v>61372.509000000013</v>
      </c>
      <c r="BV11" s="7">
        <f t="shared" si="53"/>
        <v>429607.56300000008</v>
      </c>
      <c r="BW11" s="7">
        <f t="shared" si="54"/>
        <v>294554.43744558527</v>
      </c>
    </row>
    <row r="12" spans="1:75" x14ac:dyDescent="0.3">
      <c r="A12" s="3">
        <f t="shared" si="0"/>
        <v>8</v>
      </c>
      <c r="B12" t="str">
        <f>INDEX(Employees!$A:$A,A12+1)</f>
        <v>E008</v>
      </c>
      <c r="C12" t="str">
        <f>INDEX(Employees!$A:$Z,MATCH(B12,Employees!$A:$A,0),MATCH("category",Employees!$1:$1,0))</f>
        <v>Engineering</v>
      </c>
      <c r="D12" t="str">
        <f>INDEX(Employees!$A:$Z,MATCH(B12,Employees!$A:$A,0),MATCH("gender",Employees!$1:$1,0))</f>
        <v>M</v>
      </c>
      <c r="E12" s="3">
        <f>INDEX(Employees!$A:$Z,MATCH(B12,Employees!$A:$A,0),MATCH("grade",Employees!$1:$1,0))</f>
        <v>11</v>
      </c>
      <c r="F12" s="3">
        <f>INDEX(Employees!$A:$Z,MATCH(B12,Employees!$A:$A,0),MATCH("rating",Employees!$1:$1,0))</f>
        <v>2</v>
      </c>
      <c r="G12" s="22">
        <f>INDEX(Employees!$A:$Z,MATCH(B12,Employees!$A:$A,0),MATCH("hire_date",Employees!$1:$1,0))</f>
        <v>44067</v>
      </c>
      <c r="H12" s="22">
        <f>INDEX(Employees!$A:$Z,MATCH(B12,Employees!$A:$A,0),MATCH("last_change_date",Employees!$1:$1,0))</f>
        <v>46113</v>
      </c>
      <c r="I12" s="4">
        <f>INDEX(Employees!$A:$Z,MATCH(B12,Employees!$A:$A,0),MATCH("base_salary",Employees!$1:$1,0))</f>
        <v>79273.59</v>
      </c>
      <c r="J12" s="5">
        <f>INDEX(Employees!$A:$Z,MATCH(B12,Employees!$A:$A,0),MATCH("bonus_pct",Employees!$1:$1,0))/100</f>
        <v>9.2399999999999996E-2</v>
      </c>
      <c r="K12" s="7">
        <f>INDEX(Employees!$A:$Z,MATCH(B12,Employees!$A:$A,0),MATCH("fte",Employees!$1:$1,0))</f>
        <v>1</v>
      </c>
      <c r="L12" s="3">
        <f>IF(ISNA(MATCH(C12&amp;"|"&amp;E12,Bands!$F:$F,0)),0,1)</f>
        <v>1</v>
      </c>
      <c r="M12" s="4">
        <f>INDEX(Bands!$C:$C,MATCH(C12&amp;"|"&amp;E12,Bands!$F:$F,0))</f>
        <v>68400</v>
      </c>
      <c r="N12" s="4">
        <f>INDEX(Bands!$D:$D,MATCH(C12&amp;"|"&amp;E12,Bands!$F:$F,0))</f>
        <v>85500</v>
      </c>
      <c r="O12" s="4">
        <f>INDEX(Bands!$E:$E,MATCH(C12&amp;"|"&amp;E12,Bands!$F:$F,0))</f>
        <v>102600</v>
      </c>
      <c r="P12" s="7">
        <f t="shared" si="1"/>
        <v>6.6009582477754964</v>
      </c>
      <c r="Q12" s="4">
        <f t="shared" si="2"/>
        <v>86598.469715999992</v>
      </c>
      <c r="R12" s="7">
        <f t="shared" si="3"/>
        <v>121</v>
      </c>
      <c r="S12" s="7">
        <f t="shared" si="4"/>
        <v>43.572649788875353</v>
      </c>
      <c r="T12" s="7">
        <f t="shared" si="5"/>
        <v>72.610540725530456</v>
      </c>
      <c r="U12" s="7">
        <f t="shared" si="6"/>
        <v>952583.16687599989</v>
      </c>
      <c r="V12" s="7">
        <f t="shared" si="7"/>
        <v>571632.88291656668</v>
      </c>
      <c r="W12" s="4">
        <f t="shared" si="8"/>
        <v>86598.47</v>
      </c>
      <c r="X12" s="3">
        <f t="shared" si="9"/>
        <v>37</v>
      </c>
      <c r="Y12" s="4">
        <f>INDEX(Categories!$AH:$AH,MATCH(C12,Categories!$A:$A,0))</f>
        <v>71955.39427199999</v>
      </c>
      <c r="Z12" s="3">
        <f>IF(AND(D12="F",Q12&lt;Y12,INDEX(Categories!$AI:$AI,MATCH(C12,Categories!$A:$A,0))&gt;0),1,0)</f>
        <v>0</v>
      </c>
      <c r="AA12" s="4">
        <f t="shared" si="10"/>
        <v>0</v>
      </c>
      <c r="AB12" s="4">
        <f>IF(Z12=1,INDEX(Categories!$AI:$AI,MATCH(C12,Categories!$A:$A,0))*AA12/INDEX(Categories!$AJ:$AJ,MATCH(C12,Categories!$A:$A,0)),0)</f>
        <v>0</v>
      </c>
      <c r="AC12" s="4">
        <f t="shared" si="11"/>
        <v>0</v>
      </c>
      <c r="AD12" s="4">
        <f t="shared" si="12"/>
        <v>79273.59</v>
      </c>
      <c r="AE12" s="3">
        <f t="shared" si="13"/>
        <v>0</v>
      </c>
      <c r="AF12" s="3">
        <f t="shared" si="14"/>
        <v>79</v>
      </c>
      <c r="AG12" s="3">
        <f t="shared" si="15"/>
        <v>12</v>
      </c>
      <c r="AH12" s="3">
        <f t="shared" si="16"/>
        <v>1</v>
      </c>
      <c r="AI12" s="5">
        <f t="shared" si="17"/>
        <v>0.92717649122807011</v>
      </c>
      <c r="AJ12" s="3">
        <f>MATCH(AI12,Inputs!$B$31:$B$34,1)</f>
        <v>2</v>
      </c>
      <c r="AK12" s="5">
        <f>INDEX(Inputs!$C$21:$C$25,MATCH(F12,Inputs!$A$21:$A$25,0))</f>
        <v>0.95</v>
      </c>
      <c r="AL12" s="5">
        <f>INDEX(Inputs!$D$21:$D$25,MATCH(F12,Inputs!$A$21:$A$25,0))</f>
        <v>0</v>
      </c>
      <c r="AM12" s="4">
        <f t="shared" si="18"/>
        <v>81225</v>
      </c>
      <c r="AN12" s="4">
        <f t="shared" si="19"/>
        <v>1951.4100000000035</v>
      </c>
      <c r="AO12" s="3">
        <f t="shared" si="20"/>
        <v>1</v>
      </c>
      <c r="AP12" s="4">
        <f t="shared" si="21"/>
        <v>23782.076999999997</v>
      </c>
      <c r="AQ12" s="4">
        <f t="shared" si="22"/>
        <v>0</v>
      </c>
      <c r="AR12" s="4">
        <f t="shared" si="23"/>
        <v>1951.4100000000035</v>
      </c>
      <c r="AS12" s="3">
        <f t="shared" si="24"/>
        <v>0</v>
      </c>
      <c r="AT12" s="4">
        <f t="shared" si="25"/>
        <v>1951.4100000000035</v>
      </c>
      <c r="AU12" s="4">
        <f t="shared" si="26"/>
        <v>23326.410000000003</v>
      </c>
      <c r="AV12" s="4">
        <f t="shared" si="27"/>
        <v>1951.4100000000035</v>
      </c>
      <c r="AW12" s="4">
        <f t="shared" si="28"/>
        <v>1951.4100000000035</v>
      </c>
      <c r="AX12" s="5">
        <f t="shared" si="29"/>
        <v>2.4616142652300766E-2</v>
      </c>
      <c r="AY12" s="4">
        <f t="shared" si="30"/>
        <v>81225</v>
      </c>
      <c r="AZ12" s="3">
        <f t="shared" si="31"/>
        <v>0</v>
      </c>
      <c r="BA12" s="4">
        <f t="shared" si="32"/>
        <v>86598.469715999992</v>
      </c>
      <c r="BB12" s="4">
        <f t="shared" si="33"/>
        <v>19939.526773046397</v>
      </c>
      <c r="BC12" s="4">
        <f t="shared" si="34"/>
        <v>86598.469715999992</v>
      </c>
      <c r="BD12" s="4">
        <f t="shared" si="35"/>
        <v>19939.526773046397</v>
      </c>
      <c r="BE12" s="4">
        <f t="shared" si="36"/>
        <v>88730.19</v>
      </c>
      <c r="BF12" s="4">
        <f t="shared" si="37"/>
        <v>19961.696663999999</v>
      </c>
      <c r="BG12" s="4">
        <f t="shared" si="38"/>
        <v>0</v>
      </c>
      <c r="BH12" s="4">
        <f t="shared" si="39"/>
        <v>0</v>
      </c>
      <c r="BI12" s="4">
        <f t="shared" si="40"/>
        <v>0</v>
      </c>
      <c r="BJ12" s="4">
        <f t="shared" si="41"/>
        <v>1951.4100000000035</v>
      </c>
      <c r="BK12" s="4">
        <f t="shared" si="42"/>
        <v>180.31028400000031</v>
      </c>
      <c r="BL12" s="4">
        <f t="shared" si="43"/>
        <v>22.169890953602589</v>
      </c>
      <c r="BM12" s="4">
        <f t="shared" si="44"/>
        <v>79273.59</v>
      </c>
      <c r="BN12" s="4">
        <f t="shared" si="45"/>
        <v>3170.9436000000001</v>
      </c>
      <c r="BO12" s="4">
        <f t="shared" si="46"/>
        <v>3170.9436000000001</v>
      </c>
      <c r="BP12" s="4">
        <f t="shared" si="47"/>
        <v>292.99518863999998</v>
      </c>
      <c r="BQ12" s="4">
        <f t="shared" si="48"/>
        <v>90062.40850464</v>
      </c>
      <c r="BR12" s="4">
        <f t="shared" si="49"/>
        <v>19975.551736448255</v>
      </c>
      <c r="BS12" s="4">
        <f t="shared" si="50"/>
        <v>36.024963401858258</v>
      </c>
      <c r="BT12" s="4">
        <f t="shared" si="51"/>
        <v>86598.469715999992</v>
      </c>
      <c r="BU12" s="4">
        <f t="shared" si="52"/>
        <v>88730.19</v>
      </c>
      <c r="BV12" s="7">
        <f t="shared" si="53"/>
        <v>976032.09000000008</v>
      </c>
      <c r="BW12" s="7">
        <f t="shared" si="54"/>
        <v>585704.27950718685</v>
      </c>
    </row>
    <row r="13" spans="1:75" x14ac:dyDescent="0.3">
      <c r="A13" s="3">
        <f t="shared" si="0"/>
        <v>9</v>
      </c>
      <c r="B13" t="str">
        <f>INDEX(Employees!$A:$A,A13+1)</f>
        <v>E009</v>
      </c>
      <c r="C13" t="str">
        <f>INDEX(Employees!$A:$Z,MATCH(B13,Employees!$A:$A,0),MATCH("category",Employees!$1:$1,0))</f>
        <v>Engineering</v>
      </c>
      <c r="D13" t="str">
        <f>INDEX(Employees!$A:$Z,MATCH(B13,Employees!$A:$A,0),MATCH("gender",Employees!$1:$1,0))</f>
        <v>M</v>
      </c>
      <c r="E13" s="3">
        <f>INDEX(Employees!$A:$Z,MATCH(B13,Employees!$A:$A,0),MATCH("grade",Employees!$1:$1,0))</f>
        <v>8</v>
      </c>
      <c r="F13" s="3">
        <f>INDEX(Employees!$A:$Z,MATCH(B13,Employees!$A:$A,0),MATCH("rating",Employees!$1:$1,0))</f>
        <v>3</v>
      </c>
      <c r="G13" s="22">
        <f>INDEX(Employees!$A:$Z,MATCH(B13,Employees!$A:$A,0),MATCH("hire_date",Employees!$1:$1,0))</f>
        <v>44323</v>
      </c>
      <c r="H13" s="22">
        <f>INDEX(Employees!$A:$Z,MATCH(B13,Employees!$A:$A,0),MATCH("last_change_date",Employees!$1:$1,0))</f>
        <v>46113</v>
      </c>
      <c r="I13" s="4">
        <f>INDEX(Employees!$A:$Z,MATCH(B13,Employees!$A:$A,0),MATCH("base_salary",Employees!$1:$1,0))</f>
        <v>56597.91</v>
      </c>
      <c r="J13" s="5">
        <f>INDEX(Employees!$A:$Z,MATCH(B13,Employees!$A:$A,0),MATCH("bonus_pct",Employees!$1:$1,0))/100</f>
        <v>0.10730000000000001</v>
      </c>
      <c r="K13" s="7">
        <f>INDEX(Employees!$A:$Z,MATCH(B13,Employees!$A:$A,0),MATCH("fte",Employees!$1:$1,0))</f>
        <v>1</v>
      </c>
      <c r="L13" s="3">
        <f>IF(ISNA(MATCH(C13&amp;"|"&amp;E13,Bands!$F:$F,0)),0,1)</f>
        <v>1</v>
      </c>
      <c r="M13" s="4">
        <f>INDEX(Bands!$C:$C,MATCH(C13&amp;"|"&amp;E13,Bands!$F:$F,0))</f>
        <v>47700</v>
      </c>
      <c r="N13" s="4">
        <f>INDEX(Bands!$D:$D,MATCH(C13&amp;"|"&amp;E13,Bands!$F:$F,0))</f>
        <v>57200</v>
      </c>
      <c r="O13" s="4">
        <f>INDEX(Bands!$E:$E,MATCH(C13&amp;"|"&amp;E13,Bands!$F:$F,0))</f>
        <v>66800</v>
      </c>
      <c r="P13" s="7">
        <f t="shared" si="1"/>
        <v>5.9000684462696782</v>
      </c>
      <c r="Q13" s="4">
        <f t="shared" si="2"/>
        <v>62670.865743000002</v>
      </c>
      <c r="R13" s="7">
        <f t="shared" si="3"/>
        <v>64</v>
      </c>
      <c r="S13" s="7">
        <f t="shared" si="4"/>
        <v>34.810807670667096</v>
      </c>
      <c r="T13" s="7">
        <f t="shared" si="5"/>
        <v>47.200547570157426</v>
      </c>
      <c r="U13" s="7">
        <f t="shared" si="6"/>
        <v>501366.92594400002</v>
      </c>
      <c r="V13" s="7">
        <f t="shared" si="7"/>
        <v>369762.39747067762</v>
      </c>
      <c r="W13" s="4">
        <f t="shared" si="8"/>
        <v>62670.87</v>
      </c>
      <c r="X13" s="3">
        <f t="shared" si="9"/>
        <v>15</v>
      </c>
      <c r="Y13" s="4">
        <f>INDEX(Categories!$AH:$AH,MATCH(C13,Categories!$A:$A,0))</f>
        <v>71955.39427199999</v>
      </c>
      <c r="Z13" s="3">
        <f>IF(AND(D13="F",Q13&lt;Y13,INDEX(Categories!$AI:$AI,MATCH(C13,Categories!$A:$A,0))&gt;0),1,0)</f>
        <v>0</v>
      </c>
      <c r="AA13" s="4">
        <f t="shared" si="10"/>
        <v>0</v>
      </c>
      <c r="AB13" s="4">
        <f>IF(Z13=1,INDEX(Categories!$AI:$AI,MATCH(C13,Categories!$A:$A,0))*AA13/INDEX(Categories!$AJ:$AJ,MATCH(C13,Categories!$A:$A,0)),0)</f>
        <v>0</v>
      </c>
      <c r="AC13" s="4">
        <f t="shared" si="11"/>
        <v>0</v>
      </c>
      <c r="AD13" s="4">
        <f t="shared" si="12"/>
        <v>56597.91</v>
      </c>
      <c r="AE13" s="3">
        <f t="shared" si="13"/>
        <v>0</v>
      </c>
      <c r="AF13" s="3">
        <f t="shared" si="14"/>
        <v>70</v>
      </c>
      <c r="AG13" s="3">
        <f t="shared" si="15"/>
        <v>12</v>
      </c>
      <c r="AH13" s="3">
        <f t="shared" si="16"/>
        <v>1</v>
      </c>
      <c r="AI13" s="5">
        <f t="shared" si="17"/>
        <v>0.98947395104895108</v>
      </c>
      <c r="AJ13" s="3">
        <f>MATCH(AI13,Inputs!$B$31:$B$34,1)</f>
        <v>2</v>
      </c>
      <c r="AK13" s="5">
        <f>INDEX(Inputs!$C$21:$C$25,MATCH(F13,Inputs!$A$21:$A$25,0))</f>
        <v>1</v>
      </c>
      <c r="AL13" s="5">
        <f>INDEX(Inputs!$D$21:$D$25,MATCH(F13,Inputs!$A$21:$A$25,0))</f>
        <v>0</v>
      </c>
      <c r="AM13" s="4">
        <f t="shared" si="18"/>
        <v>57200</v>
      </c>
      <c r="AN13" s="4">
        <f t="shared" si="19"/>
        <v>602.08999999999651</v>
      </c>
      <c r="AO13" s="3">
        <f t="shared" si="20"/>
        <v>1</v>
      </c>
      <c r="AP13" s="4">
        <f t="shared" si="21"/>
        <v>16979.373</v>
      </c>
      <c r="AQ13" s="4">
        <f t="shared" si="22"/>
        <v>0</v>
      </c>
      <c r="AR13" s="4">
        <f t="shared" si="23"/>
        <v>602.08999999999651</v>
      </c>
      <c r="AS13" s="3">
        <f t="shared" si="24"/>
        <v>0</v>
      </c>
      <c r="AT13" s="4">
        <f t="shared" si="25"/>
        <v>602.08999999999651</v>
      </c>
      <c r="AU13" s="4">
        <f t="shared" si="26"/>
        <v>10202.089999999997</v>
      </c>
      <c r="AV13" s="4">
        <f t="shared" si="27"/>
        <v>602.08999999999651</v>
      </c>
      <c r="AW13" s="4">
        <f t="shared" si="28"/>
        <v>602.08999999999651</v>
      </c>
      <c r="AX13" s="5">
        <f t="shared" si="29"/>
        <v>1.0638025326376831E-2</v>
      </c>
      <c r="AY13" s="4">
        <f t="shared" si="30"/>
        <v>57200</v>
      </c>
      <c r="AZ13" s="3">
        <f t="shared" si="31"/>
        <v>0</v>
      </c>
      <c r="BA13" s="4">
        <f t="shared" si="32"/>
        <v>62670.865743000002</v>
      </c>
      <c r="BB13" s="4">
        <f t="shared" si="33"/>
        <v>19694.411671132799</v>
      </c>
      <c r="BC13" s="4">
        <f t="shared" si="34"/>
        <v>62670.865743000002</v>
      </c>
      <c r="BD13" s="4">
        <f t="shared" si="35"/>
        <v>19694.411671132799</v>
      </c>
      <c r="BE13" s="4">
        <f t="shared" si="36"/>
        <v>63337.56</v>
      </c>
      <c r="BF13" s="4">
        <f t="shared" si="37"/>
        <v>19700.811935999998</v>
      </c>
      <c r="BG13" s="4">
        <f t="shared" si="38"/>
        <v>0</v>
      </c>
      <c r="BH13" s="4">
        <f t="shared" si="39"/>
        <v>0</v>
      </c>
      <c r="BI13" s="4">
        <f t="shared" si="40"/>
        <v>0</v>
      </c>
      <c r="BJ13" s="4">
        <f t="shared" si="41"/>
        <v>602.08999999999651</v>
      </c>
      <c r="BK13" s="4">
        <f t="shared" si="42"/>
        <v>64.604256999999635</v>
      </c>
      <c r="BL13" s="4">
        <f t="shared" si="43"/>
        <v>6.4002648671994393</v>
      </c>
      <c r="BM13" s="4">
        <f t="shared" si="44"/>
        <v>56597.91</v>
      </c>
      <c r="BN13" s="4">
        <f t="shared" si="45"/>
        <v>2263.9164000000001</v>
      </c>
      <c r="BO13" s="4">
        <f t="shared" si="46"/>
        <v>2263.9164000000001</v>
      </c>
      <c r="BP13" s="4">
        <f t="shared" si="47"/>
        <v>242.91822972000003</v>
      </c>
      <c r="BQ13" s="4">
        <f t="shared" si="48"/>
        <v>65177.700372720006</v>
      </c>
      <c r="BR13" s="4">
        <f t="shared" si="49"/>
        <v>19718.477283578111</v>
      </c>
      <c r="BS13" s="4">
        <f t="shared" si="50"/>
        <v>24.065612445312581</v>
      </c>
      <c r="BT13" s="4">
        <f t="shared" si="51"/>
        <v>62670.865743000002</v>
      </c>
      <c r="BU13" s="4">
        <f t="shared" si="52"/>
        <v>63337.56</v>
      </c>
      <c r="BV13" s="7">
        <f t="shared" si="53"/>
        <v>506700.48</v>
      </c>
      <c r="BW13" s="7">
        <f t="shared" si="54"/>
        <v>373695.93921971251</v>
      </c>
    </row>
    <row r="14" spans="1:75" x14ac:dyDescent="0.3">
      <c r="A14" s="3">
        <f t="shared" si="0"/>
        <v>10</v>
      </c>
      <c r="B14" t="str">
        <f>INDEX(Employees!$A:$A,A14+1)</f>
        <v>E010</v>
      </c>
      <c r="C14" t="str">
        <f>INDEX(Employees!$A:$Z,MATCH(B14,Employees!$A:$A,0),MATCH("category",Employees!$1:$1,0))</f>
        <v>Engineering</v>
      </c>
      <c r="D14" t="str">
        <f>INDEX(Employees!$A:$Z,MATCH(B14,Employees!$A:$A,0),MATCH("gender",Employees!$1:$1,0))</f>
        <v>M</v>
      </c>
      <c r="E14" s="3">
        <f>INDEX(Employees!$A:$Z,MATCH(B14,Employees!$A:$A,0),MATCH("grade",Employees!$1:$1,0))</f>
        <v>10</v>
      </c>
      <c r="F14" s="3">
        <f>INDEX(Employees!$A:$Z,MATCH(B14,Employees!$A:$A,0),MATCH("rating",Employees!$1:$1,0))</f>
        <v>3</v>
      </c>
      <c r="G14" s="22">
        <f>INDEX(Employees!$A:$Z,MATCH(B14,Employees!$A:$A,0),MATCH("hire_date",Employees!$1:$1,0))</f>
        <v>42935</v>
      </c>
      <c r="H14" s="22">
        <f>INDEX(Employees!$A:$Z,MATCH(B14,Employees!$A:$A,0),MATCH("last_change_date",Employees!$1:$1,0))</f>
        <v>46113</v>
      </c>
      <c r="I14" s="4">
        <f>INDEX(Employees!$A:$Z,MATCH(B14,Employees!$A:$A,0),MATCH("base_salary",Employees!$1:$1,0))</f>
        <v>75607.45</v>
      </c>
      <c r="J14" s="5">
        <f>INDEX(Employees!$A:$Z,MATCH(B14,Employees!$A:$A,0),MATCH("bonus_pct",Employees!$1:$1,0))/100</f>
        <v>0.11990000000000001</v>
      </c>
      <c r="K14" s="7">
        <f>INDEX(Employees!$A:$Z,MATCH(B14,Employees!$A:$A,0),MATCH("fte",Employees!$1:$1,0))</f>
        <v>1</v>
      </c>
      <c r="L14" s="3">
        <f>IF(ISNA(MATCH(C14&amp;"|"&amp;E14,Bands!$F:$F,0)),0,1)</f>
        <v>1</v>
      </c>
      <c r="M14" s="4">
        <f>INDEX(Bands!$C:$C,MATCH(C14&amp;"|"&amp;E14,Bands!$F:$F,0))</f>
        <v>59800</v>
      </c>
      <c r="N14" s="4">
        <f>INDEX(Bands!$D:$D,MATCH(C14&amp;"|"&amp;E14,Bands!$F:$F,0))</f>
        <v>74800</v>
      </c>
      <c r="O14" s="4">
        <f>INDEX(Bands!$E:$E,MATCH(C14&amp;"|"&amp;E14,Bands!$F:$F,0))</f>
        <v>89700</v>
      </c>
      <c r="P14" s="7">
        <f t="shared" si="1"/>
        <v>9.7002053388090346</v>
      </c>
      <c r="Q14" s="4">
        <f t="shared" si="2"/>
        <v>84672.783254999988</v>
      </c>
      <c r="R14" s="7">
        <f t="shared" si="3"/>
        <v>100</v>
      </c>
      <c r="S14" s="7">
        <f t="shared" si="4"/>
        <v>94.093983615059301</v>
      </c>
      <c r="T14" s="7">
        <f t="shared" si="5"/>
        <v>97.002053388090346</v>
      </c>
      <c r="U14" s="7">
        <f t="shared" si="6"/>
        <v>846727.83254999993</v>
      </c>
      <c r="V14" s="7">
        <f t="shared" si="7"/>
        <v>821343.38418197108</v>
      </c>
      <c r="W14" s="4">
        <f t="shared" si="8"/>
        <v>84672.78</v>
      </c>
      <c r="X14" s="3">
        <f t="shared" si="9"/>
        <v>36</v>
      </c>
      <c r="Y14" s="4">
        <f>INDEX(Categories!$AH:$AH,MATCH(C14,Categories!$A:$A,0))</f>
        <v>71955.39427199999</v>
      </c>
      <c r="Z14" s="3">
        <f>IF(AND(D14="F",Q14&lt;Y14,INDEX(Categories!$AI:$AI,MATCH(C14,Categories!$A:$A,0))&gt;0),1,0)</f>
        <v>0</v>
      </c>
      <c r="AA14" s="4">
        <f t="shared" si="10"/>
        <v>0</v>
      </c>
      <c r="AB14" s="4">
        <f>IF(Z14=1,INDEX(Categories!$AI:$AI,MATCH(C14,Categories!$A:$A,0))*AA14/INDEX(Categories!$AJ:$AJ,MATCH(C14,Categories!$A:$A,0)),0)</f>
        <v>0</v>
      </c>
      <c r="AC14" s="4">
        <f t="shared" si="11"/>
        <v>0</v>
      </c>
      <c r="AD14" s="4">
        <f t="shared" si="12"/>
        <v>75607.45</v>
      </c>
      <c r="AE14" s="3">
        <f t="shared" si="13"/>
        <v>0</v>
      </c>
      <c r="AF14" s="3">
        <f t="shared" si="14"/>
        <v>116</v>
      </c>
      <c r="AG14" s="3">
        <f t="shared" si="15"/>
        <v>12</v>
      </c>
      <c r="AH14" s="3">
        <f t="shared" si="16"/>
        <v>1</v>
      </c>
      <c r="AI14" s="5">
        <f t="shared" si="17"/>
        <v>1.0107947860962567</v>
      </c>
      <c r="AJ14" s="3">
        <f>MATCH(AI14,Inputs!$B$31:$B$34,1)</f>
        <v>3</v>
      </c>
      <c r="AK14" s="5">
        <f>INDEX(Inputs!$C$21:$C$25,MATCH(F14,Inputs!$A$21:$A$25,0))</f>
        <v>1</v>
      </c>
      <c r="AL14" s="5">
        <f>INDEX(Inputs!$D$21:$D$25,MATCH(F14,Inputs!$A$21:$A$25,0))</f>
        <v>0</v>
      </c>
      <c r="AM14" s="4">
        <f t="shared" si="18"/>
        <v>74800</v>
      </c>
      <c r="AN14" s="4">
        <f t="shared" si="19"/>
        <v>0</v>
      </c>
      <c r="AO14" s="3">
        <f t="shared" si="20"/>
        <v>1</v>
      </c>
      <c r="AP14" s="4">
        <f t="shared" si="21"/>
        <v>22682.234999999997</v>
      </c>
      <c r="AQ14" s="4">
        <f t="shared" si="22"/>
        <v>0</v>
      </c>
      <c r="AR14" s="4">
        <f t="shared" si="23"/>
        <v>0</v>
      </c>
      <c r="AS14" s="3">
        <f t="shared" si="24"/>
        <v>0</v>
      </c>
      <c r="AT14" s="4">
        <f t="shared" si="25"/>
        <v>0</v>
      </c>
      <c r="AU14" s="4">
        <f t="shared" si="26"/>
        <v>14092.550000000003</v>
      </c>
      <c r="AV14" s="4">
        <f t="shared" si="27"/>
        <v>0</v>
      </c>
      <c r="AW14" s="4">
        <f t="shared" si="28"/>
        <v>0</v>
      </c>
      <c r="AX14" s="5">
        <f t="shared" si="29"/>
        <v>0</v>
      </c>
      <c r="AY14" s="4">
        <f t="shared" si="30"/>
        <v>75607.45</v>
      </c>
      <c r="AZ14" s="3">
        <f t="shared" si="31"/>
        <v>0</v>
      </c>
      <c r="BA14" s="4">
        <f t="shared" si="32"/>
        <v>84672.783254999988</v>
      </c>
      <c r="BB14" s="4">
        <f t="shared" si="33"/>
        <v>19919.499633851996</v>
      </c>
      <c r="BC14" s="4">
        <f t="shared" si="34"/>
        <v>84672.783254999988</v>
      </c>
      <c r="BD14" s="4">
        <f t="shared" si="35"/>
        <v>19919.499633851996</v>
      </c>
      <c r="BE14" s="4">
        <f t="shared" si="36"/>
        <v>84672.783254999988</v>
      </c>
      <c r="BF14" s="4">
        <f t="shared" si="37"/>
        <v>19919.499633851996</v>
      </c>
      <c r="BG14" s="4">
        <f t="shared" si="38"/>
        <v>0</v>
      </c>
      <c r="BH14" s="4">
        <f t="shared" si="39"/>
        <v>0</v>
      </c>
      <c r="BI14" s="4">
        <f t="shared" si="40"/>
        <v>0</v>
      </c>
      <c r="BJ14" s="4">
        <f t="shared" si="41"/>
        <v>0</v>
      </c>
      <c r="BK14" s="4">
        <f t="shared" si="42"/>
        <v>0</v>
      </c>
      <c r="BL14" s="4">
        <f t="shared" si="43"/>
        <v>0</v>
      </c>
      <c r="BM14" s="4">
        <f t="shared" si="44"/>
        <v>75607.45</v>
      </c>
      <c r="BN14" s="4">
        <f t="shared" si="45"/>
        <v>3024.2979999999998</v>
      </c>
      <c r="BO14" s="4">
        <f t="shared" si="46"/>
        <v>3024.2979999999998</v>
      </c>
      <c r="BP14" s="4">
        <f t="shared" si="47"/>
        <v>362.61333020000001</v>
      </c>
      <c r="BQ14" s="4">
        <f t="shared" si="48"/>
        <v>88059.694585199977</v>
      </c>
      <c r="BR14" s="4">
        <f t="shared" si="49"/>
        <v>19954.723511686076</v>
      </c>
      <c r="BS14" s="4">
        <f t="shared" si="50"/>
        <v>35.223877834079758</v>
      </c>
      <c r="BT14" s="4">
        <f t="shared" si="51"/>
        <v>84672.783254999988</v>
      </c>
      <c r="BU14" s="4">
        <f t="shared" si="52"/>
        <v>84672.783254999988</v>
      </c>
      <c r="BV14" s="7">
        <f t="shared" si="53"/>
        <v>846727.83254999993</v>
      </c>
      <c r="BW14" s="7">
        <f t="shared" si="54"/>
        <v>821343.38418197108</v>
      </c>
    </row>
    <row r="15" spans="1:75" x14ac:dyDescent="0.3">
      <c r="A15" s="3">
        <f t="shared" si="0"/>
        <v>11</v>
      </c>
      <c r="B15" t="str">
        <f>INDEX(Employees!$A:$A,A15+1)</f>
        <v>E011</v>
      </c>
      <c r="C15" t="str">
        <f>INDEX(Employees!$A:$Z,MATCH(B15,Employees!$A:$A,0),MATCH("category",Employees!$1:$1,0))</f>
        <v>Engineering</v>
      </c>
      <c r="D15" t="str">
        <f>INDEX(Employees!$A:$Z,MATCH(B15,Employees!$A:$A,0),MATCH("gender",Employees!$1:$1,0))</f>
        <v>M</v>
      </c>
      <c r="E15" s="3">
        <f>INDEX(Employees!$A:$Z,MATCH(B15,Employees!$A:$A,0),MATCH("grade",Employees!$1:$1,0))</f>
        <v>7</v>
      </c>
      <c r="F15" s="3">
        <f>INDEX(Employees!$A:$Z,MATCH(B15,Employees!$A:$A,0),MATCH("rating",Employees!$1:$1,0))</f>
        <v>2</v>
      </c>
      <c r="G15" s="22">
        <f>INDEX(Employees!$A:$Z,MATCH(B15,Employees!$A:$A,0),MATCH("hire_date",Employees!$1:$1,0))</f>
        <v>45455</v>
      </c>
      <c r="H15" s="22">
        <f>INDEX(Employees!$A:$Z,MATCH(B15,Employees!$A:$A,0),MATCH("last_change_date",Employees!$1:$1,0))</f>
        <v>46113</v>
      </c>
      <c r="I15" s="4">
        <f>INDEX(Employees!$A:$Z,MATCH(B15,Employees!$A:$A,0),MATCH("base_salary",Employees!$1:$1,0))</f>
        <v>37697.15</v>
      </c>
      <c r="J15" s="5">
        <f>INDEX(Employees!$A:$Z,MATCH(B15,Employees!$A:$A,0),MATCH("bonus_pct",Employees!$1:$1,0))/100</f>
        <v>0.1404</v>
      </c>
      <c r="K15" s="7">
        <f>INDEX(Employees!$A:$Z,MATCH(B15,Employees!$A:$A,0),MATCH("fte",Employees!$1:$1,0))</f>
        <v>1</v>
      </c>
      <c r="L15" s="3">
        <f>IF(ISNA(MATCH(C15&amp;"|"&amp;E15,Bands!$F:$F,0)),0,1)</f>
        <v>1</v>
      </c>
      <c r="M15" s="4">
        <f>INDEX(Bands!$C:$C,MATCH(C15&amp;"|"&amp;E15,Bands!$F:$F,0))</f>
        <v>41600</v>
      </c>
      <c r="N15" s="4">
        <f>INDEX(Bands!$D:$D,MATCH(C15&amp;"|"&amp;E15,Bands!$F:$F,0))</f>
        <v>49900</v>
      </c>
      <c r="O15" s="4">
        <f>INDEX(Bands!$E:$E,MATCH(C15&amp;"|"&amp;E15,Bands!$F:$F,0))</f>
        <v>58200</v>
      </c>
      <c r="P15" s="7">
        <f t="shared" si="1"/>
        <v>2.8008213552361396</v>
      </c>
      <c r="Q15" s="4">
        <f t="shared" si="2"/>
        <v>42989.829860000005</v>
      </c>
      <c r="R15" s="7">
        <f t="shared" si="3"/>
        <v>49</v>
      </c>
      <c r="S15" s="7">
        <f t="shared" si="4"/>
        <v>7.8446002639468055</v>
      </c>
      <c r="T15" s="7">
        <f t="shared" si="5"/>
        <v>19.605749486652979</v>
      </c>
      <c r="U15" s="7">
        <f t="shared" si="6"/>
        <v>300928.80902000004</v>
      </c>
      <c r="V15" s="7">
        <f t="shared" si="7"/>
        <v>120406.83352985627</v>
      </c>
      <c r="W15" s="4">
        <f t="shared" si="8"/>
        <v>42989.83</v>
      </c>
      <c r="X15" s="3">
        <f t="shared" si="9"/>
        <v>1</v>
      </c>
      <c r="Y15" s="4">
        <f>INDEX(Categories!$AH:$AH,MATCH(C15,Categories!$A:$A,0))</f>
        <v>71955.39427199999</v>
      </c>
      <c r="Z15" s="3">
        <f>IF(AND(D15="F",Q15&lt;Y15,INDEX(Categories!$AI:$AI,MATCH(C15,Categories!$A:$A,0))&gt;0),1,0)</f>
        <v>0</v>
      </c>
      <c r="AA15" s="4">
        <f t="shared" si="10"/>
        <v>0</v>
      </c>
      <c r="AB15" s="4">
        <f>IF(Z15=1,INDEX(Categories!$AI:$AI,MATCH(C15,Categories!$A:$A,0))*AA15/INDEX(Categories!$AJ:$AJ,MATCH(C15,Categories!$A:$A,0)),0)</f>
        <v>0</v>
      </c>
      <c r="AC15" s="4">
        <f t="shared" si="11"/>
        <v>0</v>
      </c>
      <c r="AD15" s="4">
        <f t="shared" si="12"/>
        <v>37697.15</v>
      </c>
      <c r="AE15" s="3">
        <f t="shared" si="13"/>
        <v>0</v>
      </c>
      <c r="AF15" s="3">
        <f t="shared" si="14"/>
        <v>33</v>
      </c>
      <c r="AG15" s="3">
        <f t="shared" si="15"/>
        <v>12</v>
      </c>
      <c r="AH15" s="3">
        <f t="shared" si="16"/>
        <v>1</v>
      </c>
      <c r="AI15" s="5">
        <f t="shared" si="17"/>
        <v>0.75545390781563126</v>
      </c>
      <c r="AJ15" s="3">
        <f>MATCH(AI15,Inputs!$B$31:$B$34,1)</f>
        <v>1</v>
      </c>
      <c r="AK15" s="5">
        <f>INDEX(Inputs!$C$21:$C$25,MATCH(F15,Inputs!$A$21:$A$25,0))</f>
        <v>0.95</v>
      </c>
      <c r="AL15" s="5">
        <f>INDEX(Inputs!$D$21:$D$25,MATCH(F15,Inputs!$A$21:$A$25,0))</f>
        <v>0</v>
      </c>
      <c r="AM15" s="4">
        <f t="shared" si="18"/>
        <v>47405</v>
      </c>
      <c r="AN15" s="4">
        <f t="shared" si="19"/>
        <v>9707.8499999999985</v>
      </c>
      <c r="AO15" s="3">
        <f t="shared" si="20"/>
        <v>1</v>
      </c>
      <c r="AP15" s="4">
        <f t="shared" si="21"/>
        <v>11309.145</v>
      </c>
      <c r="AQ15" s="4">
        <f t="shared" si="22"/>
        <v>0</v>
      </c>
      <c r="AR15" s="4">
        <f t="shared" si="23"/>
        <v>9707.8499999999985</v>
      </c>
      <c r="AS15" s="3">
        <f t="shared" si="24"/>
        <v>0</v>
      </c>
      <c r="AT15" s="4">
        <f t="shared" si="25"/>
        <v>9707.8499999999985</v>
      </c>
      <c r="AU15" s="4">
        <f t="shared" si="26"/>
        <v>20502.849999999999</v>
      </c>
      <c r="AV15" s="4">
        <f t="shared" si="27"/>
        <v>9707.8499999999985</v>
      </c>
      <c r="AW15" s="4">
        <f t="shared" si="28"/>
        <v>9707.8499999999985</v>
      </c>
      <c r="AX15" s="5">
        <f t="shared" si="29"/>
        <v>0.25752212037249494</v>
      </c>
      <c r="AY15" s="4">
        <f t="shared" si="30"/>
        <v>47405</v>
      </c>
      <c r="AZ15" s="3">
        <f t="shared" si="31"/>
        <v>0</v>
      </c>
      <c r="BA15" s="4">
        <f t="shared" si="32"/>
        <v>42989.829860000005</v>
      </c>
      <c r="BB15" s="4">
        <f t="shared" si="33"/>
        <v>13821.230299990002</v>
      </c>
      <c r="BC15" s="4">
        <f t="shared" si="34"/>
        <v>42989.829860000005</v>
      </c>
      <c r="BD15" s="4">
        <f t="shared" si="35"/>
        <v>13821.230299990002</v>
      </c>
      <c r="BE15" s="4">
        <f t="shared" si="36"/>
        <v>54060.662000000004</v>
      </c>
      <c r="BF15" s="4">
        <f t="shared" si="37"/>
        <v>17380.502833000002</v>
      </c>
      <c r="BG15" s="4">
        <f t="shared" si="38"/>
        <v>0</v>
      </c>
      <c r="BH15" s="4">
        <f t="shared" si="39"/>
        <v>0</v>
      </c>
      <c r="BI15" s="4">
        <f t="shared" si="40"/>
        <v>0</v>
      </c>
      <c r="BJ15" s="4">
        <f t="shared" si="41"/>
        <v>9707.8499999999985</v>
      </c>
      <c r="BK15" s="4">
        <f t="shared" si="42"/>
        <v>1362.9821399999998</v>
      </c>
      <c r="BL15" s="4">
        <f t="shared" si="43"/>
        <v>3559.2725330100002</v>
      </c>
      <c r="BM15" s="4">
        <f t="shared" si="44"/>
        <v>37697.15</v>
      </c>
      <c r="BN15" s="4">
        <f t="shared" si="45"/>
        <v>1507.8860000000002</v>
      </c>
      <c r="BO15" s="4">
        <f t="shared" si="46"/>
        <v>1507.8860000000002</v>
      </c>
      <c r="BP15" s="4">
        <f t="shared" si="47"/>
        <v>211.70719440000002</v>
      </c>
      <c r="BQ15" s="4">
        <f t="shared" si="48"/>
        <v>44709.423054400002</v>
      </c>
      <c r="BR15" s="4">
        <f t="shared" si="49"/>
        <v>14374.079511989601</v>
      </c>
      <c r="BS15" s="4">
        <f t="shared" si="50"/>
        <v>552.84921199959899</v>
      </c>
      <c r="BT15" s="4">
        <f t="shared" si="51"/>
        <v>42989.829860000005</v>
      </c>
      <c r="BU15" s="4">
        <f t="shared" si="52"/>
        <v>54060.662000000004</v>
      </c>
      <c r="BV15" s="7">
        <f t="shared" si="53"/>
        <v>378424.63400000002</v>
      </c>
      <c r="BW15" s="7">
        <f t="shared" si="54"/>
        <v>151414.25660780288</v>
      </c>
    </row>
    <row r="16" spans="1:75" x14ac:dyDescent="0.3">
      <c r="A16" s="3">
        <f t="shared" si="0"/>
        <v>12</v>
      </c>
      <c r="B16" t="str">
        <f>INDEX(Employees!$A:$A,A16+1)</f>
        <v>E012</v>
      </c>
      <c r="C16" t="str">
        <f>INDEX(Employees!$A:$Z,MATCH(B16,Employees!$A:$A,0),MATCH("category",Employees!$1:$1,0))</f>
        <v>Engineering</v>
      </c>
      <c r="D16" t="str">
        <f>INDEX(Employees!$A:$Z,MATCH(B16,Employees!$A:$A,0),MATCH("gender",Employees!$1:$1,0))</f>
        <v>M</v>
      </c>
      <c r="E16" s="3">
        <f>INDEX(Employees!$A:$Z,MATCH(B16,Employees!$A:$A,0),MATCH("grade",Employees!$1:$1,0))</f>
        <v>9</v>
      </c>
      <c r="F16" s="3">
        <f>INDEX(Employees!$A:$Z,MATCH(B16,Employees!$A:$A,0),MATCH("rating",Employees!$1:$1,0))</f>
        <v>3</v>
      </c>
      <c r="G16" s="22">
        <f>INDEX(Employees!$A:$Z,MATCH(B16,Employees!$A:$A,0),MATCH("hire_date",Employees!$1:$1,0))</f>
        <v>43666</v>
      </c>
      <c r="H16" s="22">
        <f>INDEX(Employees!$A:$Z,MATCH(B16,Employees!$A:$A,0),MATCH("last_change_date",Employees!$1:$1,0))</f>
        <v>46113</v>
      </c>
      <c r="I16" s="4">
        <f>INDEX(Employees!$A:$Z,MATCH(B16,Employees!$A:$A,0),MATCH("base_salary",Employees!$1:$1,0))</f>
        <v>60920.28</v>
      </c>
      <c r="J16" s="5">
        <f>INDEX(Employees!$A:$Z,MATCH(B16,Employees!$A:$A,0),MATCH("bonus_pct",Employees!$1:$1,0))/100</f>
        <v>0.12279999999999999</v>
      </c>
      <c r="K16" s="7">
        <f>INDEX(Employees!$A:$Z,MATCH(B16,Employees!$A:$A,0),MATCH("fte",Employees!$1:$1,0))</f>
        <v>1</v>
      </c>
      <c r="L16" s="3">
        <f>IF(ISNA(MATCH(C16&amp;"|"&amp;E16,Bands!$F:$F,0)),0,1)</f>
        <v>1</v>
      </c>
      <c r="M16" s="4">
        <f>INDEX(Bands!$C:$C,MATCH(C16&amp;"|"&amp;E16,Bands!$F:$F,0))</f>
        <v>54500</v>
      </c>
      <c r="N16" s="4">
        <f>INDEX(Bands!$D:$D,MATCH(C16&amp;"|"&amp;E16,Bands!$F:$F,0))</f>
        <v>65400</v>
      </c>
      <c r="O16" s="4">
        <f>INDEX(Bands!$E:$E,MATCH(C16&amp;"|"&amp;E16,Bands!$F:$F,0))</f>
        <v>76300</v>
      </c>
      <c r="P16" s="7">
        <f t="shared" si="1"/>
        <v>7.698836413415469</v>
      </c>
      <c r="Q16" s="4">
        <f t="shared" si="2"/>
        <v>68401.290384000007</v>
      </c>
      <c r="R16" s="7">
        <f t="shared" si="3"/>
        <v>81</v>
      </c>
      <c r="S16" s="7">
        <f t="shared" si="4"/>
        <v>59.272082120531962</v>
      </c>
      <c r="T16" s="7">
        <f t="shared" si="5"/>
        <v>69.289527720739216</v>
      </c>
      <c r="U16" s="7">
        <f t="shared" si="6"/>
        <v>615611.61345600011</v>
      </c>
      <c r="V16" s="7">
        <f t="shared" si="7"/>
        <v>526610.34513294464</v>
      </c>
      <c r="W16" s="4">
        <f t="shared" si="8"/>
        <v>68401.289999999994</v>
      </c>
      <c r="X16" s="3">
        <f t="shared" si="9"/>
        <v>21</v>
      </c>
      <c r="Y16" s="4">
        <f>INDEX(Categories!$AH:$AH,MATCH(C16,Categories!$A:$A,0))</f>
        <v>71955.39427199999</v>
      </c>
      <c r="Z16" s="3">
        <f>IF(AND(D16="F",Q16&lt;Y16,INDEX(Categories!$AI:$AI,MATCH(C16,Categories!$A:$A,0))&gt;0),1,0)</f>
        <v>0</v>
      </c>
      <c r="AA16" s="4">
        <f t="shared" si="10"/>
        <v>0</v>
      </c>
      <c r="AB16" s="4">
        <f>IF(Z16=1,INDEX(Categories!$AI:$AI,MATCH(C16,Categories!$A:$A,0))*AA16/INDEX(Categories!$AJ:$AJ,MATCH(C16,Categories!$A:$A,0)),0)</f>
        <v>0</v>
      </c>
      <c r="AC16" s="4">
        <f t="shared" si="11"/>
        <v>0</v>
      </c>
      <c r="AD16" s="4">
        <f t="shared" si="12"/>
        <v>60920.28</v>
      </c>
      <c r="AE16" s="3">
        <f t="shared" si="13"/>
        <v>0</v>
      </c>
      <c r="AF16" s="3">
        <f t="shared" si="14"/>
        <v>92</v>
      </c>
      <c r="AG16" s="3">
        <f t="shared" si="15"/>
        <v>12</v>
      </c>
      <c r="AH16" s="3">
        <f t="shared" si="16"/>
        <v>1</v>
      </c>
      <c r="AI16" s="5">
        <f t="shared" si="17"/>
        <v>0.93150275229357793</v>
      </c>
      <c r="AJ16" s="3">
        <f>MATCH(AI16,Inputs!$B$31:$B$34,1)</f>
        <v>2</v>
      </c>
      <c r="AK16" s="5">
        <f>INDEX(Inputs!$C$21:$C$25,MATCH(F16,Inputs!$A$21:$A$25,0))</f>
        <v>1</v>
      </c>
      <c r="AL16" s="5">
        <f>INDEX(Inputs!$D$21:$D$25,MATCH(F16,Inputs!$A$21:$A$25,0))</f>
        <v>0</v>
      </c>
      <c r="AM16" s="4">
        <f t="shared" si="18"/>
        <v>65400</v>
      </c>
      <c r="AN16" s="4">
        <f t="shared" si="19"/>
        <v>4479.7200000000012</v>
      </c>
      <c r="AO16" s="3">
        <f t="shared" si="20"/>
        <v>1</v>
      </c>
      <c r="AP16" s="4">
        <f t="shared" si="21"/>
        <v>18276.083999999999</v>
      </c>
      <c r="AQ16" s="4">
        <f t="shared" si="22"/>
        <v>0</v>
      </c>
      <c r="AR16" s="4">
        <f t="shared" si="23"/>
        <v>4479.7200000000012</v>
      </c>
      <c r="AS16" s="3">
        <f t="shared" si="24"/>
        <v>0</v>
      </c>
      <c r="AT16" s="4">
        <f t="shared" si="25"/>
        <v>4479.7200000000012</v>
      </c>
      <c r="AU16" s="4">
        <f t="shared" si="26"/>
        <v>15379.720000000001</v>
      </c>
      <c r="AV16" s="4">
        <f t="shared" si="27"/>
        <v>4479.7200000000012</v>
      </c>
      <c r="AW16" s="4">
        <f t="shared" si="28"/>
        <v>4479.7200000000012</v>
      </c>
      <c r="AX16" s="5">
        <f t="shared" si="29"/>
        <v>7.3534133460975579E-2</v>
      </c>
      <c r="AY16" s="4">
        <f t="shared" si="30"/>
        <v>65400</v>
      </c>
      <c r="AZ16" s="3">
        <f t="shared" si="31"/>
        <v>0</v>
      </c>
      <c r="BA16" s="4">
        <f t="shared" si="32"/>
        <v>68401.290384000007</v>
      </c>
      <c r="BB16" s="4">
        <f t="shared" si="33"/>
        <v>19750.276107993599</v>
      </c>
      <c r="BC16" s="4">
        <f t="shared" si="34"/>
        <v>68401.290384000007</v>
      </c>
      <c r="BD16" s="4">
        <f t="shared" si="35"/>
        <v>19750.276107993599</v>
      </c>
      <c r="BE16" s="4">
        <f t="shared" si="36"/>
        <v>73431.12</v>
      </c>
      <c r="BF16" s="4">
        <f t="shared" si="37"/>
        <v>19802.586335999997</v>
      </c>
      <c r="BG16" s="4">
        <f t="shared" si="38"/>
        <v>0</v>
      </c>
      <c r="BH16" s="4">
        <f t="shared" si="39"/>
        <v>0</v>
      </c>
      <c r="BI16" s="4">
        <f t="shared" si="40"/>
        <v>0</v>
      </c>
      <c r="BJ16" s="4">
        <f t="shared" si="41"/>
        <v>4479.7200000000012</v>
      </c>
      <c r="BK16" s="4">
        <f t="shared" si="42"/>
        <v>550.10961600000007</v>
      </c>
      <c r="BL16" s="4">
        <f t="shared" si="43"/>
        <v>52.310228006397665</v>
      </c>
      <c r="BM16" s="4">
        <f t="shared" si="44"/>
        <v>60920.28</v>
      </c>
      <c r="BN16" s="4">
        <f t="shared" si="45"/>
        <v>2436.8112000000001</v>
      </c>
      <c r="BO16" s="4">
        <f t="shared" si="46"/>
        <v>2436.8112000000001</v>
      </c>
      <c r="BP16" s="4">
        <f t="shared" si="47"/>
        <v>299.24041535999999</v>
      </c>
      <c r="BQ16" s="4">
        <f t="shared" si="48"/>
        <v>71137.341999359996</v>
      </c>
      <c r="BR16" s="4">
        <f t="shared" si="49"/>
        <v>19778.731044793341</v>
      </c>
      <c r="BS16" s="4">
        <f t="shared" si="50"/>
        <v>28.454936799742427</v>
      </c>
      <c r="BT16" s="4">
        <f t="shared" si="51"/>
        <v>68401.290384000007</v>
      </c>
      <c r="BU16" s="4">
        <f t="shared" si="52"/>
        <v>73431.12</v>
      </c>
      <c r="BV16" s="7">
        <f t="shared" si="53"/>
        <v>660880.07999999996</v>
      </c>
      <c r="BW16" s="7">
        <f t="shared" si="54"/>
        <v>565334.18053388083</v>
      </c>
    </row>
    <row r="17" spans="1:75" x14ac:dyDescent="0.3">
      <c r="A17" s="3">
        <f t="shared" si="0"/>
        <v>13</v>
      </c>
      <c r="B17" t="str">
        <f>INDEX(Employees!$A:$A,A17+1)</f>
        <v>E013</v>
      </c>
      <c r="C17" t="str">
        <f>INDEX(Employees!$A:$Z,MATCH(B17,Employees!$A:$A,0),MATCH("category",Employees!$1:$1,0))</f>
        <v>Engineering</v>
      </c>
      <c r="D17" t="str">
        <f>INDEX(Employees!$A:$Z,MATCH(B17,Employees!$A:$A,0),MATCH("gender",Employees!$1:$1,0))</f>
        <v>F</v>
      </c>
      <c r="E17" s="3">
        <f>INDEX(Employees!$A:$Z,MATCH(B17,Employees!$A:$A,0),MATCH("grade",Employees!$1:$1,0))</f>
        <v>8</v>
      </c>
      <c r="F17" s="3">
        <f>INDEX(Employees!$A:$Z,MATCH(B17,Employees!$A:$A,0),MATCH("rating",Employees!$1:$1,0))</f>
        <v>3</v>
      </c>
      <c r="G17" s="22">
        <f>INDEX(Employees!$A:$Z,MATCH(B17,Employees!$A:$A,0),MATCH("hire_date",Employees!$1:$1,0))</f>
        <v>43702</v>
      </c>
      <c r="H17" s="22">
        <f>INDEX(Employees!$A:$Z,MATCH(B17,Employees!$A:$A,0),MATCH("last_change_date",Employees!$1:$1,0))</f>
        <v>46113</v>
      </c>
      <c r="I17" s="4">
        <f>INDEX(Employees!$A:$Z,MATCH(B17,Employees!$A:$A,0),MATCH("base_salary",Employees!$1:$1,0))</f>
        <v>54828.47</v>
      </c>
      <c r="J17" s="5">
        <f>INDEX(Employees!$A:$Z,MATCH(B17,Employees!$A:$A,0),MATCH("bonus_pct",Employees!$1:$1,0))/100</f>
        <v>0.11349999999999999</v>
      </c>
      <c r="K17" s="7">
        <f>INDEX(Employees!$A:$Z,MATCH(B17,Employees!$A:$A,0),MATCH("fte",Employees!$1:$1,0))</f>
        <v>0.6</v>
      </c>
      <c r="L17" s="3">
        <f>IF(ISNA(MATCH(C17&amp;"|"&amp;E17,Bands!$F:$F,0)),0,1)</f>
        <v>1</v>
      </c>
      <c r="M17" s="4">
        <f>INDEX(Bands!$C:$C,MATCH(C17&amp;"|"&amp;E17,Bands!$F:$F,0))</f>
        <v>47700</v>
      </c>
      <c r="N17" s="4">
        <f>INDEX(Bands!$D:$D,MATCH(C17&amp;"|"&amp;E17,Bands!$F:$F,0))</f>
        <v>57200</v>
      </c>
      <c r="O17" s="4">
        <f>INDEX(Bands!$E:$E,MATCH(C17&amp;"|"&amp;E17,Bands!$F:$F,0))</f>
        <v>66800</v>
      </c>
      <c r="P17" s="7">
        <f t="shared" si="1"/>
        <v>7.6002737850787137</v>
      </c>
      <c r="Q17" s="4">
        <f t="shared" si="2"/>
        <v>61051.501344999997</v>
      </c>
      <c r="R17" s="7">
        <f t="shared" si="3"/>
        <v>64</v>
      </c>
      <c r="S17" s="7">
        <f t="shared" si="4"/>
        <v>57.764161608154716</v>
      </c>
      <c r="T17" s="7">
        <f t="shared" si="5"/>
        <v>60.802190280629709</v>
      </c>
      <c r="U17" s="7">
        <f t="shared" si="6"/>
        <v>488412.01075999998</v>
      </c>
      <c r="V17" s="7">
        <f t="shared" si="7"/>
        <v>464008.12521210132</v>
      </c>
      <c r="W17" s="4">
        <f t="shared" si="8"/>
        <v>61051.5</v>
      </c>
      <c r="X17" s="3">
        <f t="shared" si="9"/>
        <v>11</v>
      </c>
      <c r="Y17" s="4">
        <f>INDEX(Categories!$AH:$AH,MATCH(C17,Categories!$A:$A,0))</f>
        <v>71955.39427199999</v>
      </c>
      <c r="Z17" s="3">
        <f>IF(AND(D17="F",Q17&lt;Y17,INDEX(Categories!$AI:$AI,MATCH(C17,Categories!$A:$A,0))&gt;0),1,0)</f>
        <v>1</v>
      </c>
      <c r="AA17" s="4">
        <f t="shared" si="10"/>
        <v>10903.892926999994</v>
      </c>
      <c r="AB17" s="4">
        <f>IF(Z17=1,INDEX(Categories!$AI:$AI,MATCH(C17,Categories!$A:$A,0))*AA17/INDEX(Categories!$AJ:$AJ,MATCH(C17,Categories!$A:$A,0)),0)</f>
        <v>8548.7966606937352</v>
      </c>
      <c r="AC17" s="4">
        <f t="shared" si="11"/>
        <v>7677.4105619162419</v>
      </c>
      <c r="AD17" s="4">
        <f t="shared" si="12"/>
        <v>62505.880561916245</v>
      </c>
      <c r="AE17" s="3">
        <f t="shared" si="13"/>
        <v>0</v>
      </c>
      <c r="AF17" s="3">
        <f t="shared" si="14"/>
        <v>91</v>
      </c>
      <c r="AG17" s="3">
        <f t="shared" si="15"/>
        <v>12</v>
      </c>
      <c r="AH17" s="3">
        <f t="shared" si="16"/>
        <v>1</v>
      </c>
      <c r="AI17" s="5">
        <f t="shared" si="17"/>
        <v>1.0927601496838504</v>
      </c>
      <c r="AJ17" s="3">
        <f>MATCH(AI17,Inputs!$B$31:$B$34,1)</f>
        <v>3</v>
      </c>
      <c r="AK17" s="5">
        <f>INDEX(Inputs!$C$21:$C$25,MATCH(F17,Inputs!$A$21:$A$25,0))</f>
        <v>1</v>
      </c>
      <c r="AL17" s="5">
        <f>INDEX(Inputs!$D$21:$D$25,MATCH(F17,Inputs!$A$21:$A$25,0))</f>
        <v>0</v>
      </c>
      <c r="AM17" s="4">
        <f t="shared" si="18"/>
        <v>57200</v>
      </c>
      <c r="AN17" s="4">
        <f t="shared" si="19"/>
        <v>0</v>
      </c>
      <c r="AO17" s="3">
        <f t="shared" si="20"/>
        <v>1</v>
      </c>
      <c r="AP17" s="4">
        <f t="shared" si="21"/>
        <v>18751.764168574871</v>
      </c>
      <c r="AQ17" s="4">
        <f t="shared" si="22"/>
        <v>0</v>
      </c>
      <c r="AR17" s="4">
        <f t="shared" si="23"/>
        <v>0</v>
      </c>
      <c r="AS17" s="3">
        <f t="shared" si="24"/>
        <v>0</v>
      </c>
      <c r="AT17" s="4">
        <f t="shared" si="25"/>
        <v>0</v>
      </c>
      <c r="AU17" s="4">
        <f t="shared" si="26"/>
        <v>4294.1194380837551</v>
      </c>
      <c r="AV17" s="4">
        <f t="shared" si="27"/>
        <v>0</v>
      </c>
      <c r="AW17" s="4">
        <f t="shared" si="28"/>
        <v>0</v>
      </c>
      <c r="AX17" s="5">
        <f t="shared" si="29"/>
        <v>0</v>
      </c>
      <c r="AY17" s="4">
        <f t="shared" si="30"/>
        <v>62505.880561916245</v>
      </c>
      <c r="AZ17" s="3">
        <f t="shared" si="31"/>
        <v>0</v>
      </c>
      <c r="BA17" s="4">
        <f t="shared" si="32"/>
        <v>36630.900806999998</v>
      </c>
      <c r="BB17" s="4">
        <f t="shared" si="33"/>
        <v>11776.8346094505</v>
      </c>
      <c r="BC17" s="4">
        <f t="shared" si="34"/>
        <v>41760.178803416238</v>
      </c>
      <c r="BD17" s="4">
        <f t="shared" si="35"/>
        <v>13425.897485298321</v>
      </c>
      <c r="BE17" s="4">
        <f t="shared" si="36"/>
        <v>41760.178803416238</v>
      </c>
      <c r="BF17" s="4">
        <f t="shared" si="37"/>
        <v>13425.897485298321</v>
      </c>
      <c r="BG17" s="4">
        <f t="shared" si="38"/>
        <v>4606.446337149745</v>
      </c>
      <c r="BH17" s="4">
        <f t="shared" si="39"/>
        <v>522.83165926649599</v>
      </c>
      <c r="BI17" s="4">
        <f t="shared" si="40"/>
        <v>1649.0628758478215</v>
      </c>
      <c r="BJ17" s="4">
        <f t="shared" si="41"/>
        <v>0</v>
      </c>
      <c r="BK17" s="4">
        <f t="shared" si="42"/>
        <v>0</v>
      </c>
      <c r="BL17" s="4">
        <f t="shared" si="43"/>
        <v>0</v>
      </c>
      <c r="BM17" s="4">
        <f t="shared" si="44"/>
        <v>37503.528337149743</v>
      </c>
      <c r="BN17" s="4">
        <f t="shared" si="45"/>
        <v>2500.2352224766501</v>
      </c>
      <c r="BO17" s="4">
        <f t="shared" si="46"/>
        <v>1500.1411334859899</v>
      </c>
      <c r="BP17" s="4">
        <f t="shared" si="47"/>
        <v>170.26601865065984</v>
      </c>
      <c r="BQ17" s="4">
        <f t="shared" si="48"/>
        <v>43430.585955552888</v>
      </c>
      <c r="BR17" s="4">
        <f t="shared" si="49"/>
        <v>13962.933384710253</v>
      </c>
      <c r="BS17" s="4">
        <f t="shared" si="50"/>
        <v>537.03589941193241</v>
      </c>
      <c r="BT17" s="4">
        <f t="shared" si="51"/>
        <v>69600.298005693738</v>
      </c>
      <c r="BU17" s="4">
        <f t="shared" si="52"/>
        <v>69600.298005693738</v>
      </c>
      <c r="BV17" s="7">
        <f t="shared" si="53"/>
        <v>556802.3840455499</v>
      </c>
      <c r="BW17" s="7">
        <f t="shared" si="54"/>
        <v>528981.32036634034</v>
      </c>
    </row>
    <row r="18" spans="1:75" x14ac:dyDescent="0.3">
      <c r="A18" s="3">
        <f t="shared" si="0"/>
        <v>14</v>
      </c>
      <c r="B18" t="str">
        <f>INDEX(Employees!$A:$A,A18+1)</f>
        <v>E014</v>
      </c>
      <c r="C18" t="str">
        <f>INDEX(Employees!$A:$Z,MATCH(B18,Employees!$A:$A,0),MATCH("category",Employees!$1:$1,0))</f>
        <v>Engineering</v>
      </c>
      <c r="D18" t="str">
        <f>INDEX(Employees!$A:$Z,MATCH(B18,Employees!$A:$A,0),MATCH("gender",Employees!$1:$1,0))</f>
        <v>M</v>
      </c>
      <c r="E18" s="3">
        <f>INDEX(Employees!$A:$Z,MATCH(B18,Employees!$A:$A,0),MATCH("grade",Employees!$1:$1,0))</f>
        <v>11</v>
      </c>
      <c r="F18" s="3">
        <f>INDEX(Employees!$A:$Z,MATCH(B18,Employees!$A:$A,0),MATCH("rating",Employees!$1:$1,0))</f>
        <v>4</v>
      </c>
      <c r="G18" s="22">
        <f>INDEX(Employees!$A:$Z,MATCH(B18,Employees!$A:$A,0),MATCH("hire_date",Employees!$1:$1,0))</f>
        <v>43629</v>
      </c>
      <c r="H18" s="22">
        <f>INDEX(Employees!$A:$Z,MATCH(B18,Employees!$A:$A,0),MATCH("last_change_date",Employees!$1:$1,0))</f>
        <v>46113</v>
      </c>
      <c r="I18" s="4">
        <f>INDEX(Employees!$A:$Z,MATCH(B18,Employees!$A:$A,0),MATCH("base_salary",Employees!$1:$1,0))</f>
        <v>82166.75</v>
      </c>
      <c r="J18" s="5">
        <f>INDEX(Employees!$A:$Z,MATCH(B18,Employees!$A:$A,0),MATCH("bonus_pct",Employees!$1:$1,0))/100</f>
        <v>0.10339999999999999</v>
      </c>
      <c r="K18" s="7">
        <f>INDEX(Employees!$A:$Z,MATCH(B18,Employees!$A:$A,0),MATCH("fte",Employees!$1:$1,0))</f>
        <v>1</v>
      </c>
      <c r="L18" s="3">
        <f>IF(ISNA(MATCH(C18&amp;"|"&amp;E18,Bands!$F:$F,0)),0,1)</f>
        <v>1</v>
      </c>
      <c r="M18" s="4">
        <f>INDEX(Bands!$C:$C,MATCH(C18&amp;"|"&amp;E18,Bands!$F:$F,0))</f>
        <v>68400</v>
      </c>
      <c r="N18" s="4">
        <f>INDEX(Bands!$D:$D,MATCH(C18&amp;"|"&amp;E18,Bands!$F:$F,0))</f>
        <v>85500</v>
      </c>
      <c r="O18" s="4">
        <f>INDEX(Bands!$E:$E,MATCH(C18&amp;"|"&amp;E18,Bands!$F:$F,0))</f>
        <v>102600</v>
      </c>
      <c r="P18" s="7">
        <f t="shared" si="1"/>
        <v>7.8001368925393564</v>
      </c>
      <c r="Q18" s="4">
        <f t="shared" si="2"/>
        <v>90662.791949999999</v>
      </c>
      <c r="R18" s="7">
        <f t="shared" si="3"/>
        <v>121</v>
      </c>
      <c r="S18" s="7">
        <f t="shared" si="4"/>
        <v>60.842135542353525</v>
      </c>
      <c r="T18" s="7">
        <f t="shared" si="5"/>
        <v>85.80150581793292</v>
      </c>
      <c r="U18" s="7">
        <f t="shared" si="6"/>
        <v>997290.71144999994</v>
      </c>
      <c r="V18" s="7">
        <f t="shared" si="7"/>
        <v>707182.18826981517</v>
      </c>
      <c r="W18" s="4">
        <f t="shared" si="8"/>
        <v>90662.79</v>
      </c>
      <c r="X18" s="3">
        <f t="shared" si="9"/>
        <v>39</v>
      </c>
      <c r="Y18" s="4">
        <f>INDEX(Categories!$AH:$AH,MATCH(C18,Categories!$A:$A,0))</f>
        <v>71955.39427199999</v>
      </c>
      <c r="Z18" s="3">
        <f>IF(AND(D18="F",Q18&lt;Y18,INDEX(Categories!$AI:$AI,MATCH(C18,Categories!$A:$A,0))&gt;0),1,0)</f>
        <v>0</v>
      </c>
      <c r="AA18" s="4">
        <f t="shared" si="10"/>
        <v>0</v>
      </c>
      <c r="AB18" s="4">
        <f>IF(Z18=1,INDEX(Categories!$AI:$AI,MATCH(C18,Categories!$A:$A,0))*AA18/INDEX(Categories!$AJ:$AJ,MATCH(C18,Categories!$A:$A,0)),0)</f>
        <v>0</v>
      </c>
      <c r="AC18" s="4">
        <f t="shared" si="11"/>
        <v>0</v>
      </c>
      <c r="AD18" s="4">
        <f t="shared" si="12"/>
        <v>82166.75</v>
      </c>
      <c r="AE18" s="3">
        <f t="shared" si="13"/>
        <v>0</v>
      </c>
      <c r="AF18" s="3">
        <f t="shared" si="14"/>
        <v>93</v>
      </c>
      <c r="AG18" s="3">
        <f t="shared" si="15"/>
        <v>12</v>
      </c>
      <c r="AH18" s="3">
        <f t="shared" si="16"/>
        <v>1</v>
      </c>
      <c r="AI18" s="5">
        <f t="shared" si="17"/>
        <v>0.96101461988304093</v>
      </c>
      <c r="AJ18" s="3">
        <f>MATCH(AI18,Inputs!$B$31:$B$34,1)</f>
        <v>2</v>
      </c>
      <c r="AK18" s="5">
        <f>INDEX(Inputs!$C$21:$C$25,MATCH(F18,Inputs!$A$21:$A$25,0))</f>
        <v>1.05</v>
      </c>
      <c r="AL18" s="5">
        <f>INDEX(Inputs!$D$21:$D$25,MATCH(F18,Inputs!$A$21:$A$25,0))</f>
        <v>0.01</v>
      </c>
      <c r="AM18" s="4">
        <f t="shared" si="18"/>
        <v>89775</v>
      </c>
      <c r="AN18" s="4">
        <f t="shared" si="19"/>
        <v>7608.25</v>
      </c>
      <c r="AO18" s="3">
        <f t="shared" si="20"/>
        <v>1</v>
      </c>
      <c r="AP18" s="4">
        <f t="shared" si="21"/>
        <v>24650.024999999998</v>
      </c>
      <c r="AQ18" s="4">
        <f t="shared" si="22"/>
        <v>821.66750000000002</v>
      </c>
      <c r="AR18" s="4">
        <f t="shared" si="23"/>
        <v>7608.25</v>
      </c>
      <c r="AS18" s="3">
        <f t="shared" si="24"/>
        <v>0</v>
      </c>
      <c r="AT18" s="4">
        <f t="shared" si="25"/>
        <v>7608.25</v>
      </c>
      <c r="AU18" s="4">
        <f t="shared" si="26"/>
        <v>20433.25</v>
      </c>
      <c r="AV18" s="4">
        <f t="shared" si="27"/>
        <v>7608.25</v>
      </c>
      <c r="AW18" s="4">
        <f t="shared" si="28"/>
        <v>7608.25</v>
      </c>
      <c r="AX18" s="5">
        <f t="shared" si="29"/>
        <v>9.2595240775617871E-2</v>
      </c>
      <c r="AY18" s="4">
        <f t="shared" si="30"/>
        <v>89775</v>
      </c>
      <c r="AZ18" s="3">
        <f t="shared" si="31"/>
        <v>0</v>
      </c>
      <c r="BA18" s="4">
        <f t="shared" si="32"/>
        <v>90662.791949999999</v>
      </c>
      <c r="BB18" s="4">
        <f t="shared" si="33"/>
        <v>19981.795724279997</v>
      </c>
      <c r="BC18" s="4">
        <f t="shared" si="34"/>
        <v>90662.791949999999</v>
      </c>
      <c r="BD18" s="4">
        <f t="shared" si="35"/>
        <v>19981.795724279997</v>
      </c>
      <c r="BE18" s="4">
        <f t="shared" si="36"/>
        <v>99057.735000000001</v>
      </c>
      <c r="BF18" s="4">
        <f t="shared" si="37"/>
        <v>20082.128174999994</v>
      </c>
      <c r="BG18" s="4">
        <f t="shared" si="38"/>
        <v>0</v>
      </c>
      <c r="BH18" s="4">
        <f t="shared" si="39"/>
        <v>0</v>
      </c>
      <c r="BI18" s="4">
        <f t="shared" si="40"/>
        <v>0</v>
      </c>
      <c r="BJ18" s="4">
        <f t="shared" si="41"/>
        <v>7608.25</v>
      </c>
      <c r="BK18" s="4">
        <f t="shared" si="42"/>
        <v>786.69304999999997</v>
      </c>
      <c r="BL18" s="4">
        <f t="shared" si="43"/>
        <v>100.33245071999772</v>
      </c>
      <c r="BM18" s="4">
        <f t="shared" si="44"/>
        <v>82166.75</v>
      </c>
      <c r="BN18" s="4">
        <f t="shared" si="45"/>
        <v>3286.67</v>
      </c>
      <c r="BO18" s="4">
        <f t="shared" si="46"/>
        <v>3286.67</v>
      </c>
      <c r="BP18" s="4">
        <f t="shared" si="47"/>
        <v>339.841678</v>
      </c>
      <c r="BQ18" s="4">
        <f t="shared" si="48"/>
        <v>94289.303627999994</v>
      </c>
      <c r="BR18" s="4">
        <f t="shared" si="49"/>
        <v>20023.953312261598</v>
      </c>
      <c r="BS18" s="4">
        <f t="shared" si="50"/>
        <v>42.157587981600955</v>
      </c>
      <c r="BT18" s="4">
        <f t="shared" si="51"/>
        <v>90662.791949999999</v>
      </c>
      <c r="BU18" s="4">
        <f t="shared" si="52"/>
        <v>99057.735000000001</v>
      </c>
      <c r="BV18" s="7">
        <f t="shared" si="53"/>
        <v>1089635.085</v>
      </c>
      <c r="BW18" s="7">
        <f t="shared" si="54"/>
        <v>772663.89326488704</v>
      </c>
    </row>
    <row r="19" spans="1:75" x14ac:dyDescent="0.3">
      <c r="A19" s="3">
        <f t="shared" si="0"/>
        <v>15</v>
      </c>
      <c r="B19" t="str">
        <f>INDEX(Employees!$A:$A,A19+1)</f>
        <v>E015</v>
      </c>
      <c r="C19" t="str">
        <f>INDEX(Employees!$A:$Z,MATCH(B19,Employees!$A:$A,0),MATCH("category",Employees!$1:$1,0))</f>
        <v>Engineering</v>
      </c>
      <c r="D19" t="str">
        <f>INDEX(Employees!$A:$Z,MATCH(B19,Employees!$A:$A,0),MATCH("gender",Employees!$1:$1,0))</f>
        <v>F</v>
      </c>
      <c r="E19" s="3">
        <f>INDEX(Employees!$A:$Z,MATCH(B19,Employees!$A:$A,0),MATCH("grade",Employees!$1:$1,0))</f>
        <v>10</v>
      </c>
      <c r="F19" s="3">
        <f>INDEX(Employees!$A:$Z,MATCH(B19,Employees!$A:$A,0),MATCH("rating",Employees!$1:$1,0))</f>
        <v>3</v>
      </c>
      <c r="G19" s="22">
        <f>INDEX(Employees!$A:$Z,MATCH(B19,Employees!$A:$A,0),MATCH("hire_date",Employees!$1:$1,0))</f>
        <v>42862</v>
      </c>
      <c r="H19" s="22">
        <f>INDEX(Employees!$A:$Z,MATCH(B19,Employees!$A:$A,0),MATCH("last_change_date",Employees!$1:$1,0))</f>
        <v>46113</v>
      </c>
      <c r="I19" s="4">
        <f>INDEX(Employees!$A:$Z,MATCH(B19,Employees!$A:$A,0),MATCH("base_salary",Employees!$1:$1,0))</f>
        <v>63456.32</v>
      </c>
      <c r="J19" s="5">
        <f>INDEX(Employees!$A:$Z,MATCH(B19,Employees!$A:$A,0),MATCH("bonus_pct",Employees!$1:$1,0))/100</f>
        <v>0.13</v>
      </c>
      <c r="K19" s="7">
        <f>INDEX(Employees!$A:$Z,MATCH(B19,Employees!$A:$A,0),MATCH("fte",Employees!$1:$1,0))</f>
        <v>1</v>
      </c>
      <c r="L19" s="3">
        <f>IF(ISNA(MATCH(C19&amp;"|"&amp;E19,Bands!$F:$F,0)),0,1)</f>
        <v>1</v>
      </c>
      <c r="M19" s="4">
        <f>INDEX(Bands!$C:$C,MATCH(C19&amp;"|"&amp;E19,Bands!$F:$F,0))</f>
        <v>59800</v>
      </c>
      <c r="N19" s="4">
        <f>INDEX(Bands!$D:$D,MATCH(C19&amp;"|"&amp;E19,Bands!$F:$F,0))</f>
        <v>74800</v>
      </c>
      <c r="O19" s="4">
        <f>INDEX(Bands!$E:$E,MATCH(C19&amp;"|"&amp;E19,Bands!$F:$F,0))</f>
        <v>89700</v>
      </c>
      <c r="P19" s="7">
        <f t="shared" si="1"/>
        <v>9.9000684462696782</v>
      </c>
      <c r="Q19" s="4">
        <f t="shared" si="2"/>
        <v>71705.641599999988</v>
      </c>
      <c r="R19" s="7">
        <f t="shared" si="3"/>
        <v>100</v>
      </c>
      <c r="S19" s="7">
        <f t="shared" si="4"/>
        <v>98.011355240824514</v>
      </c>
      <c r="T19" s="7">
        <f t="shared" si="5"/>
        <v>99.000684462696782</v>
      </c>
      <c r="U19" s="7">
        <f t="shared" si="6"/>
        <v>717056.41599999985</v>
      </c>
      <c r="V19" s="7">
        <f t="shared" si="7"/>
        <v>709890.75982368225</v>
      </c>
      <c r="W19" s="4">
        <f t="shared" si="8"/>
        <v>71705.64</v>
      </c>
      <c r="X19" s="3">
        <f t="shared" si="9"/>
        <v>22</v>
      </c>
      <c r="Y19" s="4">
        <f>INDEX(Categories!$AH:$AH,MATCH(C19,Categories!$A:$A,0))</f>
        <v>71955.39427199999</v>
      </c>
      <c r="Z19" s="3">
        <f>IF(AND(D19="F",Q19&lt;Y19,INDEX(Categories!$AI:$AI,MATCH(C19,Categories!$A:$A,0))&gt;0),1,0)</f>
        <v>1</v>
      </c>
      <c r="AA19" s="4">
        <f t="shared" si="10"/>
        <v>249.75267200000235</v>
      </c>
      <c r="AB19" s="4">
        <f>IF(Z19=1,INDEX(Categories!$AI:$AI,MATCH(C19,Categories!$A:$A,0))*AA19/INDEX(Categories!$AJ:$AJ,MATCH(C19,Categories!$A:$A,0)),0)</f>
        <v>195.80940703352886</v>
      </c>
      <c r="AC19" s="4">
        <f t="shared" si="11"/>
        <v>173.28266109161848</v>
      </c>
      <c r="AD19" s="4">
        <f t="shared" si="12"/>
        <v>63629.602661091616</v>
      </c>
      <c r="AE19" s="3">
        <f t="shared" si="13"/>
        <v>0</v>
      </c>
      <c r="AF19" s="3">
        <f t="shared" si="14"/>
        <v>118</v>
      </c>
      <c r="AG19" s="3">
        <f t="shared" si="15"/>
        <v>12</v>
      </c>
      <c r="AH19" s="3">
        <f t="shared" si="16"/>
        <v>1</v>
      </c>
      <c r="AI19" s="5">
        <f t="shared" si="17"/>
        <v>0.85066313718036923</v>
      </c>
      <c r="AJ19" s="3">
        <f>MATCH(AI19,Inputs!$B$31:$B$34,1)</f>
        <v>1</v>
      </c>
      <c r="AK19" s="5">
        <f>INDEX(Inputs!$C$21:$C$25,MATCH(F19,Inputs!$A$21:$A$25,0))</f>
        <v>1</v>
      </c>
      <c r="AL19" s="5">
        <f>INDEX(Inputs!$D$21:$D$25,MATCH(F19,Inputs!$A$21:$A$25,0))</f>
        <v>0</v>
      </c>
      <c r="AM19" s="4">
        <f t="shared" si="18"/>
        <v>74800</v>
      </c>
      <c r="AN19" s="4">
        <f t="shared" si="19"/>
        <v>11170.397338908384</v>
      </c>
      <c r="AO19" s="3">
        <f t="shared" si="20"/>
        <v>1</v>
      </c>
      <c r="AP19" s="4">
        <f t="shared" si="21"/>
        <v>19088.880798327486</v>
      </c>
      <c r="AQ19" s="4">
        <f t="shared" si="22"/>
        <v>0</v>
      </c>
      <c r="AR19" s="4">
        <f t="shared" si="23"/>
        <v>11170.397338908384</v>
      </c>
      <c r="AS19" s="3">
        <f t="shared" si="24"/>
        <v>0</v>
      </c>
      <c r="AT19" s="4">
        <f t="shared" si="25"/>
        <v>11170.397338908384</v>
      </c>
      <c r="AU19" s="4">
        <f t="shared" si="26"/>
        <v>26070.397338908384</v>
      </c>
      <c r="AV19" s="4">
        <f t="shared" si="27"/>
        <v>11170.397338908384</v>
      </c>
      <c r="AW19" s="4">
        <f t="shared" si="28"/>
        <v>11170.397338908384</v>
      </c>
      <c r="AX19" s="5">
        <f t="shared" si="29"/>
        <v>0.17555346681017209</v>
      </c>
      <c r="AY19" s="4">
        <f t="shared" si="30"/>
        <v>74800</v>
      </c>
      <c r="AZ19" s="3">
        <f t="shared" si="31"/>
        <v>0</v>
      </c>
      <c r="BA19" s="4">
        <f t="shared" si="32"/>
        <v>71705.641599999988</v>
      </c>
      <c r="BB19" s="4">
        <f t="shared" si="33"/>
        <v>19784.641360639998</v>
      </c>
      <c r="BC19" s="4">
        <f t="shared" si="34"/>
        <v>71901.451007033524</v>
      </c>
      <c r="BD19" s="4">
        <f t="shared" si="35"/>
        <v>19786.677778473146</v>
      </c>
      <c r="BE19" s="4">
        <f t="shared" si="36"/>
        <v>84523.999999999985</v>
      </c>
      <c r="BF19" s="4">
        <f t="shared" si="37"/>
        <v>19917.952287999997</v>
      </c>
      <c r="BG19" s="4">
        <f t="shared" si="38"/>
        <v>173.28266109161848</v>
      </c>
      <c r="BH19" s="4">
        <f t="shared" si="39"/>
        <v>22.526745941910402</v>
      </c>
      <c r="BI19" s="4">
        <f t="shared" si="40"/>
        <v>2.036417833147425</v>
      </c>
      <c r="BJ19" s="4">
        <f t="shared" si="41"/>
        <v>11170.397338908384</v>
      </c>
      <c r="BK19" s="4">
        <f t="shared" si="42"/>
        <v>1452.1516540580899</v>
      </c>
      <c r="BL19" s="4">
        <f t="shared" si="43"/>
        <v>131.27450952685103</v>
      </c>
      <c r="BM19" s="4">
        <f t="shared" si="44"/>
        <v>63629.602661091616</v>
      </c>
      <c r="BN19" s="4">
        <f t="shared" si="45"/>
        <v>2545.1841064436649</v>
      </c>
      <c r="BO19" s="4">
        <f t="shared" si="46"/>
        <v>2545.1841064436649</v>
      </c>
      <c r="BP19" s="4">
        <f t="shared" si="47"/>
        <v>330.87393383767642</v>
      </c>
      <c r="BQ19" s="4">
        <f t="shared" si="48"/>
        <v>74777.509047314859</v>
      </c>
      <c r="BR19" s="4">
        <f t="shared" si="49"/>
        <v>19816.588782092073</v>
      </c>
      <c r="BS19" s="4">
        <f t="shared" si="50"/>
        <v>29.91100361892677</v>
      </c>
      <c r="BT19" s="4">
        <f t="shared" si="51"/>
        <v>71901.451007033524</v>
      </c>
      <c r="BU19" s="4">
        <f t="shared" si="52"/>
        <v>84523.999999999985</v>
      </c>
      <c r="BV19" s="7">
        <f t="shared" si="53"/>
        <v>845239.99999999988</v>
      </c>
      <c r="BW19" s="7">
        <f t="shared" si="54"/>
        <v>836793.38535249815</v>
      </c>
    </row>
    <row r="20" spans="1:75" x14ac:dyDescent="0.3">
      <c r="A20" s="3">
        <f t="shared" si="0"/>
        <v>16</v>
      </c>
      <c r="B20" t="str">
        <f>INDEX(Employees!$A:$A,A20+1)</f>
        <v>E016</v>
      </c>
      <c r="C20" t="str">
        <f>INDEX(Employees!$A:$Z,MATCH(B20,Employees!$A:$A,0),MATCH("category",Employees!$1:$1,0))</f>
        <v>Engineering</v>
      </c>
      <c r="D20" t="str">
        <f>INDEX(Employees!$A:$Z,MATCH(B20,Employees!$A:$A,0),MATCH("gender",Employees!$1:$1,0))</f>
        <v>F</v>
      </c>
      <c r="E20" s="3">
        <f>INDEX(Employees!$A:$Z,MATCH(B20,Employees!$A:$A,0),MATCH("grade",Employees!$1:$1,0))</f>
        <v>9</v>
      </c>
      <c r="F20" s="3">
        <f>INDEX(Employees!$A:$Z,MATCH(B20,Employees!$A:$A,0),MATCH("rating",Employees!$1:$1,0))</f>
        <v>3</v>
      </c>
      <c r="G20" s="22">
        <f>INDEX(Employees!$A:$Z,MATCH(B20,Employees!$A:$A,0),MATCH("hire_date",Employees!$1:$1,0))</f>
        <v>43848</v>
      </c>
      <c r="H20" s="22">
        <f>INDEX(Employees!$A:$Z,MATCH(B20,Employees!$A:$A,0),MATCH("last_change_date",Employees!$1:$1,0))</f>
        <v>46113</v>
      </c>
      <c r="I20" s="4">
        <f>INDEX(Employees!$A:$Z,MATCH(B20,Employees!$A:$A,0),MATCH("base_salary",Employees!$1:$1,0))</f>
        <v>57317.89</v>
      </c>
      <c r="J20" s="5">
        <f>INDEX(Employees!$A:$Z,MATCH(B20,Employees!$A:$A,0),MATCH("bonus_pct",Employees!$1:$1,0))/100</f>
        <v>9.2899999999999996E-2</v>
      </c>
      <c r="K20" s="7">
        <f>INDEX(Employees!$A:$Z,MATCH(B20,Employees!$A:$A,0),MATCH("fte",Employees!$1:$1,0))</f>
        <v>1</v>
      </c>
      <c r="L20" s="3">
        <f>IF(ISNA(MATCH(C20&amp;"|"&amp;E20,Bands!$F:$F,0)),0,1)</f>
        <v>1</v>
      </c>
      <c r="M20" s="4">
        <f>INDEX(Bands!$C:$C,MATCH(C20&amp;"|"&amp;E20,Bands!$F:$F,0))</f>
        <v>54500</v>
      </c>
      <c r="N20" s="4">
        <f>INDEX(Bands!$D:$D,MATCH(C20&amp;"|"&amp;E20,Bands!$F:$F,0))</f>
        <v>65400</v>
      </c>
      <c r="O20" s="4">
        <f>INDEX(Bands!$E:$E,MATCH(C20&amp;"|"&amp;E20,Bands!$F:$F,0))</f>
        <v>76300</v>
      </c>
      <c r="P20" s="7">
        <f t="shared" si="1"/>
        <v>7.2005475701574264</v>
      </c>
      <c r="Q20" s="4">
        <f t="shared" si="2"/>
        <v>62642.721980999995</v>
      </c>
      <c r="R20" s="7">
        <f t="shared" si="3"/>
        <v>81</v>
      </c>
      <c r="S20" s="7">
        <f t="shared" si="4"/>
        <v>51.847885310100018</v>
      </c>
      <c r="T20" s="7">
        <f t="shared" si="5"/>
        <v>64.804928131416844</v>
      </c>
      <c r="U20" s="7">
        <f t="shared" si="6"/>
        <v>563784.497829</v>
      </c>
      <c r="V20" s="7">
        <f t="shared" si="7"/>
        <v>451061.89954833675</v>
      </c>
      <c r="W20" s="4">
        <f t="shared" si="8"/>
        <v>62642.720000000001</v>
      </c>
      <c r="X20" s="3">
        <f t="shared" si="9"/>
        <v>14</v>
      </c>
      <c r="Y20" s="4">
        <f>INDEX(Categories!$AH:$AH,MATCH(C20,Categories!$A:$A,0))</f>
        <v>71955.39427199999</v>
      </c>
      <c r="Z20" s="3">
        <f>IF(AND(D20="F",Q20&lt;Y20,INDEX(Categories!$AI:$AI,MATCH(C20,Categories!$A:$A,0))&gt;0),1,0)</f>
        <v>1</v>
      </c>
      <c r="AA20" s="4">
        <f t="shared" si="10"/>
        <v>9312.6722909999953</v>
      </c>
      <c r="AB20" s="4">
        <f>IF(Z20=1,INDEX(Categories!$AI:$AI,MATCH(C20,Categories!$A:$A,0))*AA20/INDEX(Categories!$AJ:$AJ,MATCH(C20,Categories!$A:$A,0)),0)</f>
        <v>7301.2585795208897</v>
      </c>
      <c r="AC20" s="4">
        <f t="shared" si="11"/>
        <v>6680.6282180628514</v>
      </c>
      <c r="AD20" s="4">
        <f t="shared" si="12"/>
        <v>63998.518218062847</v>
      </c>
      <c r="AE20" s="3">
        <f t="shared" si="13"/>
        <v>0</v>
      </c>
      <c r="AF20" s="3">
        <f t="shared" si="14"/>
        <v>86</v>
      </c>
      <c r="AG20" s="3">
        <f t="shared" si="15"/>
        <v>12</v>
      </c>
      <c r="AH20" s="3">
        <f t="shared" si="16"/>
        <v>1</v>
      </c>
      <c r="AI20" s="5">
        <f t="shared" si="17"/>
        <v>0.97857061495508946</v>
      </c>
      <c r="AJ20" s="3">
        <f>MATCH(AI20,Inputs!$B$31:$B$34,1)</f>
        <v>2</v>
      </c>
      <c r="AK20" s="5">
        <f>INDEX(Inputs!$C$21:$C$25,MATCH(F20,Inputs!$A$21:$A$25,0))</f>
        <v>1</v>
      </c>
      <c r="AL20" s="5">
        <f>INDEX(Inputs!$D$21:$D$25,MATCH(F20,Inputs!$A$21:$A$25,0))</f>
        <v>0</v>
      </c>
      <c r="AM20" s="4">
        <f t="shared" si="18"/>
        <v>65400</v>
      </c>
      <c r="AN20" s="4">
        <f t="shared" si="19"/>
        <v>1401.4817819371528</v>
      </c>
      <c r="AO20" s="3">
        <f t="shared" si="20"/>
        <v>1</v>
      </c>
      <c r="AP20" s="4">
        <f t="shared" si="21"/>
        <v>19199.555465418853</v>
      </c>
      <c r="AQ20" s="4">
        <f t="shared" si="22"/>
        <v>0</v>
      </c>
      <c r="AR20" s="4">
        <f t="shared" si="23"/>
        <v>1401.4817819371528</v>
      </c>
      <c r="AS20" s="3">
        <f t="shared" si="24"/>
        <v>0</v>
      </c>
      <c r="AT20" s="4">
        <f t="shared" si="25"/>
        <v>1401.4817819371528</v>
      </c>
      <c r="AU20" s="4">
        <f t="shared" si="26"/>
        <v>12301.481781937153</v>
      </c>
      <c r="AV20" s="4">
        <f t="shared" si="27"/>
        <v>1401.4817819371528</v>
      </c>
      <c r="AW20" s="4">
        <f t="shared" si="28"/>
        <v>1401.4817819371528</v>
      </c>
      <c r="AX20" s="5">
        <f t="shared" si="29"/>
        <v>2.1898659858996559E-2</v>
      </c>
      <c r="AY20" s="4">
        <f t="shared" si="30"/>
        <v>65400</v>
      </c>
      <c r="AZ20" s="3">
        <f t="shared" si="31"/>
        <v>0</v>
      </c>
      <c r="BA20" s="4">
        <f t="shared" si="32"/>
        <v>62642.721980999995</v>
      </c>
      <c r="BB20" s="4">
        <f t="shared" si="33"/>
        <v>19694.141491017599</v>
      </c>
      <c r="BC20" s="4">
        <f t="shared" si="34"/>
        <v>69943.980560520882</v>
      </c>
      <c r="BD20" s="4">
        <f t="shared" si="35"/>
        <v>19766.320085829415</v>
      </c>
      <c r="BE20" s="4">
        <f t="shared" si="36"/>
        <v>71475.66</v>
      </c>
      <c r="BF20" s="4">
        <f t="shared" si="37"/>
        <v>19782.249551999997</v>
      </c>
      <c r="BG20" s="4">
        <f t="shared" si="38"/>
        <v>6680.6282180628514</v>
      </c>
      <c r="BH20" s="4">
        <f t="shared" si="39"/>
        <v>620.63036145803892</v>
      </c>
      <c r="BI20" s="4">
        <f t="shared" si="40"/>
        <v>72.178594811815856</v>
      </c>
      <c r="BJ20" s="4">
        <f t="shared" si="41"/>
        <v>1401.4817819371528</v>
      </c>
      <c r="BK20" s="4">
        <f t="shared" si="42"/>
        <v>130.19765754196149</v>
      </c>
      <c r="BL20" s="4">
        <f t="shared" si="43"/>
        <v>15.9294661705826</v>
      </c>
      <c r="BM20" s="4">
        <f t="shared" si="44"/>
        <v>63998.518218062847</v>
      </c>
      <c r="BN20" s="4">
        <f t="shared" si="45"/>
        <v>2559.940728722514</v>
      </c>
      <c r="BO20" s="4">
        <f t="shared" si="46"/>
        <v>2559.940728722514</v>
      </c>
      <c r="BP20" s="4">
        <f t="shared" si="47"/>
        <v>237.81849369832153</v>
      </c>
      <c r="BQ20" s="4">
        <f t="shared" si="48"/>
        <v>72741.739782941731</v>
      </c>
      <c r="BR20" s="4">
        <f t="shared" si="49"/>
        <v>19795.416781742591</v>
      </c>
      <c r="BS20" s="4">
        <f t="shared" si="50"/>
        <v>29.096695913176518</v>
      </c>
      <c r="BT20" s="4">
        <f t="shared" si="51"/>
        <v>69943.980560520882</v>
      </c>
      <c r="BU20" s="4">
        <f t="shared" si="52"/>
        <v>71475.66</v>
      </c>
      <c r="BV20" s="7">
        <f t="shared" si="53"/>
        <v>643280.94000000006</v>
      </c>
      <c r="BW20" s="7">
        <f t="shared" si="54"/>
        <v>514663.88993839838</v>
      </c>
    </row>
    <row r="21" spans="1:75" x14ac:dyDescent="0.3">
      <c r="A21" s="3">
        <f t="shared" si="0"/>
        <v>17</v>
      </c>
      <c r="B21" t="str">
        <f>INDEX(Employees!$A:$A,A21+1)</f>
        <v>E017</v>
      </c>
      <c r="C21" t="str">
        <f>INDEX(Employees!$A:$Z,MATCH(B21,Employees!$A:$A,0),MATCH("category",Employees!$1:$1,0))</f>
        <v>Engineering</v>
      </c>
      <c r="D21" t="str">
        <f>INDEX(Employees!$A:$Z,MATCH(B21,Employees!$A:$A,0),MATCH("gender",Employees!$1:$1,0))</f>
        <v>F</v>
      </c>
      <c r="E21" s="3">
        <f>INDEX(Employees!$A:$Z,MATCH(B21,Employees!$A:$A,0),MATCH("grade",Employees!$1:$1,0))</f>
        <v>7</v>
      </c>
      <c r="F21" s="3">
        <f>INDEX(Employees!$A:$Z,MATCH(B21,Employees!$A:$A,0),MATCH("rating",Employees!$1:$1,0))</f>
        <v>5</v>
      </c>
      <c r="G21" s="22">
        <f>INDEX(Employees!$A:$Z,MATCH(B21,Employees!$A:$A,0),MATCH("hire_date",Employees!$1:$1,0))</f>
        <v>46259</v>
      </c>
      <c r="H21" s="22">
        <f>INDEX(Employees!$A:$Z,MATCH(B21,Employees!$A:$A,0),MATCH("last_change_date",Employees!$1:$1,0))</f>
        <v>46259</v>
      </c>
      <c r="I21" s="4">
        <f>INDEX(Employees!$A:$Z,MATCH(B21,Employees!$A:$A,0),MATCH("base_salary",Employees!$1:$1,0))</f>
        <v>43450.41</v>
      </c>
      <c r="J21" s="5">
        <f>INDEX(Employees!$A:$Z,MATCH(B21,Employees!$A:$A,0),MATCH("bonus_pct",Employees!$1:$1,0))/100</f>
        <v>0.12</v>
      </c>
      <c r="K21" s="7">
        <f>INDEX(Employees!$A:$Z,MATCH(B21,Employees!$A:$A,0),MATCH("fte",Employees!$1:$1,0))</f>
        <v>1</v>
      </c>
      <c r="L21" s="3">
        <f>IF(ISNA(MATCH(C21&amp;"|"&amp;E21,Bands!$F:$F,0)),0,1)</f>
        <v>1</v>
      </c>
      <c r="M21" s="4">
        <f>INDEX(Bands!$C:$C,MATCH(C21&amp;"|"&amp;E21,Bands!$F:$F,0))</f>
        <v>41600</v>
      </c>
      <c r="N21" s="4">
        <f>INDEX(Bands!$D:$D,MATCH(C21&amp;"|"&amp;E21,Bands!$F:$F,0))</f>
        <v>49900</v>
      </c>
      <c r="O21" s="4">
        <f>INDEX(Bands!$E:$E,MATCH(C21&amp;"|"&amp;E21,Bands!$F:$F,0))</f>
        <v>58200</v>
      </c>
      <c r="P21" s="7">
        <f t="shared" si="1"/>
        <v>0.59958932238193019</v>
      </c>
      <c r="Q21" s="4">
        <f t="shared" si="2"/>
        <v>48664.459200000012</v>
      </c>
      <c r="R21" s="7">
        <f t="shared" si="3"/>
        <v>49</v>
      </c>
      <c r="S21" s="7">
        <f t="shared" si="4"/>
        <v>0.3595073555144222</v>
      </c>
      <c r="T21" s="7">
        <f t="shared" si="5"/>
        <v>4.1971252566735116</v>
      </c>
      <c r="U21" s="7">
        <f t="shared" si="6"/>
        <v>340651.21440000006</v>
      </c>
      <c r="V21" s="7">
        <f t="shared" si="7"/>
        <v>29178.690115811096</v>
      </c>
      <c r="W21" s="4">
        <f t="shared" si="8"/>
        <v>48664.46</v>
      </c>
      <c r="X21" s="3">
        <f t="shared" si="9"/>
        <v>4</v>
      </c>
      <c r="Y21" s="4">
        <f>INDEX(Categories!$AH:$AH,MATCH(C21,Categories!$A:$A,0))</f>
        <v>71955.39427199999</v>
      </c>
      <c r="Z21" s="3">
        <f>IF(AND(D21="F",Q21&lt;Y21,INDEX(Categories!$AI:$AI,MATCH(C21,Categories!$A:$A,0))&gt;0),1,0)</f>
        <v>1</v>
      </c>
      <c r="AA21" s="4">
        <f t="shared" si="10"/>
        <v>23290.935071999978</v>
      </c>
      <c r="AB21" s="4">
        <f>IF(Z21=1,INDEX(Categories!$AI:$AI,MATCH(C21,Categories!$A:$A,0))*AA21/INDEX(Categories!$AJ:$AJ,MATCH(C21,Categories!$A:$A,0)),0)</f>
        <v>18260.401977620058</v>
      </c>
      <c r="AC21" s="4">
        <f t="shared" si="11"/>
        <v>16303.930337160766</v>
      </c>
      <c r="AD21" s="4">
        <f t="shared" si="12"/>
        <v>59754.340337160771</v>
      </c>
      <c r="AE21" s="3">
        <f t="shared" si="13"/>
        <v>1</v>
      </c>
      <c r="AF21" s="3">
        <f t="shared" si="14"/>
        <v>7</v>
      </c>
      <c r="AG21" s="3">
        <f t="shared" si="15"/>
        <v>7</v>
      </c>
      <c r="AH21" s="3">
        <f t="shared" si="16"/>
        <v>1</v>
      </c>
      <c r="AI21" s="5">
        <f t="shared" si="17"/>
        <v>1.197481770283783</v>
      </c>
      <c r="AJ21" s="3">
        <f>MATCH(AI21,Inputs!$B$31:$B$34,1)</f>
        <v>4</v>
      </c>
      <c r="AK21" s="5">
        <f>INDEX(Inputs!$C$21:$C$25,MATCH(F21,Inputs!$A$21:$A$25,0))</f>
        <v>1.1000000000000001</v>
      </c>
      <c r="AL21" s="5">
        <f>INDEX(Inputs!$D$21:$D$25,MATCH(F21,Inputs!$A$21:$A$25,0))</f>
        <v>0.02</v>
      </c>
      <c r="AM21" s="4">
        <f t="shared" si="18"/>
        <v>54890.000000000007</v>
      </c>
      <c r="AN21" s="4">
        <f t="shared" si="19"/>
        <v>0</v>
      </c>
      <c r="AO21" s="3">
        <f t="shared" si="20"/>
        <v>1</v>
      </c>
      <c r="AP21" s="4">
        <f t="shared" si="21"/>
        <v>17926.302101148231</v>
      </c>
      <c r="AQ21" s="4">
        <f t="shared" si="22"/>
        <v>1195.0868067432154</v>
      </c>
      <c r="AR21" s="4">
        <f t="shared" si="23"/>
        <v>1195.0868067432154</v>
      </c>
      <c r="AS21" s="3">
        <f t="shared" si="24"/>
        <v>1</v>
      </c>
      <c r="AT21" s="4">
        <f t="shared" si="25"/>
        <v>0</v>
      </c>
      <c r="AU21" s="4">
        <f t="shared" si="26"/>
        <v>0</v>
      </c>
      <c r="AV21" s="4">
        <f t="shared" si="27"/>
        <v>0</v>
      </c>
      <c r="AW21" s="4">
        <f t="shared" si="28"/>
        <v>0</v>
      </c>
      <c r="AX21" s="5">
        <f t="shared" si="29"/>
        <v>0</v>
      </c>
      <c r="AY21" s="4">
        <f t="shared" si="30"/>
        <v>59754.340337160771</v>
      </c>
      <c r="AZ21" s="3">
        <f t="shared" si="31"/>
        <v>0</v>
      </c>
      <c r="BA21" s="4">
        <f t="shared" si="32"/>
        <v>48664.459200000012</v>
      </c>
      <c r="BB21" s="4">
        <f t="shared" si="33"/>
        <v>15645.623632800005</v>
      </c>
      <c r="BC21" s="4">
        <f t="shared" si="34"/>
        <v>66924.861177620071</v>
      </c>
      <c r="BD21" s="4">
        <f t="shared" si="35"/>
        <v>19735.250027305152</v>
      </c>
      <c r="BE21" s="4">
        <f t="shared" si="36"/>
        <v>66924.861177620071</v>
      </c>
      <c r="BF21" s="4">
        <f t="shared" si="37"/>
        <v>19735.250027305152</v>
      </c>
      <c r="BG21" s="4">
        <f t="shared" si="38"/>
        <v>16303.930337160766</v>
      </c>
      <c r="BH21" s="4">
        <f t="shared" si="39"/>
        <v>1956.4716404592918</v>
      </c>
      <c r="BI21" s="4">
        <f t="shared" si="40"/>
        <v>4089.6263945051469</v>
      </c>
      <c r="BJ21" s="4">
        <f t="shared" si="41"/>
        <v>0</v>
      </c>
      <c r="BK21" s="4">
        <f t="shared" si="42"/>
        <v>0</v>
      </c>
      <c r="BL21" s="4">
        <f t="shared" si="43"/>
        <v>0</v>
      </c>
      <c r="BM21" s="4">
        <f t="shared" si="44"/>
        <v>59754.340337160771</v>
      </c>
      <c r="BN21" s="4">
        <f t="shared" si="45"/>
        <v>2390.1736134864309</v>
      </c>
      <c r="BO21" s="4">
        <f t="shared" si="46"/>
        <v>2390.1736134864309</v>
      </c>
      <c r="BP21" s="4">
        <f t="shared" si="47"/>
        <v>286.82083361837169</v>
      </c>
      <c r="BQ21" s="4">
        <f t="shared" si="48"/>
        <v>69601.855624724878</v>
      </c>
      <c r="BR21" s="4">
        <f t="shared" si="49"/>
        <v>19762.761986497135</v>
      </c>
      <c r="BS21" s="4">
        <f t="shared" si="50"/>
        <v>27.511959191982896</v>
      </c>
      <c r="BT21" s="4">
        <f t="shared" si="51"/>
        <v>66924.861177620071</v>
      </c>
      <c r="BU21" s="4">
        <f t="shared" si="52"/>
        <v>66924.861177620071</v>
      </c>
      <c r="BV21" s="7">
        <f t="shared" si="53"/>
        <v>468474.02824334049</v>
      </c>
      <c r="BW21" s="7">
        <f t="shared" si="54"/>
        <v>40127.432163993966</v>
      </c>
    </row>
    <row r="22" spans="1:75" x14ac:dyDescent="0.3">
      <c r="A22" s="3">
        <f t="shared" si="0"/>
        <v>18</v>
      </c>
      <c r="B22" t="str">
        <f>INDEX(Employees!$A:$A,A22+1)</f>
        <v>E018</v>
      </c>
      <c r="C22" t="str">
        <f>INDEX(Employees!$A:$Z,MATCH(B22,Employees!$A:$A,0),MATCH("category",Employees!$1:$1,0))</f>
        <v>Engineering</v>
      </c>
      <c r="D22" t="str">
        <f>INDEX(Employees!$A:$Z,MATCH(B22,Employees!$A:$A,0),MATCH("gender",Employees!$1:$1,0))</f>
        <v>F</v>
      </c>
      <c r="E22" s="3">
        <f>INDEX(Employees!$A:$Z,MATCH(B22,Employees!$A:$A,0),MATCH("grade",Employees!$1:$1,0))</f>
        <v>10</v>
      </c>
      <c r="F22" s="3">
        <f>INDEX(Employees!$A:$Z,MATCH(B22,Employees!$A:$A,0),MATCH("rating",Employees!$1:$1,0))</f>
        <v>5</v>
      </c>
      <c r="G22" s="22">
        <f>INDEX(Employees!$A:$Z,MATCH(B22,Employees!$A:$A,0),MATCH("hire_date",Employees!$1:$1,0))</f>
        <v>42752</v>
      </c>
      <c r="H22" s="22">
        <f>INDEX(Employees!$A:$Z,MATCH(B22,Employees!$A:$A,0),MATCH("last_change_date",Employees!$1:$1,0))</f>
        <v>46113</v>
      </c>
      <c r="I22" s="4">
        <f>INDEX(Employees!$A:$Z,MATCH(B22,Employees!$A:$A,0),MATCH("base_salary",Employees!$1:$1,0))</f>
        <v>68966.81</v>
      </c>
      <c r="J22" s="5">
        <f>INDEX(Employees!$A:$Z,MATCH(B22,Employees!$A:$A,0),MATCH("bonus_pct",Employees!$1:$1,0))/100</f>
        <v>0.1439</v>
      </c>
      <c r="K22" s="7">
        <f>INDEX(Employees!$A:$Z,MATCH(B22,Employees!$A:$A,0),MATCH("fte",Employees!$1:$1,0))</f>
        <v>1</v>
      </c>
      <c r="L22" s="3">
        <f>IF(ISNA(MATCH(C22&amp;"|"&amp;E22,Bands!$F:$F,0)),0,1)</f>
        <v>1</v>
      </c>
      <c r="M22" s="4">
        <f>INDEX(Bands!$C:$C,MATCH(C22&amp;"|"&amp;E22,Bands!$F:$F,0))</f>
        <v>59800</v>
      </c>
      <c r="N22" s="4">
        <f>INDEX(Bands!$D:$D,MATCH(C22&amp;"|"&amp;E22,Bands!$F:$F,0))</f>
        <v>74800</v>
      </c>
      <c r="O22" s="4">
        <f>INDEX(Bands!$E:$E,MATCH(C22&amp;"|"&amp;E22,Bands!$F:$F,0))</f>
        <v>89700</v>
      </c>
      <c r="P22" s="7">
        <f t="shared" si="1"/>
        <v>10.201232032854209</v>
      </c>
      <c r="Q22" s="4">
        <f t="shared" si="2"/>
        <v>78891.133958999999</v>
      </c>
      <c r="R22" s="7">
        <f t="shared" si="3"/>
        <v>100</v>
      </c>
      <c r="S22" s="7">
        <f t="shared" si="4"/>
        <v>104.06513498813082</v>
      </c>
      <c r="T22" s="7">
        <f t="shared" si="5"/>
        <v>102.01232032854209</v>
      </c>
      <c r="U22" s="7">
        <f t="shared" si="6"/>
        <v>788911.33958999999</v>
      </c>
      <c r="V22" s="7">
        <f t="shared" si="7"/>
        <v>804786.76285074325</v>
      </c>
      <c r="W22" s="4">
        <f t="shared" si="8"/>
        <v>78891.13</v>
      </c>
      <c r="X22" s="3">
        <f t="shared" si="9"/>
        <v>29</v>
      </c>
      <c r="Y22" s="4">
        <f>INDEX(Categories!$AH:$AH,MATCH(C22,Categories!$A:$A,0))</f>
        <v>71955.39427199999</v>
      </c>
      <c r="Z22" s="3">
        <f>IF(AND(D22="F",Q22&lt;Y22,INDEX(Categories!$AI:$AI,MATCH(C22,Categories!$A:$A,0))&gt;0),1,0)</f>
        <v>0</v>
      </c>
      <c r="AA22" s="4">
        <f t="shared" si="10"/>
        <v>0</v>
      </c>
      <c r="AB22" s="4">
        <f>IF(Z22=1,INDEX(Categories!$AI:$AI,MATCH(C22,Categories!$A:$A,0))*AA22/INDEX(Categories!$AJ:$AJ,MATCH(C22,Categories!$A:$A,0)),0)</f>
        <v>0</v>
      </c>
      <c r="AC22" s="4">
        <f t="shared" si="11"/>
        <v>0</v>
      </c>
      <c r="AD22" s="4">
        <f t="shared" si="12"/>
        <v>68966.81</v>
      </c>
      <c r="AE22" s="3">
        <f t="shared" si="13"/>
        <v>0</v>
      </c>
      <c r="AF22" s="3">
        <f t="shared" si="14"/>
        <v>122</v>
      </c>
      <c r="AG22" s="3">
        <f t="shared" si="15"/>
        <v>12</v>
      </c>
      <c r="AH22" s="3">
        <f t="shared" si="16"/>
        <v>1</v>
      </c>
      <c r="AI22" s="5">
        <f t="shared" si="17"/>
        <v>0.9220161764705882</v>
      </c>
      <c r="AJ22" s="3">
        <f>MATCH(AI22,Inputs!$B$31:$B$34,1)</f>
        <v>2</v>
      </c>
      <c r="AK22" s="5">
        <f>INDEX(Inputs!$C$21:$C$25,MATCH(F22,Inputs!$A$21:$A$25,0))</f>
        <v>1.1000000000000001</v>
      </c>
      <c r="AL22" s="5">
        <f>INDEX(Inputs!$D$21:$D$25,MATCH(F22,Inputs!$A$21:$A$25,0))</f>
        <v>0.02</v>
      </c>
      <c r="AM22" s="4">
        <f t="shared" si="18"/>
        <v>82280</v>
      </c>
      <c r="AN22" s="4">
        <f t="shared" si="19"/>
        <v>13313.190000000002</v>
      </c>
      <c r="AO22" s="3">
        <f t="shared" si="20"/>
        <v>1</v>
      </c>
      <c r="AP22" s="4">
        <f t="shared" si="21"/>
        <v>20690.042999999998</v>
      </c>
      <c r="AQ22" s="4">
        <f t="shared" si="22"/>
        <v>1379.3362</v>
      </c>
      <c r="AR22" s="4">
        <f t="shared" si="23"/>
        <v>13313.190000000002</v>
      </c>
      <c r="AS22" s="3">
        <f t="shared" si="24"/>
        <v>0</v>
      </c>
      <c r="AT22" s="4">
        <f t="shared" si="25"/>
        <v>13313.190000000002</v>
      </c>
      <c r="AU22" s="4">
        <f t="shared" si="26"/>
        <v>20733.190000000002</v>
      </c>
      <c r="AV22" s="4">
        <f t="shared" si="27"/>
        <v>13313.190000000002</v>
      </c>
      <c r="AW22" s="4">
        <f t="shared" si="28"/>
        <v>13313.190000000002</v>
      </c>
      <c r="AX22" s="5">
        <f t="shared" si="29"/>
        <v>0.19303763650950367</v>
      </c>
      <c r="AY22" s="4">
        <f t="shared" si="30"/>
        <v>82280</v>
      </c>
      <c r="AZ22" s="3">
        <f t="shared" si="31"/>
        <v>0</v>
      </c>
      <c r="BA22" s="4">
        <f t="shared" si="32"/>
        <v>78891.133958999999</v>
      </c>
      <c r="BB22" s="4">
        <f t="shared" si="33"/>
        <v>19859.370481173599</v>
      </c>
      <c r="BC22" s="4">
        <f t="shared" si="34"/>
        <v>78891.133958999999</v>
      </c>
      <c r="BD22" s="4">
        <f t="shared" si="35"/>
        <v>19859.370481173599</v>
      </c>
      <c r="BE22" s="4">
        <f t="shared" si="36"/>
        <v>94120.09199999999</v>
      </c>
      <c r="BF22" s="4">
        <f t="shared" si="37"/>
        <v>20021.888930399997</v>
      </c>
      <c r="BG22" s="4">
        <f t="shared" si="38"/>
        <v>0</v>
      </c>
      <c r="BH22" s="4">
        <f t="shared" si="39"/>
        <v>0</v>
      </c>
      <c r="BI22" s="4">
        <f t="shared" si="40"/>
        <v>0</v>
      </c>
      <c r="BJ22" s="4">
        <f t="shared" si="41"/>
        <v>13313.190000000002</v>
      </c>
      <c r="BK22" s="4">
        <f t="shared" si="42"/>
        <v>1915.7680410000003</v>
      </c>
      <c r="BL22" s="4">
        <f t="shared" si="43"/>
        <v>162.51844922639793</v>
      </c>
      <c r="BM22" s="4">
        <f t="shared" si="44"/>
        <v>68966.81</v>
      </c>
      <c r="BN22" s="4">
        <f t="shared" si="45"/>
        <v>2758.6723999999999</v>
      </c>
      <c r="BO22" s="4">
        <f t="shared" si="46"/>
        <v>2758.6723999999999</v>
      </c>
      <c r="BP22" s="4">
        <f t="shared" si="47"/>
        <v>396.97295836000001</v>
      </c>
      <c r="BQ22" s="4">
        <f t="shared" si="48"/>
        <v>82046.779317359993</v>
      </c>
      <c r="BR22" s="4">
        <f t="shared" si="49"/>
        <v>19892.189192900543</v>
      </c>
      <c r="BS22" s="4">
        <f t="shared" si="50"/>
        <v>32.818711726944457</v>
      </c>
      <c r="BT22" s="4">
        <f t="shared" si="51"/>
        <v>78891.133958999999</v>
      </c>
      <c r="BU22" s="4">
        <f t="shared" si="52"/>
        <v>94120.09199999999</v>
      </c>
      <c r="BV22" s="7">
        <f t="shared" si="53"/>
        <v>941200.91999999993</v>
      </c>
      <c r="BW22" s="7">
        <f t="shared" si="54"/>
        <v>960140.89744558511</v>
      </c>
    </row>
    <row r="23" spans="1:75" x14ac:dyDescent="0.3">
      <c r="A23" s="3">
        <f t="shared" si="0"/>
        <v>19</v>
      </c>
      <c r="B23" t="str">
        <f>INDEX(Employees!$A:$A,A23+1)</f>
        <v>E019</v>
      </c>
      <c r="C23" t="str">
        <f>INDEX(Employees!$A:$Z,MATCH(B23,Employees!$A:$A,0),MATCH("category",Employees!$1:$1,0))</f>
        <v>Engineering</v>
      </c>
      <c r="D23" t="str">
        <f>INDEX(Employees!$A:$Z,MATCH(B23,Employees!$A:$A,0),MATCH("gender",Employees!$1:$1,0))</f>
        <v>F</v>
      </c>
      <c r="E23" s="3">
        <f>INDEX(Employees!$A:$Z,MATCH(B23,Employees!$A:$A,0),MATCH("grade",Employees!$1:$1,0))</f>
        <v>11</v>
      </c>
      <c r="F23" s="3">
        <f>INDEX(Employees!$A:$Z,MATCH(B23,Employees!$A:$A,0),MATCH("rating",Employees!$1:$1,0))</f>
        <v>2</v>
      </c>
      <c r="G23" s="22">
        <f>INDEX(Employees!$A:$Z,MATCH(B23,Employees!$A:$A,0),MATCH("hire_date",Employees!$1:$1,0))</f>
        <v>42241</v>
      </c>
      <c r="H23" s="22">
        <f>INDEX(Employees!$A:$Z,MATCH(B23,Employees!$A:$A,0),MATCH("last_change_date",Employees!$1:$1,0))</f>
        <v>46113</v>
      </c>
      <c r="I23" s="4">
        <f>INDEX(Employees!$A:$Z,MATCH(B23,Employees!$A:$A,0),MATCH("base_salary",Employees!$1:$1,0))</f>
        <v>71069.19</v>
      </c>
      <c r="J23" s="5">
        <f>INDEX(Employees!$A:$Z,MATCH(B23,Employees!$A:$A,0),MATCH("bonus_pct",Employees!$1:$1,0))/100</f>
        <v>0.11550000000000001</v>
      </c>
      <c r="K23" s="7">
        <f>INDEX(Employees!$A:$Z,MATCH(B23,Employees!$A:$A,0),MATCH("fte",Employees!$1:$1,0))</f>
        <v>1</v>
      </c>
      <c r="L23" s="3">
        <f>IF(ISNA(MATCH(C23&amp;"|"&amp;E23,Bands!$F:$F,0)),0,1)</f>
        <v>1</v>
      </c>
      <c r="M23" s="4">
        <f>INDEX(Bands!$C:$C,MATCH(C23&amp;"|"&amp;E23,Bands!$F:$F,0))</f>
        <v>68400</v>
      </c>
      <c r="N23" s="4">
        <f>INDEX(Bands!$D:$D,MATCH(C23&amp;"|"&amp;E23,Bands!$F:$F,0))</f>
        <v>85500</v>
      </c>
      <c r="O23" s="4">
        <f>INDEX(Bands!$E:$E,MATCH(C23&amp;"|"&amp;E23,Bands!$F:$F,0))</f>
        <v>102600</v>
      </c>
      <c r="P23" s="7">
        <f t="shared" si="1"/>
        <v>11.600273785078713</v>
      </c>
      <c r="Q23" s="4">
        <f t="shared" si="2"/>
        <v>79277.681444999995</v>
      </c>
      <c r="R23" s="7">
        <f t="shared" si="3"/>
        <v>121</v>
      </c>
      <c r="S23" s="7">
        <f t="shared" si="4"/>
        <v>134.5663518887844</v>
      </c>
      <c r="T23" s="7">
        <f t="shared" si="5"/>
        <v>127.60301163586584</v>
      </c>
      <c r="U23" s="7">
        <f t="shared" si="6"/>
        <v>872054.49589499994</v>
      </c>
      <c r="V23" s="7">
        <f t="shared" si="7"/>
        <v>919642.80980825447</v>
      </c>
      <c r="W23" s="4">
        <f t="shared" si="8"/>
        <v>79277.679999999993</v>
      </c>
      <c r="X23" s="3">
        <f t="shared" si="9"/>
        <v>30</v>
      </c>
      <c r="Y23" s="4">
        <f>INDEX(Categories!$AH:$AH,MATCH(C23,Categories!$A:$A,0))</f>
        <v>71955.39427199999</v>
      </c>
      <c r="Z23" s="3">
        <f>IF(AND(D23="F",Q23&lt;Y23,INDEX(Categories!$AI:$AI,MATCH(C23,Categories!$A:$A,0))&gt;0),1,0)</f>
        <v>0</v>
      </c>
      <c r="AA23" s="4">
        <f t="shared" si="10"/>
        <v>0</v>
      </c>
      <c r="AB23" s="4">
        <f>IF(Z23=1,INDEX(Categories!$AI:$AI,MATCH(C23,Categories!$A:$A,0))*AA23/INDEX(Categories!$AJ:$AJ,MATCH(C23,Categories!$A:$A,0)),0)</f>
        <v>0</v>
      </c>
      <c r="AC23" s="4">
        <f t="shared" si="11"/>
        <v>0</v>
      </c>
      <c r="AD23" s="4">
        <f t="shared" si="12"/>
        <v>71069.19</v>
      </c>
      <c r="AE23" s="3">
        <f t="shared" si="13"/>
        <v>0</v>
      </c>
      <c r="AF23" s="3">
        <f t="shared" si="14"/>
        <v>139</v>
      </c>
      <c r="AG23" s="3">
        <f t="shared" si="15"/>
        <v>12</v>
      </c>
      <c r="AH23" s="3">
        <f t="shared" si="16"/>
        <v>1</v>
      </c>
      <c r="AI23" s="5">
        <f t="shared" si="17"/>
        <v>0.83121859649122809</v>
      </c>
      <c r="AJ23" s="3">
        <f>MATCH(AI23,Inputs!$B$31:$B$34,1)</f>
        <v>1</v>
      </c>
      <c r="AK23" s="5">
        <f>INDEX(Inputs!$C$21:$C$25,MATCH(F23,Inputs!$A$21:$A$25,0))</f>
        <v>0.95</v>
      </c>
      <c r="AL23" s="5">
        <f>INDEX(Inputs!$D$21:$D$25,MATCH(F23,Inputs!$A$21:$A$25,0))</f>
        <v>0</v>
      </c>
      <c r="AM23" s="4">
        <f t="shared" si="18"/>
        <v>81225</v>
      </c>
      <c r="AN23" s="4">
        <f t="shared" si="19"/>
        <v>10155.809999999998</v>
      </c>
      <c r="AO23" s="3">
        <f t="shared" si="20"/>
        <v>1</v>
      </c>
      <c r="AP23" s="4">
        <f t="shared" si="21"/>
        <v>21320.757000000001</v>
      </c>
      <c r="AQ23" s="4">
        <f t="shared" si="22"/>
        <v>0</v>
      </c>
      <c r="AR23" s="4">
        <f t="shared" si="23"/>
        <v>10155.809999999998</v>
      </c>
      <c r="AS23" s="3">
        <f t="shared" si="24"/>
        <v>0</v>
      </c>
      <c r="AT23" s="4">
        <f t="shared" si="25"/>
        <v>10155.809999999998</v>
      </c>
      <c r="AU23" s="4">
        <f t="shared" si="26"/>
        <v>31530.809999999998</v>
      </c>
      <c r="AV23" s="4">
        <f t="shared" si="27"/>
        <v>10155.809999999998</v>
      </c>
      <c r="AW23" s="4">
        <f t="shared" si="28"/>
        <v>10155.809999999998</v>
      </c>
      <c r="AX23" s="5">
        <f t="shared" si="29"/>
        <v>0.14290032009651435</v>
      </c>
      <c r="AY23" s="4">
        <f t="shared" si="30"/>
        <v>81225</v>
      </c>
      <c r="AZ23" s="3">
        <f t="shared" si="31"/>
        <v>0</v>
      </c>
      <c r="BA23" s="4">
        <f t="shared" si="32"/>
        <v>79277.681444999995</v>
      </c>
      <c r="BB23" s="4">
        <f t="shared" si="33"/>
        <v>19863.390575027999</v>
      </c>
      <c r="BC23" s="4">
        <f t="shared" si="34"/>
        <v>79277.681444999995</v>
      </c>
      <c r="BD23" s="4">
        <f t="shared" si="35"/>
        <v>19863.390575027999</v>
      </c>
      <c r="BE23" s="4">
        <f t="shared" si="36"/>
        <v>90606.487499999988</v>
      </c>
      <c r="BF23" s="4">
        <f t="shared" si="37"/>
        <v>19981.210157999998</v>
      </c>
      <c r="BG23" s="4">
        <f t="shared" si="38"/>
        <v>0</v>
      </c>
      <c r="BH23" s="4">
        <f t="shared" si="39"/>
        <v>0</v>
      </c>
      <c r="BI23" s="4">
        <f t="shared" si="40"/>
        <v>0</v>
      </c>
      <c r="BJ23" s="4">
        <f t="shared" si="41"/>
        <v>10155.809999999998</v>
      </c>
      <c r="BK23" s="4">
        <f t="shared" si="42"/>
        <v>1172.9960549999998</v>
      </c>
      <c r="BL23" s="4">
        <f t="shared" si="43"/>
        <v>117.8195829719989</v>
      </c>
      <c r="BM23" s="4">
        <f t="shared" si="44"/>
        <v>71069.19</v>
      </c>
      <c r="BN23" s="4">
        <f t="shared" si="45"/>
        <v>2842.7676000000001</v>
      </c>
      <c r="BO23" s="4">
        <f t="shared" si="46"/>
        <v>2842.7676000000001</v>
      </c>
      <c r="BP23" s="4">
        <f t="shared" si="47"/>
        <v>328.33965780000005</v>
      </c>
      <c r="BQ23" s="4">
        <f t="shared" si="48"/>
        <v>82448.788702800011</v>
      </c>
      <c r="BR23" s="4">
        <f t="shared" si="49"/>
        <v>19896.370090509117</v>
      </c>
      <c r="BS23" s="4">
        <f t="shared" si="50"/>
        <v>32.979515481118142</v>
      </c>
      <c r="BT23" s="4">
        <f t="shared" si="51"/>
        <v>79277.681444999995</v>
      </c>
      <c r="BU23" s="4">
        <f t="shared" si="52"/>
        <v>90606.487499999988</v>
      </c>
      <c r="BV23" s="7">
        <f t="shared" si="53"/>
        <v>996671.36249999981</v>
      </c>
      <c r="BW23" s="7">
        <f t="shared" si="54"/>
        <v>1051060.061704312</v>
      </c>
    </row>
    <row r="24" spans="1:75" x14ac:dyDescent="0.3">
      <c r="A24" s="3">
        <f t="shared" si="0"/>
        <v>20</v>
      </c>
      <c r="B24" t="str">
        <f>INDEX(Employees!$A:$A,A24+1)</f>
        <v>E020</v>
      </c>
      <c r="C24" t="str">
        <f>INDEX(Employees!$A:$Z,MATCH(B24,Employees!$A:$A,0),MATCH("category",Employees!$1:$1,0))</f>
        <v>Engineering</v>
      </c>
      <c r="D24" t="str">
        <f>INDEX(Employees!$A:$Z,MATCH(B24,Employees!$A:$A,0),MATCH("gender",Employees!$1:$1,0))</f>
        <v>M</v>
      </c>
      <c r="E24" s="3">
        <f>INDEX(Employees!$A:$Z,MATCH(B24,Employees!$A:$A,0),MATCH("grade",Employees!$1:$1,0))</f>
        <v>10</v>
      </c>
      <c r="F24" s="3">
        <f>INDEX(Employees!$A:$Z,MATCH(B24,Employees!$A:$A,0),MATCH("rating",Employees!$1:$1,0))</f>
        <v>3</v>
      </c>
      <c r="G24" s="22">
        <f>INDEX(Employees!$A:$Z,MATCH(B24,Employees!$A:$A,0),MATCH("hire_date",Employees!$1:$1,0))</f>
        <v>42972</v>
      </c>
      <c r="H24" s="22">
        <f>INDEX(Employees!$A:$Z,MATCH(B24,Employees!$A:$A,0),MATCH("last_change_date",Employees!$1:$1,0))</f>
        <v>46113</v>
      </c>
      <c r="I24" s="4">
        <f>INDEX(Employees!$A:$Z,MATCH(B24,Employees!$A:$A,0),MATCH("base_salary",Employees!$1:$1,0))</f>
        <v>76201.2</v>
      </c>
      <c r="J24" s="5">
        <f>INDEX(Employees!$A:$Z,MATCH(B24,Employees!$A:$A,0),MATCH("bonus_pct",Employees!$1:$1,0))/100</f>
        <v>0.1094</v>
      </c>
      <c r="K24" s="7">
        <f>INDEX(Employees!$A:$Z,MATCH(B24,Employees!$A:$A,0),MATCH("fte",Employees!$1:$1,0))</f>
        <v>1</v>
      </c>
      <c r="L24" s="3">
        <f>IF(ISNA(MATCH(C24&amp;"|"&amp;E24,Bands!$F:$F,0)),0,1)</f>
        <v>1</v>
      </c>
      <c r="M24" s="4">
        <f>INDEX(Bands!$C:$C,MATCH(C24&amp;"|"&amp;E24,Bands!$F:$F,0))</f>
        <v>59800</v>
      </c>
      <c r="N24" s="4">
        <f>INDEX(Bands!$D:$D,MATCH(C24&amp;"|"&amp;E24,Bands!$F:$F,0))</f>
        <v>74800</v>
      </c>
      <c r="O24" s="4">
        <f>INDEX(Bands!$E:$E,MATCH(C24&amp;"|"&amp;E24,Bands!$F:$F,0))</f>
        <v>89700</v>
      </c>
      <c r="P24" s="7">
        <f t="shared" si="1"/>
        <v>9.5989048596851472</v>
      </c>
      <c r="Q24" s="4">
        <f t="shared" si="2"/>
        <v>84537.611279999997</v>
      </c>
      <c r="R24" s="7">
        <f t="shared" si="3"/>
        <v>100</v>
      </c>
      <c r="S24" s="7">
        <f t="shared" si="4"/>
        <v>92.138974505287138</v>
      </c>
      <c r="T24" s="7">
        <f t="shared" si="5"/>
        <v>95.989048596851475</v>
      </c>
      <c r="U24" s="7">
        <f t="shared" si="6"/>
        <v>845376.1128</v>
      </c>
      <c r="V24" s="7">
        <f t="shared" si="7"/>
        <v>811468.48774176592</v>
      </c>
      <c r="W24" s="4">
        <f t="shared" si="8"/>
        <v>84537.61</v>
      </c>
      <c r="X24" s="3">
        <f t="shared" si="9"/>
        <v>35</v>
      </c>
      <c r="Y24" s="4">
        <f>INDEX(Categories!$AH:$AH,MATCH(C24,Categories!$A:$A,0))</f>
        <v>71955.39427199999</v>
      </c>
      <c r="Z24" s="3">
        <f>IF(AND(D24="F",Q24&lt;Y24,INDEX(Categories!$AI:$AI,MATCH(C24,Categories!$A:$A,0))&gt;0),1,0)</f>
        <v>0</v>
      </c>
      <c r="AA24" s="4">
        <f t="shared" si="10"/>
        <v>0</v>
      </c>
      <c r="AB24" s="4">
        <f>IF(Z24=1,INDEX(Categories!$AI:$AI,MATCH(C24,Categories!$A:$A,0))*AA24/INDEX(Categories!$AJ:$AJ,MATCH(C24,Categories!$A:$A,0)),0)</f>
        <v>0</v>
      </c>
      <c r="AC24" s="4">
        <f t="shared" si="11"/>
        <v>0</v>
      </c>
      <c r="AD24" s="4">
        <f t="shared" si="12"/>
        <v>76201.2</v>
      </c>
      <c r="AE24" s="3">
        <f t="shared" si="13"/>
        <v>0</v>
      </c>
      <c r="AF24" s="3">
        <f t="shared" si="14"/>
        <v>115</v>
      </c>
      <c r="AG24" s="3">
        <f t="shared" si="15"/>
        <v>12</v>
      </c>
      <c r="AH24" s="3">
        <f t="shared" si="16"/>
        <v>1</v>
      </c>
      <c r="AI24" s="5">
        <f t="shared" si="17"/>
        <v>1.0187326203208555</v>
      </c>
      <c r="AJ24" s="3">
        <f>MATCH(AI24,Inputs!$B$31:$B$34,1)</f>
        <v>3</v>
      </c>
      <c r="AK24" s="5">
        <f>INDEX(Inputs!$C$21:$C$25,MATCH(F24,Inputs!$A$21:$A$25,0))</f>
        <v>1</v>
      </c>
      <c r="AL24" s="5">
        <f>INDEX(Inputs!$D$21:$D$25,MATCH(F24,Inputs!$A$21:$A$25,0))</f>
        <v>0</v>
      </c>
      <c r="AM24" s="4">
        <f t="shared" si="18"/>
        <v>74800</v>
      </c>
      <c r="AN24" s="4">
        <f t="shared" si="19"/>
        <v>0</v>
      </c>
      <c r="AO24" s="3">
        <f t="shared" si="20"/>
        <v>1</v>
      </c>
      <c r="AP24" s="4">
        <f t="shared" si="21"/>
        <v>22860.359999999997</v>
      </c>
      <c r="AQ24" s="4">
        <f t="shared" si="22"/>
        <v>0</v>
      </c>
      <c r="AR24" s="4">
        <f t="shared" si="23"/>
        <v>0</v>
      </c>
      <c r="AS24" s="3">
        <f t="shared" si="24"/>
        <v>0</v>
      </c>
      <c r="AT24" s="4">
        <f t="shared" si="25"/>
        <v>0</v>
      </c>
      <c r="AU24" s="4">
        <f t="shared" si="26"/>
        <v>13498.800000000003</v>
      </c>
      <c r="AV24" s="4">
        <f t="shared" si="27"/>
        <v>0</v>
      </c>
      <c r="AW24" s="4">
        <f t="shared" si="28"/>
        <v>0</v>
      </c>
      <c r="AX24" s="5">
        <f t="shared" si="29"/>
        <v>0</v>
      </c>
      <c r="AY24" s="4">
        <f t="shared" si="30"/>
        <v>76201.2</v>
      </c>
      <c r="AZ24" s="3">
        <f t="shared" si="31"/>
        <v>0</v>
      </c>
      <c r="BA24" s="4">
        <f t="shared" si="32"/>
        <v>84537.611279999997</v>
      </c>
      <c r="BB24" s="4">
        <f t="shared" si="33"/>
        <v>19918.093845311996</v>
      </c>
      <c r="BC24" s="4">
        <f t="shared" si="34"/>
        <v>84537.611279999997</v>
      </c>
      <c r="BD24" s="4">
        <f t="shared" si="35"/>
        <v>19918.093845311996</v>
      </c>
      <c r="BE24" s="4">
        <f t="shared" si="36"/>
        <v>84537.611279999997</v>
      </c>
      <c r="BF24" s="4">
        <f t="shared" si="37"/>
        <v>19918.093845311996</v>
      </c>
      <c r="BG24" s="4">
        <f t="shared" si="38"/>
        <v>0</v>
      </c>
      <c r="BH24" s="4">
        <f t="shared" si="39"/>
        <v>0</v>
      </c>
      <c r="BI24" s="4">
        <f t="shared" si="40"/>
        <v>0</v>
      </c>
      <c r="BJ24" s="4">
        <f t="shared" si="41"/>
        <v>0</v>
      </c>
      <c r="BK24" s="4">
        <f t="shared" si="42"/>
        <v>0</v>
      </c>
      <c r="BL24" s="4">
        <f t="shared" si="43"/>
        <v>0</v>
      </c>
      <c r="BM24" s="4">
        <f t="shared" si="44"/>
        <v>76201.2</v>
      </c>
      <c r="BN24" s="4">
        <f t="shared" si="45"/>
        <v>3048.0479999999998</v>
      </c>
      <c r="BO24" s="4">
        <f t="shared" si="46"/>
        <v>3048.0479999999998</v>
      </c>
      <c r="BP24" s="4">
        <f t="shared" si="47"/>
        <v>333.45645119999995</v>
      </c>
      <c r="BQ24" s="4">
        <f t="shared" si="48"/>
        <v>87919.115731199985</v>
      </c>
      <c r="BR24" s="4">
        <f t="shared" si="49"/>
        <v>19953.261491604477</v>
      </c>
      <c r="BS24" s="4">
        <f t="shared" si="50"/>
        <v>35.16764629248064</v>
      </c>
      <c r="BT24" s="4">
        <f t="shared" si="51"/>
        <v>84537.611279999997</v>
      </c>
      <c r="BU24" s="4">
        <f t="shared" si="52"/>
        <v>84537.611279999997</v>
      </c>
      <c r="BV24" s="7">
        <f t="shared" si="53"/>
        <v>845376.1128</v>
      </c>
      <c r="BW24" s="7">
        <f t="shared" si="54"/>
        <v>811468.48774176592</v>
      </c>
    </row>
    <row r="25" spans="1:75" x14ac:dyDescent="0.3">
      <c r="A25" s="3">
        <f t="shared" si="0"/>
        <v>21</v>
      </c>
      <c r="B25" t="str">
        <f>INDEX(Employees!$A:$A,A25+1)</f>
        <v>E021</v>
      </c>
      <c r="C25" t="str">
        <f>INDEX(Employees!$A:$Z,MATCH(B25,Employees!$A:$A,0),MATCH("category",Employees!$1:$1,0))</f>
        <v>Engineering</v>
      </c>
      <c r="D25" t="str">
        <f>INDEX(Employees!$A:$Z,MATCH(B25,Employees!$A:$A,0),MATCH("gender",Employees!$1:$1,0))</f>
        <v>M</v>
      </c>
      <c r="E25" s="3">
        <f>INDEX(Employees!$A:$Z,MATCH(B25,Employees!$A:$A,0),MATCH("grade",Employees!$1:$1,0))</f>
        <v>7</v>
      </c>
      <c r="F25" s="3">
        <f>INDEX(Employees!$A:$Z,MATCH(B25,Employees!$A:$A,0),MATCH("rating",Employees!$1:$1,0))</f>
        <v>2</v>
      </c>
      <c r="G25" s="22">
        <f>INDEX(Employees!$A:$Z,MATCH(B25,Employees!$A:$A,0),MATCH("hire_date",Employees!$1:$1,0))</f>
        <v>44323</v>
      </c>
      <c r="H25" s="22">
        <f>INDEX(Employees!$A:$Z,MATCH(B25,Employees!$A:$A,0),MATCH("last_change_date",Employees!$1:$1,0))</f>
        <v>46113</v>
      </c>
      <c r="I25" s="4">
        <f>INDEX(Employees!$A:$Z,MATCH(B25,Employees!$A:$A,0),MATCH("base_salary",Employees!$1:$1,0))</f>
        <v>52386.54</v>
      </c>
      <c r="J25" s="5">
        <f>INDEX(Employees!$A:$Z,MATCH(B25,Employees!$A:$A,0),MATCH("bonus_pct",Employees!$1:$1,0))/100</f>
        <v>0.1051</v>
      </c>
      <c r="K25" s="7">
        <f>INDEX(Employees!$A:$Z,MATCH(B25,Employees!$A:$A,0),MATCH("fte",Employees!$1:$1,0))</f>
        <v>1</v>
      </c>
      <c r="L25" s="3">
        <f>IF(ISNA(MATCH(C25&amp;"|"&amp;E25,Bands!$F:$F,0)),0,1)</f>
        <v>1</v>
      </c>
      <c r="M25" s="4">
        <f>INDEX(Bands!$C:$C,MATCH(C25&amp;"|"&amp;E25,Bands!$F:$F,0))</f>
        <v>41600</v>
      </c>
      <c r="N25" s="4">
        <f>INDEX(Bands!$D:$D,MATCH(C25&amp;"|"&amp;E25,Bands!$F:$F,0))</f>
        <v>49900</v>
      </c>
      <c r="O25" s="4">
        <f>INDEX(Bands!$E:$E,MATCH(C25&amp;"|"&amp;E25,Bands!$F:$F,0))</f>
        <v>58200</v>
      </c>
      <c r="P25" s="7">
        <f t="shared" si="1"/>
        <v>5.9000684462696782</v>
      </c>
      <c r="Q25" s="4">
        <f t="shared" si="2"/>
        <v>57892.365354000001</v>
      </c>
      <c r="R25" s="7">
        <f t="shared" si="3"/>
        <v>49</v>
      </c>
      <c r="S25" s="7">
        <f t="shared" si="4"/>
        <v>34.810807670667096</v>
      </c>
      <c r="T25" s="7">
        <f t="shared" si="5"/>
        <v>41.300479123887747</v>
      </c>
      <c r="U25" s="7">
        <f t="shared" si="6"/>
        <v>405246.557478</v>
      </c>
      <c r="V25" s="7">
        <f t="shared" si="7"/>
        <v>341568.91810505133</v>
      </c>
      <c r="W25" s="4">
        <f t="shared" si="8"/>
        <v>57892.37</v>
      </c>
      <c r="X25" s="3">
        <f t="shared" si="9"/>
        <v>10</v>
      </c>
      <c r="Y25" s="4">
        <f>INDEX(Categories!$AH:$AH,MATCH(C25,Categories!$A:$A,0))</f>
        <v>71955.39427199999</v>
      </c>
      <c r="Z25" s="3">
        <f>IF(AND(D25="F",Q25&lt;Y25,INDEX(Categories!$AI:$AI,MATCH(C25,Categories!$A:$A,0))&gt;0),1,0)</f>
        <v>0</v>
      </c>
      <c r="AA25" s="4">
        <f t="shared" si="10"/>
        <v>0</v>
      </c>
      <c r="AB25" s="4">
        <f>IF(Z25=1,INDEX(Categories!$AI:$AI,MATCH(C25,Categories!$A:$A,0))*AA25/INDEX(Categories!$AJ:$AJ,MATCH(C25,Categories!$A:$A,0)),0)</f>
        <v>0</v>
      </c>
      <c r="AC25" s="4">
        <f t="shared" si="11"/>
        <v>0</v>
      </c>
      <c r="AD25" s="4">
        <f t="shared" si="12"/>
        <v>52386.54</v>
      </c>
      <c r="AE25" s="3">
        <f t="shared" si="13"/>
        <v>0</v>
      </c>
      <c r="AF25" s="3">
        <f t="shared" si="14"/>
        <v>70</v>
      </c>
      <c r="AG25" s="3">
        <f t="shared" si="15"/>
        <v>12</v>
      </c>
      <c r="AH25" s="3">
        <f t="shared" si="16"/>
        <v>1</v>
      </c>
      <c r="AI25" s="5">
        <f t="shared" si="17"/>
        <v>1.0498304609218436</v>
      </c>
      <c r="AJ25" s="3">
        <f>MATCH(AI25,Inputs!$B$31:$B$34,1)</f>
        <v>3</v>
      </c>
      <c r="AK25" s="5">
        <f>INDEX(Inputs!$C$21:$C$25,MATCH(F25,Inputs!$A$21:$A$25,0))</f>
        <v>0.95</v>
      </c>
      <c r="AL25" s="5">
        <f>INDEX(Inputs!$D$21:$D$25,MATCH(F25,Inputs!$A$21:$A$25,0))</f>
        <v>0</v>
      </c>
      <c r="AM25" s="4">
        <f t="shared" si="18"/>
        <v>47405</v>
      </c>
      <c r="AN25" s="4">
        <f t="shared" si="19"/>
        <v>0</v>
      </c>
      <c r="AO25" s="3">
        <f t="shared" si="20"/>
        <v>1</v>
      </c>
      <c r="AP25" s="4">
        <f t="shared" si="21"/>
        <v>15715.962</v>
      </c>
      <c r="AQ25" s="4">
        <f t="shared" si="22"/>
        <v>0</v>
      </c>
      <c r="AR25" s="4">
        <f t="shared" si="23"/>
        <v>0</v>
      </c>
      <c r="AS25" s="3">
        <f t="shared" si="24"/>
        <v>0</v>
      </c>
      <c r="AT25" s="4">
        <f t="shared" si="25"/>
        <v>0</v>
      </c>
      <c r="AU25" s="4">
        <f t="shared" si="26"/>
        <v>5813.4599999999991</v>
      </c>
      <c r="AV25" s="4">
        <f t="shared" si="27"/>
        <v>0</v>
      </c>
      <c r="AW25" s="4">
        <f t="shared" si="28"/>
        <v>0</v>
      </c>
      <c r="AX25" s="5">
        <f t="shared" si="29"/>
        <v>0</v>
      </c>
      <c r="AY25" s="4">
        <f t="shared" si="30"/>
        <v>52386.54</v>
      </c>
      <c r="AZ25" s="3">
        <f t="shared" si="31"/>
        <v>0</v>
      </c>
      <c r="BA25" s="4">
        <f t="shared" si="32"/>
        <v>57892.365354000001</v>
      </c>
      <c r="BB25" s="4">
        <f t="shared" si="33"/>
        <v>18612.395461311</v>
      </c>
      <c r="BC25" s="4">
        <f t="shared" si="34"/>
        <v>57892.365354000001</v>
      </c>
      <c r="BD25" s="4">
        <f t="shared" si="35"/>
        <v>18612.395461311</v>
      </c>
      <c r="BE25" s="4">
        <f t="shared" si="36"/>
        <v>57892.365354000001</v>
      </c>
      <c r="BF25" s="4">
        <f t="shared" si="37"/>
        <v>18612.395461311</v>
      </c>
      <c r="BG25" s="4">
        <f t="shared" si="38"/>
        <v>0</v>
      </c>
      <c r="BH25" s="4">
        <f t="shared" si="39"/>
        <v>0</v>
      </c>
      <c r="BI25" s="4">
        <f t="shared" si="40"/>
        <v>0</v>
      </c>
      <c r="BJ25" s="4">
        <f t="shared" si="41"/>
        <v>0</v>
      </c>
      <c r="BK25" s="4">
        <f t="shared" si="42"/>
        <v>0</v>
      </c>
      <c r="BL25" s="4">
        <f t="shared" si="43"/>
        <v>0</v>
      </c>
      <c r="BM25" s="4">
        <f t="shared" si="44"/>
        <v>52386.54</v>
      </c>
      <c r="BN25" s="4">
        <f t="shared" si="45"/>
        <v>2095.4616000000001</v>
      </c>
      <c r="BO25" s="4">
        <f t="shared" si="46"/>
        <v>2095.4616000000001</v>
      </c>
      <c r="BP25" s="4">
        <f t="shared" si="47"/>
        <v>220.23301416000001</v>
      </c>
      <c r="BQ25" s="4">
        <f t="shared" si="48"/>
        <v>60208.05996816</v>
      </c>
      <c r="BR25" s="4">
        <f t="shared" si="49"/>
        <v>19356.89127976344</v>
      </c>
      <c r="BS25" s="4">
        <f t="shared" si="50"/>
        <v>744.49581845244029</v>
      </c>
      <c r="BT25" s="4">
        <f t="shared" si="51"/>
        <v>57892.365354000001</v>
      </c>
      <c r="BU25" s="4">
        <f t="shared" si="52"/>
        <v>57892.365354000001</v>
      </c>
      <c r="BV25" s="7">
        <f t="shared" si="53"/>
        <v>405246.557478</v>
      </c>
      <c r="BW25" s="7">
        <f t="shared" si="54"/>
        <v>341568.91810505133</v>
      </c>
    </row>
    <row r="26" spans="1:75" x14ac:dyDescent="0.3">
      <c r="A26" s="3">
        <f t="shared" si="0"/>
        <v>22</v>
      </c>
      <c r="B26" t="str">
        <f>INDEX(Employees!$A:$A,A26+1)</f>
        <v>E022</v>
      </c>
      <c r="C26" t="str">
        <f>INDEX(Employees!$A:$Z,MATCH(B26,Employees!$A:$A,0),MATCH("category",Employees!$1:$1,0))</f>
        <v>Engineering</v>
      </c>
      <c r="D26" t="str">
        <f>INDEX(Employees!$A:$Z,MATCH(B26,Employees!$A:$A,0),MATCH("gender",Employees!$1:$1,0))</f>
        <v>M</v>
      </c>
      <c r="E26" s="3">
        <f>INDEX(Employees!$A:$Z,MATCH(B26,Employees!$A:$A,0),MATCH("grade",Employees!$1:$1,0))</f>
        <v>7</v>
      </c>
      <c r="F26" s="3">
        <f>INDEX(Employees!$A:$Z,MATCH(B26,Employees!$A:$A,0),MATCH("rating",Employees!$1:$1,0))</f>
        <v>3</v>
      </c>
      <c r="G26" s="22">
        <f>INDEX(Employees!$A:$Z,MATCH(B26,Employees!$A:$A,0),MATCH("hire_date",Employees!$1:$1,0))</f>
        <v>46222</v>
      </c>
      <c r="H26" s="22">
        <f>INDEX(Employees!$A:$Z,MATCH(B26,Employees!$A:$A,0),MATCH("last_change_date",Employees!$1:$1,0))</f>
        <v>46222</v>
      </c>
      <c r="I26" s="4">
        <f>INDEX(Employees!$A:$Z,MATCH(B26,Employees!$A:$A,0),MATCH("base_salary",Employees!$1:$1,0))</f>
        <v>46464.67</v>
      </c>
      <c r="J26" s="5">
        <f>INDEX(Employees!$A:$Z,MATCH(B26,Employees!$A:$A,0),MATCH("bonus_pct",Employees!$1:$1,0))/100</f>
        <v>0.10349999999999999</v>
      </c>
      <c r="K26" s="7">
        <f>INDEX(Employees!$A:$Z,MATCH(B26,Employees!$A:$A,0),MATCH("fte",Employees!$1:$1,0))</f>
        <v>1</v>
      </c>
      <c r="L26" s="3">
        <f>IF(ISNA(MATCH(C26&amp;"|"&amp;E26,Bands!$F:$F,0)),0,1)</f>
        <v>1</v>
      </c>
      <c r="M26" s="4">
        <f>INDEX(Bands!$C:$C,MATCH(C26&amp;"|"&amp;E26,Bands!$F:$F,0))</f>
        <v>41600</v>
      </c>
      <c r="N26" s="4">
        <f>INDEX(Bands!$D:$D,MATCH(C26&amp;"|"&amp;E26,Bands!$F:$F,0))</f>
        <v>49900</v>
      </c>
      <c r="O26" s="4">
        <f>INDEX(Bands!$E:$E,MATCH(C26&amp;"|"&amp;E26,Bands!$F:$F,0))</f>
        <v>58200</v>
      </c>
      <c r="P26" s="7">
        <f t="shared" si="1"/>
        <v>0.70088980150581792</v>
      </c>
      <c r="Q26" s="4">
        <f t="shared" si="2"/>
        <v>51273.763344999992</v>
      </c>
      <c r="R26" s="7">
        <f t="shared" si="3"/>
        <v>49</v>
      </c>
      <c r="S26" s="7">
        <f t="shared" si="4"/>
        <v>0.49124651385486484</v>
      </c>
      <c r="T26" s="7">
        <f t="shared" si="5"/>
        <v>4.9062286105407251</v>
      </c>
      <c r="U26" s="7">
        <f t="shared" si="6"/>
        <v>358916.34341499995</v>
      </c>
      <c r="V26" s="7">
        <f t="shared" si="7"/>
        <v>35937.25781333333</v>
      </c>
      <c r="W26" s="4">
        <f t="shared" si="8"/>
        <v>51273.760000000002</v>
      </c>
      <c r="X26" s="3">
        <f t="shared" si="9"/>
        <v>6</v>
      </c>
      <c r="Y26" s="4">
        <f>INDEX(Categories!$AH:$AH,MATCH(C26,Categories!$A:$A,0))</f>
        <v>71955.39427199999</v>
      </c>
      <c r="Z26" s="3">
        <f>IF(AND(D26="F",Q26&lt;Y26,INDEX(Categories!$AI:$AI,MATCH(C26,Categories!$A:$A,0))&gt;0),1,0)</f>
        <v>0</v>
      </c>
      <c r="AA26" s="4">
        <f t="shared" si="10"/>
        <v>0</v>
      </c>
      <c r="AB26" s="4">
        <f>IF(Z26=1,INDEX(Categories!$AI:$AI,MATCH(C26,Categories!$A:$A,0))*AA26/INDEX(Categories!$AJ:$AJ,MATCH(C26,Categories!$A:$A,0)),0)</f>
        <v>0</v>
      </c>
      <c r="AC26" s="4">
        <f t="shared" si="11"/>
        <v>0</v>
      </c>
      <c r="AD26" s="4">
        <f t="shared" si="12"/>
        <v>46464.67</v>
      </c>
      <c r="AE26" s="3">
        <f t="shared" si="13"/>
        <v>0</v>
      </c>
      <c r="AF26" s="3">
        <f t="shared" si="14"/>
        <v>8</v>
      </c>
      <c r="AG26" s="3">
        <f t="shared" si="15"/>
        <v>8</v>
      </c>
      <c r="AH26" s="3">
        <f t="shared" si="16"/>
        <v>1</v>
      </c>
      <c r="AI26" s="5">
        <f t="shared" si="17"/>
        <v>0.9311557114228457</v>
      </c>
      <c r="AJ26" s="3">
        <f>MATCH(AI26,Inputs!$B$31:$B$34,1)</f>
        <v>2</v>
      </c>
      <c r="AK26" s="5">
        <f>INDEX(Inputs!$C$21:$C$25,MATCH(F26,Inputs!$A$21:$A$25,0))</f>
        <v>1</v>
      </c>
      <c r="AL26" s="5">
        <f>INDEX(Inputs!$D$21:$D$25,MATCH(F26,Inputs!$A$21:$A$25,0))</f>
        <v>0</v>
      </c>
      <c r="AM26" s="4">
        <f t="shared" si="18"/>
        <v>49900</v>
      </c>
      <c r="AN26" s="4">
        <f t="shared" si="19"/>
        <v>3435.3300000000017</v>
      </c>
      <c r="AO26" s="3">
        <f t="shared" si="20"/>
        <v>1</v>
      </c>
      <c r="AP26" s="4">
        <f t="shared" si="21"/>
        <v>13939.401</v>
      </c>
      <c r="AQ26" s="4">
        <f t="shared" si="22"/>
        <v>0</v>
      </c>
      <c r="AR26" s="4">
        <f t="shared" si="23"/>
        <v>3435.3300000000017</v>
      </c>
      <c r="AS26" s="3">
        <f t="shared" si="24"/>
        <v>0</v>
      </c>
      <c r="AT26" s="4">
        <f t="shared" si="25"/>
        <v>3435.3300000000017</v>
      </c>
      <c r="AU26" s="4">
        <f t="shared" si="26"/>
        <v>11735.330000000002</v>
      </c>
      <c r="AV26" s="4">
        <f t="shared" si="27"/>
        <v>3435.3300000000017</v>
      </c>
      <c r="AW26" s="4">
        <f t="shared" si="28"/>
        <v>3435.3300000000017</v>
      </c>
      <c r="AX26" s="5">
        <f t="shared" si="29"/>
        <v>7.3934238637657426E-2</v>
      </c>
      <c r="AY26" s="4">
        <f t="shared" si="30"/>
        <v>49900</v>
      </c>
      <c r="AZ26" s="3">
        <f t="shared" si="31"/>
        <v>0</v>
      </c>
      <c r="BA26" s="4">
        <f t="shared" si="32"/>
        <v>51273.763344999992</v>
      </c>
      <c r="BB26" s="4">
        <f t="shared" si="33"/>
        <v>16484.514915417498</v>
      </c>
      <c r="BC26" s="4">
        <f t="shared" si="34"/>
        <v>51273.763344999992</v>
      </c>
      <c r="BD26" s="4">
        <f t="shared" si="35"/>
        <v>16484.514915417498</v>
      </c>
      <c r="BE26" s="4">
        <f t="shared" si="36"/>
        <v>55064.649999999994</v>
      </c>
      <c r="BF26" s="4">
        <f t="shared" si="37"/>
        <v>17703.284974999999</v>
      </c>
      <c r="BG26" s="4">
        <f t="shared" si="38"/>
        <v>0</v>
      </c>
      <c r="BH26" s="4">
        <f t="shared" si="39"/>
        <v>0</v>
      </c>
      <c r="BI26" s="4">
        <f t="shared" si="40"/>
        <v>0</v>
      </c>
      <c r="BJ26" s="4">
        <f t="shared" si="41"/>
        <v>3435.3300000000017</v>
      </c>
      <c r="BK26" s="4">
        <f t="shared" si="42"/>
        <v>355.55665500000015</v>
      </c>
      <c r="BL26" s="4">
        <f t="shared" si="43"/>
        <v>1218.7700595825008</v>
      </c>
      <c r="BM26" s="4">
        <f t="shared" si="44"/>
        <v>46464.67</v>
      </c>
      <c r="BN26" s="4">
        <f t="shared" si="45"/>
        <v>1858.5868</v>
      </c>
      <c r="BO26" s="4">
        <f t="shared" si="46"/>
        <v>1858.5868</v>
      </c>
      <c r="BP26" s="4">
        <f t="shared" si="47"/>
        <v>192.36373380000001</v>
      </c>
      <c r="BQ26" s="4">
        <f t="shared" si="48"/>
        <v>53324.713878799994</v>
      </c>
      <c r="BR26" s="4">
        <f t="shared" si="49"/>
        <v>17143.8955120342</v>
      </c>
      <c r="BS26" s="4">
        <f t="shared" si="50"/>
        <v>659.38059661670195</v>
      </c>
      <c r="BT26" s="4">
        <f t="shared" si="51"/>
        <v>51273.763344999992</v>
      </c>
      <c r="BU26" s="4">
        <f t="shared" si="52"/>
        <v>55064.649999999994</v>
      </c>
      <c r="BV26" s="7">
        <f t="shared" si="53"/>
        <v>385452.54999999993</v>
      </c>
      <c r="BW26" s="7">
        <f t="shared" si="54"/>
        <v>38594.251608487335</v>
      </c>
    </row>
    <row r="27" spans="1:75" x14ac:dyDescent="0.3">
      <c r="A27" s="3">
        <f t="shared" si="0"/>
        <v>23</v>
      </c>
      <c r="B27" t="str">
        <f>INDEX(Employees!$A:$A,A27+1)</f>
        <v>E023</v>
      </c>
      <c r="C27" t="str">
        <f>INDEX(Employees!$A:$Z,MATCH(B27,Employees!$A:$A,0),MATCH("category",Employees!$1:$1,0))</f>
        <v>Engineering</v>
      </c>
      <c r="D27" t="str">
        <f>INDEX(Employees!$A:$Z,MATCH(B27,Employees!$A:$A,0),MATCH("gender",Employees!$1:$1,0))</f>
        <v>M</v>
      </c>
      <c r="E27" s="3">
        <f>INDEX(Employees!$A:$Z,MATCH(B27,Employees!$A:$A,0),MATCH("grade",Employees!$1:$1,0))</f>
        <v>8</v>
      </c>
      <c r="F27" s="3">
        <f>INDEX(Employees!$A:$Z,MATCH(B27,Employees!$A:$A,0),MATCH("rating",Employees!$1:$1,0))</f>
        <v>3</v>
      </c>
      <c r="G27" s="22">
        <f>INDEX(Employees!$A:$Z,MATCH(B27,Employees!$A:$A,0),MATCH("hire_date",Employees!$1:$1,0))</f>
        <v>44286</v>
      </c>
      <c r="H27" s="22">
        <f>INDEX(Employees!$A:$Z,MATCH(B27,Employees!$A:$A,0),MATCH("last_change_date",Employees!$1:$1,0))</f>
        <v>46113</v>
      </c>
      <c r="I27" s="4">
        <f>INDEX(Employees!$A:$Z,MATCH(B27,Employees!$A:$A,0),MATCH("base_salary",Employees!$1:$1,0))</f>
        <v>55509.49</v>
      </c>
      <c r="J27" s="5">
        <f>INDEX(Employees!$A:$Z,MATCH(B27,Employees!$A:$A,0),MATCH("bonus_pct",Employees!$1:$1,0))/100</f>
        <v>0.1235</v>
      </c>
      <c r="K27" s="7">
        <f>INDEX(Employees!$A:$Z,MATCH(B27,Employees!$A:$A,0),MATCH("fte",Employees!$1:$1,0))</f>
        <v>1</v>
      </c>
      <c r="L27" s="3">
        <f>IF(ISNA(MATCH(C27&amp;"|"&amp;E27,Bands!$F:$F,0)),0,1)</f>
        <v>1</v>
      </c>
      <c r="M27" s="4">
        <f>INDEX(Bands!$C:$C,MATCH(C27&amp;"|"&amp;E27,Bands!$F:$F,0))</f>
        <v>47700</v>
      </c>
      <c r="N27" s="4">
        <f>INDEX(Bands!$D:$D,MATCH(C27&amp;"|"&amp;E27,Bands!$F:$F,0))</f>
        <v>57200</v>
      </c>
      <c r="O27" s="4">
        <f>INDEX(Bands!$E:$E,MATCH(C27&amp;"|"&amp;E27,Bands!$F:$F,0))</f>
        <v>66800</v>
      </c>
      <c r="P27" s="7">
        <f t="shared" si="1"/>
        <v>6.0013689253935665</v>
      </c>
      <c r="Q27" s="4">
        <f t="shared" si="2"/>
        <v>62364.912014999994</v>
      </c>
      <c r="R27" s="7">
        <f t="shared" si="3"/>
        <v>64</v>
      </c>
      <c r="S27" s="7">
        <f t="shared" si="4"/>
        <v>36.016428978679528</v>
      </c>
      <c r="T27" s="7">
        <f t="shared" si="5"/>
        <v>48.010951403148532</v>
      </c>
      <c r="U27" s="7">
        <f t="shared" si="6"/>
        <v>498919.29611999996</v>
      </c>
      <c r="V27" s="7">
        <f t="shared" si="7"/>
        <v>374274.84500172484</v>
      </c>
      <c r="W27" s="4">
        <f t="shared" si="8"/>
        <v>62364.91</v>
      </c>
      <c r="X27" s="3">
        <f t="shared" si="9"/>
        <v>13</v>
      </c>
      <c r="Y27" s="4">
        <f>INDEX(Categories!$AH:$AH,MATCH(C27,Categories!$A:$A,0))</f>
        <v>71955.39427199999</v>
      </c>
      <c r="Z27" s="3">
        <f>IF(AND(D27="F",Q27&lt;Y27,INDEX(Categories!$AI:$AI,MATCH(C27,Categories!$A:$A,0))&gt;0),1,0)</f>
        <v>0</v>
      </c>
      <c r="AA27" s="4">
        <f t="shared" si="10"/>
        <v>0</v>
      </c>
      <c r="AB27" s="4">
        <f>IF(Z27=1,INDEX(Categories!$AI:$AI,MATCH(C27,Categories!$A:$A,0))*AA27/INDEX(Categories!$AJ:$AJ,MATCH(C27,Categories!$A:$A,0)),0)</f>
        <v>0</v>
      </c>
      <c r="AC27" s="4">
        <f t="shared" si="11"/>
        <v>0</v>
      </c>
      <c r="AD27" s="4">
        <f t="shared" si="12"/>
        <v>55509.49</v>
      </c>
      <c r="AE27" s="3">
        <f t="shared" si="13"/>
        <v>0</v>
      </c>
      <c r="AF27" s="3">
        <f t="shared" si="14"/>
        <v>72</v>
      </c>
      <c r="AG27" s="3">
        <f t="shared" si="15"/>
        <v>12</v>
      </c>
      <c r="AH27" s="3">
        <f t="shared" si="16"/>
        <v>1</v>
      </c>
      <c r="AI27" s="5">
        <f t="shared" si="17"/>
        <v>0.97044562937062928</v>
      </c>
      <c r="AJ27" s="3">
        <f>MATCH(AI27,Inputs!$B$31:$B$34,1)</f>
        <v>2</v>
      </c>
      <c r="AK27" s="5">
        <f>INDEX(Inputs!$C$21:$C$25,MATCH(F27,Inputs!$A$21:$A$25,0))</f>
        <v>1</v>
      </c>
      <c r="AL27" s="5">
        <f>INDEX(Inputs!$D$21:$D$25,MATCH(F27,Inputs!$A$21:$A$25,0))</f>
        <v>0</v>
      </c>
      <c r="AM27" s="4">
        <f t="shared" si="18"/>
        <v>57200</v>
      </c>
      <c r="AN27" s="4">
        <f t="shared" si="19"/>
        <v>1690.510000000002</v>
      </c>
      <c r="AO27" s="3">
        <f t="shared" si="20"/>
        <v>1</v>
      </c>
      <c r="AP27" s="4">
        <f t="shared" si="21"/>
        <v>16652.846999999998</v>
      </c>
      <c r="AQ27" s="4">
        <f t="shared" si="22"/>
        <v>0</v>
      </c>
      <c r="AR27" s="4">
        <f t="shared" si="23"/>
        <v>1690.510000000002</v>
      </c>
      <c r="AS27" s="3">
        <f t="shared" si="24"/>
        <v>0</v>
      </c>
      <c r="AT27" s="4">
        <f t="shared" si="25"/>
        <v>1690.510000000002</v>
      </c>
      <c r="AU27" s="4">
        <f t="shared" si="26"/>
        <v>11290.510000000002</v>
      </c>
      <c r="AV27" s="4">
        <f t="shared" si="27"/>
        <v>1690.510000000002</v>
      </c>
      <c r="AW27" s="4">
        <f t="shared" si="28"/>
        <v>1690.510000000002</v>
      </c>
      <c r="AX27" s="5">
        <f t="shared" si="29"/>
        <v>3.0454432206096688E-2</v>
      </c>
      <c r="AY27" s="4">
        <f t="shared" si="30"/>
        <v>57200</v>
      </c>
      <c r="AZ27" s="3">
        <f t="shared" si="31"/>
        <v>0</v>
      </c>
      <c r="BA27" s="4">
        <f t="shared" si="32"/>
        <v>62364.912014999994</v>
      </c>
      <c r="BB27" s="4">
        <f t="shared" si="33"/>
        <v>19691.474515343998</v>
      </c>
      <c r="BC27" s="4">
        <f t="shared" si="34"/>
        <v>62364.912014999994</v>
      </c>
      <c r="BD27" s="4">
        <f t="shared" si="35"/>
        <v>19691.474515343998</v>
      </c>
      <c r="BE27" s="4">
        <f t="shared" si="36"/>
        <v>64264.2</v>
      </c>
      <c r="BF27" s="4">
        <f t="shared" si="37"/>
        <v>19709.70768</v>
      </c>
      <c r="BG27" s="4">
        <f t="shared" si="38"/>
        <v>0</v>
      </c>
      <c r="BH27" s="4">
        <f t="shared" si="39"/>
        <v>0</v>
      </c>
      <c r="BI27" s="4">
        <f t="shared" si="40"/>
        <v>0</v>
      </c>
      <c r="BJ27" s="4">
        <f t="shared" si="41"/>
        <v>1690.510000000002</v>
      </c>
      <c r="BK27" s="4">
        <f t="shared" si="42"/>
        <v>208.77798500000026</v>
      </c>
      <c r="BL27" s="4">
        <f t="shared" si="43"/>
        <v>18.233164656001463</v>
      </c>
      <c r="BM27" s="4">
        <f t="shared" si="44"/>
        <v>55509.49</v>
      </c>
      <c r="BN27" s="4">
        <f t="shared" si="45"/>
        <v>2220.3795999999998</v>
      </c>
      <c r="BO27" s="4">
        <f t="shared" si="46"/>
        <v>2220.3795999999998</v>
      </c>
      <c r="BP27" s="4">
        <f t="shared" si="47"/>
        <v>274.21688059999997</v>
      </c>
      <c r="BQ27" s="4">
        <f t="shared" si="48"/>
        <v>64859.508495599992</v>
      </c>
      <c r="BR27" s="4">
        <f t="shared" si="49"/>
        <v>19715.422641557758</v>
      </c>
      <c r="BS27" s="4">
        <f t="shared" si="50"/>
        <v>23.948126213759679</v>
      </c>
      <c r="BT27" s="4">
        <f t="shared" si="51"/>
        <v>62364.912014999994</v>
      </c>
      <c r="BU27" s="4">
        <f t="shared" si="52"/>
        <v>64264.2</v>
      </c>
      <c r="BV27" s="7">
        <f t="shared" si="53"/>
        <v>514113.6</v>
      </c>
      <c r="BW27" s="7">
        <f t="shared" si="54"/>
        <v>385673.17289527721</v>
      </c>
    </row>
    <row r="28" spans="1:75" x14ac:dyDescent="0.3">
      <c r="A28" s="3">
        <f t="shared" si="0"/>
        <v>24</v>
      </c>
      <c r="B28" t="str">
        <f>INDEX(Employees!$A:$A,A28+1)</f>
        <v>E024</v>
      </c>
      <c r="C28" t="str">
        <f>INDEX(Employees!$A:$Z,MATCH(B28,Employees!$A:$A,0),MATCH("category",Employees!$1:$1,0))</f>
        <v>Engineering</v>
      </c>
      <c r="D28" t="str">
        <f>INDEX(Employees!$A:$Z,MATCH(B28,Employees!$A:$A,0),MATCH("gender",Employees!$1:$1,0))</f>
        <v>M</v>
      </c>
      <c r="E28" s="3">
        <f>INDEX(Employees!$A:$Z,MATCH(B28,Employees!$A:$A,0),MATCH("grade",Employees!$1:$1,0))</f>
        <v>8</v>
      </c>
      <c r="F28" s="3">
        <f>INDEX(Employees!$A:$Z,MATCH(B28,Employees!$A:$A,0),MATCH("rating",Employees!$1:$1,0))</f>
        <v>3</v>
      </c>
      <c r="G28" s="22">
        <f>INDEX(Employees!$A:$Z,MATCH(B28,Employees!$A:$A,0),MATCH("hire_date",Employees!$1:$1,0))</f>
        <v>44725</v>
      </c>
      <c r="H28" s="22">
        <f>INDEX(Employees!$A:$Z,MATCH(B28,Employees!$A:$A,0),MATCH("last_change_date",Employees!$1:$1,0))</f>
        <v>46113</v>
      </c>
      <c r="I28" s="4">
        <f>INDEX(Employees!$A:$Z,MATCH(B28,Employees!$A:$A,0),MATCH("base_salary",Employees!$1:$1,0))</f>
        <v>56305.49</v>
      </c>
      <c r="J28" s="5">
        <f>INDEX(Employees!$A:$Z,MATCH(B28,Employees!$A:$A,0),MATCH("bonus_pct",Employees!$1:$1,0))/100</f>
        <v>0.1426</v>
      </c>
      <c r="K28" s="7">
        <f>INDEX(Employees!$A:$Z,MATCH(B28,Employees!$A:$A,0),MATCH("fte",Employees!$1:$1,0))</f>
        <v>1</v>
      </c>
      <c r="L28" s="3">
        <f>IF(ISNA(MATCH(C28&amp;"|"&amp;E28,Bands!$F:$F,0)),0,1)</f>
        <v>1</v>
      </c>
      <c r="M28" s="4">
        <f>INDEX(Bands!$C:$C,MATCH(C28&amp;"|"&amp;E28,Bands!$F:$F,0))</f>
        <v>47700</v>
      </c>
      <c r="N28" s="4">
        <f>INDEX(Bands!$D:$D,MATCH(C28&amp;"|"&amp;E28,Bands!$F:$F,0))</f>
        <v>57200</v>
      </c>
      <c r="O28" s="4">
        <f>INDEX(Bands!$E:$E,MATCH(C28&amp;"|"&amp;E28,Bands!$F:$F,0))</f>
        <v>66800</v>
      </c>
      <c r="P28" s="7">
        <f t="shared" si="1"/>
        <v>4.7994524298425736</v>
      </c>
      <c r="Q28" s="4">
        <f t="shared" si="2"/>
        <v>64334.652873999999</v>
      </c>
      <c r="R28" s="7">
        <f t="shared" si="3"/>
        <v>64</v>
      </c>
      <c r="S28" s="7">
        <f t="shared" si="4"/>
        <v>23.034743626321784</v>
      </c>
      <c r="T28" s="7">
        <f t="shared" si="5"/>
        <v>38.395619438740589</v>
      </c>
      <c r="U28" s="7">
        <f t="shared" si="6"/>
        <v>514677.222992</v>
      </c>
      <c r="V28" s="7">
        <f t="shared" si="7"/>
        <v>308771.1060591978</v>
      </c>
      <c r="W28" s="4">
        <f t="shared" si="8"/>
        <v>64334.65</v>
      </c>
      <c r="X28" s="3">
        <f t="shared" si="9"/>
        <v>16</v>
      </c>
      <c r="Y28" s="4">
        <f>INDEX(Categories!$AH:$AH,MATCH(C28,Categories!$A:$A,0))</f>
        <v>71955.39427199999</v>
      </c>
      <c r="Z28" s="3">
        <f>IF(AND(D28="F",Q28&lt;Y28,INDEX(Categories!$AI:$AI,MATCH(C28,Categories!$A:$A,0))&gt;0),1,0)</f>
        <v>0</v>
      </c>
      <c r="AA28" s="4">
        <f t="shared" si="10"/>
        <v>0</v>
      </c>
      <c r="AB28" s="4">
        <f>IF(Z28=1,INDEX(Categories!$AI:$AI,MATCH(C28,Categories!$A:$A,0))*AA28/INDEX(Categories!$AJ:$AJ,MATCH(C28,Categories!$A:$A,0)),0)</f>
        <v>0</v>
      </c>
      <c r="AC28" s="4">
        <f t="shared" si="11"/>
        <v>0</v>
      </c>
      <c r="AD28" s="4">
        <f t="shared" si="12"/>
        <v>56305.49</v>
      </c>
      <c r="AE28" s="3">
        <f t="shared" si="13"/>
        <v>0</v>
      </c>
      <c r="AF28" s="3">
        <f t="shared" si="14"/>
        <v>57</v>
      </c>
      <c r="AG28" s="3">
        <f t="shared" si="15"/>
        <v>12</v>
      </c>
      <c r="AH28" s="3">
        <f t="shared" si="16"/>
        <v>1</v>
      </c>
      <c r="AI28" s="5">
        <f t="shared" si="17"/>
        <v>0.98436171328671329</v>
      </c>
      <c r="AJ28" s="3">
        <f>MATCH(AI28,Inputs!$B$31:$B$34,1)</f>
        <v>2</v>
      </c>
      <c r="AK28" s="5">
        <f>INDEX(Inputs!$C$21:$C$25,MATCH(F28,Inputs!$A$21:$A$25,0))</f>
        <v>1</v>
      </c>
      <c r="AL28" s="5">
        <f>INDEX(Inputs!$D$21:$D$25,MATCH(F28,Inputs!$A$21:$A$25,0))</f>
        <v>0</v>
      </c>
      <c r="AM28" s="4">
        <f t="shared" si="18"/>
        <v>57200</v>
      </c>
      <c r="AN28" s="4">
        <f t="shared" si="19"/>
        <v>894.51000000000204</v>
      </c>
      <c r="AO28" s="3">
        <f t="shared" si="20"/>
        <v>1</v>
      </c>
      <c r="AP28" s="4">
        <f t="shared" si="21"/>
        <v>16891.646999999997</v>
      </c>
      <c r="AQ28" s="4">
        <f t="shared" si="22"/>
        <v>0</v>
      </c>
      <c r="AR28" s="4">
        <f t="shared" si="23"/>
        <v>894.51000000000204</v>
      </c>
      <c r="AS28" s="3">
        <f t="shared" si="24"/>
        <v>0</v>
      </c>
      <c r="AT28" s="4">
        <f t="shared" si="25"/>
        <v>894.51000000000204</v>
      </c>
      <c r="AU28" s="4">
        <f t="shared" si="26"/>
        <v>10494.510000000002</v>
      </c>
      <c r="AV28" s="4">
        <f t="shared" si="27"/>
        <v>894.51000000000204</v>
      </c>
      <c r="AW28" s="4">
        <f t="shared" si="28"/>
        <v>894.51000000000204</v>
      </c>
      <c r="AX28" s="5">
        <f t="shared" si="29"/>
        <v>1.5886727919426722E-2</v>
      </c>
      <c r="AY28" s="4">
        <f t="shared" si="30"/>
        <v>57200</v>
      </c>
      <c r="AZ28" s="3">
        <f t="shared" si="31"/>
        <v>0</v>
      </c>
      <c r="BA28" s="4">
        <f t="shared" si="32"/>
        <v>64334.652873999999</v>
      </c>
      <c r="BB28" s="4">
        <f t="shared" si="33"/>
        <v>19710.3840275904</v>
      </c>
      <c r="BC28" s="4">
        <f t="shared" si="34"/>
        <v>64334.652873999999</v>
      </c>
      <c r="BD28" s="4">
        <f t="shared" si="35"/>
        <v>19710.3840275904</v>
      </c>
      <c r="BE28" s="4">
        <f t="shared" si="36"/>
        <v>65356.72</v>
      </c>
      <c r="BF28" s="4">
        <f t="shared" si="37"/>
        <v>19720.195872</v>
      </c>
      <c r="BG28" s="4">
        <f t="shared" si="38"/>
        <v>0</v>
      </c>
      <c r="BH28" s="4">
        <f t="shared" si="39"/>
        <v>0</v>
      </c>
      <c r="BI28" s="4">
        <f t="shared" si="40"/>
        <v>0</v>
      </c>
      <c r="BJ28" s="4">
        <f t="shared" si="41"/>
        <v>894.51000000000204</v>
      </c>
      <c r="BK28" s="4">
        <f t="shared" si="42"/>
        <v>127.5571260000003</v>
      </c>
      <c r="BL28" s="4">
        <f t="shared" si="43"/>
        <v>9.8118444095998711</v>
      </c>
      <c r="BM28" s="4">
        <f t="shared" si="44"/>
        <v>56305.49</v>
      </c>
      <c r="BN28" s="4">
        <f t="shared" si="45"/>
        <v>2252.2195999999999</v>
      </c>
      <c r="BO28" s="4">
        <f t="shared" si="46"/>
        <v>2252.2195999999999</v>
      </c>
      <c r="BP28" s="4">
        <f t="shared" si="47"/>
        <v>321.16651495999997</v>
      </c>
      <c r="BQ28" s="4">
        <f t="shared" si="48"/>
        <v>66908.038988960005</v>
      </c>
      <c r="BR28" s="4">
        <f t="shared" si="49"/>
        <v>19735.088534294016</v>
      </c>
      <c r="BS28" s="4">
        <f t="shared" si="50"/>
        <v>24.704506703616062</v>
      </c>
      <c r="BT28" s="4">
        <f t="shared" si="51"/>
        <v>64334.652873999999</v>
      </c>
      <c r="BU28" s="4">
        <f t="shared" si="52"/>
        <v>65356.72</v>
      </c>
      <c r="BV28" s="7">
        <f t="shared" si="53"/>
        <v>522853.76</v>
      </c>
      <c r="BW28" s="7">
        <f t="shared" si="54"/>
        <v>313676.46861054073</v>
      </c>
    </row>
    <row r="29" spans="1:75" x14ac:dyDescent="0.3">
      <c r="A29" s="3">
        <f t="shared" si="0"/>
        <v>25</v>
      </c>
      <c r="B29" t="str">
        <f>INDEX(Employees!$A:$A,A29+1)</f>
        <v>E025</v>
      </c>
      <c r="C29" t="str">
        <f>INDEX(Employees!$A:$Z,MATCH(B29,Employees!$A:$A,0),MATCH("category",Employees!$1:$1,0))</f>
        <v>Engineering</v>
      </c>
      <c r="D29" t="str">
        <f>INDEX(Employees!$A:$Z,MATCH(B29,Employees!$A:$A,0),MATCH("gender",Employees!$1:$1,0))</f>
        <v>M</v>
      </c>
      <c r="E29" s="3">
        <f>INDEX(Employees!$A:$Z,MATCH(B29,Employees!$A:$A,0),MATCH("grade",Employees!$1:$1,0))</f>
        <v>8</v>
      </c>
      <c r="F29" s="3">
        <f>INDEX(Employees!$A:$Z,MATCH(B29,Employees!$A:$A,0),MATCH("rating",Employees!$1:$1,0))</f>
        <v>4</v>
      </c>
      <c r="G29" s="22">
        <f>INDEX(Employees!$A:$Z,MATCH(B29,Employees!$A:$A,0),MATCH("hire_date",Employees!$1:$1,0))</f>
        <v>44725</v>
      </c>
      <c r="H29" s="22">
        <f>INDEX(Employees!$A:$Z,MATCH(B29,Employees!$A:$A,0),MATCH("last_change_date",Employees!$1:$1,0))</f>
        <v>46113</v>
      </c>
      <c r="I29" s="4">
        <f>INDEX(Employees!$A:$Z,MATCH(B29,Employees!$A:$A,0),MATCH("base_salary",Employees!$1:$1,0))</f>
        <v>54180.69</v>
      </c>
      <c r="J29" s="5">
        <f>INDEX(Employees!$A:$Z,MATCH(B29,Employees!$A:$A,0),MATCH("bonus_pct",Employees!$1:$1,0))/100</f>
        <v>0.13300000000000001</v>
      </c>
      <c r="K29" s="7">
        <f>INDEX(Employees!$A:$Z,MATCH(B29,Employees!$A:$A,0),MATCH("fte",Employees!$1:$1,0))</f>
        <v>1</v>
      </c>
      <c r="L29" s="3">
        <f>IF(ISNA(MATCH(C29&amp;"|"&amp;E29,Bands!$F:$F,0)),0,1)</f>
        <v>1</v>
      </c>
      <c r="M29" s="4">
        <f>INDEX(Bands!$C:$C,MATCH(C29&amp;"|"&amp;E29,Bands!$F:$F,0))</f>
        <v>47700</v>
      </c>
      <c r="N29" s="4">
        <f>INDEX(Bands!$D:$D,MATCH(C29&amp;"|"&amp;E29,Bands!$F:$F,0))</f>
        <v>57200</v>
      </c>
      <c r="O29" s="4">
        <f>INDEX(Bands!$E:$E,MATCH(C29&amp;"|"&amp;E29,Bands!$F:$F,0))</f>
        <v>66800</v>
      </c>
      <c r="P29" s="7">
        <f t="shared" si="1"/>
        <v>4.7994524298425736</v>
      </c>
      <c r="Q29" s="4">
        <f t="shared" si="2"/>
        <v>61386.721770000004</v>
      </c>
      <c r="R29" s="7">
        <f t="shared" si="3"/>
        <v>64</v>
      </c>
      <c r="S29" s="7">
        <f t="shared" si="4"/>
        <v>23.034743626321784</v>
      </c>
      <c r="T29" s="7">
        <f t="shared" si="5"/>
        <v>38.395619438740589</v>
      </c>
      <c r="U29" s="7">
        <f t="shared" si="6"/>
        <v>491093.77416000003</v>
      </c>
      <c r="V29" s="7">
        <f t="shared" si="7"/>
        <v>294622.6509590965</v>
      </c>
      <c r="W29" s="4">
        <f t="shared" si="8"/>
        <v>61386.720000000001</v>
      </c>
      <c r="X29" s="3">
        <f t="shared" si="9"/>
        <v>12</v>
      </c>
      <c r="Y29" s="4">
        <f>INDEX(Categories!$AH:$AH,MATCH(C29,Categories!$A:$A,0))</f>
        <v>71955.39427199999</v>
      </c>
      <c r="Z29" s="3">
        <f>IF(AND(D29="F",Q29&lt;Y29,INDEX(Categories!$AI:$AI,MATCH(C29,Categories!$A:$A,0))&gt;0),1,0)</f>
        <v>0</v>
      </c>
      <c r="AA29" s="4">
        <f t="shared" si="10"/>
        <v>0</v>
      </c>
      <c r="AB29" s="4">
        <f>IF(Z29=1,INDEX(Categories!$AI:$AI,MATCH(C29,Categories!$A:$A,0))*AA29/INDEX(Categories!$AJ:$AJ,MATCH(C29,Categories!$A:$A,0)),0)</f>
        <v>0</v>
      </c>
      <c r="AC29" s="4">
        <f t="shared" si="11"/>
        <v>0</v>
      </c>
      <c r="AD29" s="4">
        <f t="shared" si="12"/>
        <v>54180.69</v>
      </c>
      <c r="AE29" s="3">
        <f t="shared" si="13"/>
        <v>0</v>
      </c>
      <c r="AF29" s="3">
        <f t="shared" si="14"/>
        <v>57</v>
      </c>
      <c r="AG29" s="3">
        <f t="shared" si="15"/>
        <v>12</v>
      </c>
      <c r="AH29" s="3">
        <f t="shared" si="16"/>
        <v>1</v>
      </c>
      <c r="AI29" s="5">
        <f t="shared" si="17"/>
        <v>0.94721486013986023</v>
      </c>
      <c r="AJ29" s="3">
        <f>MATCH(AI29,Inputs!$B$31:$B$34,1)</f>
        <v>2</v>
      </c>
      <c r="AK29" s="5">
        <f>INDEX(Inputs!$C$21:$C$25,MATCH(F29,Inputs!$A$21:$A$25,0))</f>
        <v>1.05</v>
      </c>
      <c r="AL29" s="5">
        <f>INDEX(Inputs!$D$21:$D$25,MATCH(F29,Inputs!$A$21:$A$25,0))</f>
        <v>0.01</v>
      </c>
      <c r="AM29" s="4">
        <f t="shared" si="18"/>
        <v>60060</v>
      </c>
      <c r="AN29" s="4">
        <f t="shared" si="19"/>
        <v>5879.3099999999977</v>
      </c>
      <c r="AO29" s="3">
        <f t="shared" si="20"/>
        <v>1</v>
      </c>
      <c r="AP29" s="4">
        <f t="shared" si="21"/>
        <v>16254.207</v>
      </c>
      <c r="AQ29" s="4">
        <f t="shared" si="22"/>
        <v>541.80690000000004</v>
      </c>
      <c r="AR29" s="4">
        <f t="shared" si="23"/>
        <v>5879.3099999999977</v>
      </c>
      <c r="AS29" s="3">
        <f t="shared" si="24"/>
        <v>0</v>
      </c>
      <c r="AT29" s="4">
        <f t="shared" si="25"/>
        <v>5879.3099999999977</v>
      </c>
      <c r="AU29" s="4">
        <f t="shared" si="26"/>
        <v>12619.309999999998</v>
      </c>
      <c r="AV29" s="4">
        <f t="shared" si="27"/>
        <v>5879.3099999999977</v>
      </c>
      <c r="AW29" s="4">
        <f t="shared" si="28"/>
        <v>5879.3099999999977</v>
      </c>
      <c r="AX29" s="5">
        <f t="shared" si="29"/>
        <v>0.10851301450756713</v>
      </c>
      <c r="AY29" s="4">
        <f t="shared" si="30"/>
        <v>60060</v>
      </c>
      <c r="AZ29" s="3">
        <f t="shared" si="31"/>
        <v>0</v>
      </c>
      <c r="BA29" s="4">
        <f t="shared" si="32"/>
        <v>61386.721770000004</v>
      </c>
      <c r="BB29" s="4">
        <f t="shared" si="33"/>
        <v>19682.083888991998</v>
      </c>
      <c r="BC29" s="4">
        <f t="shared" si="34"/>
        <v>61386.721770000004</v>
      </c>
      <c r="BD29" s="4">
        <f t="shared" si="35"/>
        <v>19682.083888991998</v>
      </c>
      <c r="BE29" s="4">
        <f t="shared" si="36"/>
        <v>68047.98</v>
      </c>
      <c r="BF29" s="4">
        <f t="shared" si="37"/>
        <v>19746.601679999996</v>
      </c>
      <c r="BG29" s="4">
        <f t="shared" si="38"/>
        <v>0</v>
      </c>
      <c r="BH29" s="4">
        <f t="shared" si="39"/>
        <v>0</v>
      </c>
      <c r="BI29" s="4">
        <f t="shared" si="40"/>
        <v>0</v>
      </c>
      <c r="BJ29" s="4">
        <f t="shared" si="41"/>
        <v>5879.3099999999977</v>
      </c>
      <c r="BK29" s="4">
        <f t="shared" si="42"/>
        <v>781.94822999999974</v>
      </c>
      <c r="BL29" s="4">
        <f t="shared" si="43"/>
        <v>64.517791007998312</v>
      </c>
      <c r="BM29" s="4">
        <f t="shared" si="44"/>
        <v>54180.69</v>
      </c>
      <c r="BN29" s="4">
        <f t="shared" si="45"/>
        <v>2167.2276000000002</v>
      </c>
      <c r="BO29" s="4">
        <f t="shared" si="46"/>
        <v>2167.2276000000002</v>
      </c>
      <c r="BP29" s="4">
        <f t="shared" si="47"/>
        <v>288.24127080000005</v>
      </c>
      <c r="BQ29" s="4">
        <f t="shared" si="48"/>
        <v>63842.1906408</v>
      </c>
      <c r="BR29" s="4">
        <f t="shared" si="49"/>
        <v>19705.656390151678</v>
      </c>
      <c r="BS29" s="4">
        <f t="shared" si="50"/>
        <v>23.572501159680542</v>
      </c>
      <c r="BT29" s="4">
        <f t="shared" si="51"/>
        <v>61386.721770000004</v>
      </c>
      <c r="BU29" s="4">
        <f t="shared" si="52"/>
        <v>68047.98</v>
      </c>
      <c r="BV29" s="7">
        <f t="shared" si="53"/>
        <v>544383.84</v>
      </c>
      <c r="BW29" s="7">
        <f t="shared" si="54"/>
        <v>326593.04295687884</v>
      </c>
    </row>
    <row r="30" spans="1:75" x14ac:dyDescent="0.3">
      <c r="A30" s="3">
        <f t="shared" si="0"/>
        <v>26</v>
      </c>
      <c r="B30" t="str">
        <f>INDEX(Employees!$A:$A,A30+1)</f>
        <v>E026</v>
      </c>
      <c r="C30" t="str">
        <f>INDEX(Employees!$A:$Z,MATCH(B30,Employees!$A:$A,0),MATCH("category",Employees!$1:$1,0))</f>
        <v>Engineering</v>
      </c>
      <c r="D30" t="str">
        <f>INDEX(Employees!$A:$Z,MATCH(B30,Employees!$A:$A,0),MATCH("gender",Employees!$1:$1,0))</f>
        <v>F</v>
      </c>
      <c r="E30" s="3">
        <f>INDEX(Employees!$A:$Z,MATCH(B30,Employees!$A:$A,0),MATCH("grade",Employees!$1:$1,0))</f>
        <v>9</v>
      </c>
      <c r="F30" s="3">
        <f>INDEX(Employees!$A:$Z,MATCH(B30,Employees!$A:$A,0),MATCH("rating",Employees!$1:$1,0))</f>
        <v>3</v>
      </c>
      <c r="G30" s="22">
        <f>INDEX(Employees!$A:$Z,MATCH(B30,Employees!$A:$A,0),MATCH("hire_date",Employees!$1:$1,0))</f>
        <v>43921</v>
      </c>
      <c r="H30" s="22">
        <f>INDEX(Employees!$A:$Z,MATCH(B30,Employees!$A:$A,0),MATCH("last_change_date",Employees!$1:$1,0))</f>
        <v>46113</v>
      </c>
      <c r="I30" s="4">
        <f>INDEX(Employees!$A:$Z,MATCH(B30,Employees!$A:$A,0),MATCH("base_salary",Employees!$1:$1,0))</f>
        <v>60172</v>
      </c>
      <c r="J30" s="5">
        <f>INDEX(Employees!$A:$Z,MATCH(B30,Employees!$A:$A,0),MATCH("bonus_pct",Employees!$1:$1,0))/100</f>
        <v>0.1353</v>
      </c>
      <c r="K30" s="7">
        <f>INDEX(Employees!$A:$Z,MATCH(B30,Employees!$A:$A,0),MATCH("fte",Employees!$1:$1,0))</f>
        <v>1</v>
      </c>
      <c r="L30" s="3">
        <f>IF(ISNA(MATCH(C30&amp;"|"&amp;E30,Bands!$F:$F,0)),0,1)</f>
        <v>1</v>
      </c>
      <c r="M30" s="4">
        <f>INDEX(Bands!$C:$C,MATCH(C30&amp;"|"&amp;E30,Bands!$F:$F,0))</f>
        <v>54500</v>
      </c>
      <c r="N30" s="4">
        <f>INDEX(Bands!$D:$D,MATCH(C30&amp;"|"&amp;E30,Bands!$F:$F,0))</f>
        <v>65400</v>
      </c>
      <c r="O30" s="4">
        <f>INDEX(Bands!$E:$E,MATCH(C30&amp;"|"&amp;E30,Bands!$F:$F,0))</f>
        <v>76300</v>
      </c>
      <c r="P30" s="7">
        <f t="shared" si="1"/>
        <v>7.0006844626967828</v>
      </c>
      <c r="Q30" s="4">
        <f t="shared" si="2"/>
        <v>68313.271599999993</v>
      </c>
      <c r="R30" s="7">
        <f t="shared" si="3"/>
        <v>81</v>
      </c>
      <c r="S30" s="7">
        <f t="shared" si="4"/>
        <v>49.009582946244144</v>
      </c>
      <c r="T30" s="7">
        <f t="shared" si="5"/>
        <v>63.006160164271044</v>
      </c>
      <c r="U30" s="7">
        <f t="shared" si="6"/>
        <v>614819.44439999992</v>
      </c>
      <c r="V30" s="7">
        <f t="shared" si="7"/>
        <v>478239.65908610536</v>
      </c>
      <c r="W30" s="4">
        <f t="shared" si="8"/>
        <v>68313.27</v>
      </c>
      <c r="X30" s="3">
        <f t="shared" si="9"/>
        <v>20</v>
      </c>
      <c r="Y30" s="4">
        <f>INDEX(Categories!$AH:$AH,MATCH(C30,Categories!$A:$A,0))</f>
        <v>71955.39427199999</v>
      </c>
      <c r="Z30" s="3">
        <f>IF(AND(D30="F",Q30&lt;Y30,INDEX(Categories!$AI:$AI,MATCH(C30,Categories!$A:$A,0))&gt;0),1,0)</f>
        <v>1</v>
      </c>
      <c r="AA30" s="4">
        <f t="shared" si="10"/>
        <v>3642.1226719999977</v>
      </c>
      <c r="AB30" s="4">
        <f>IF(Z30=1,INDEX(Categories!$AI:$AI,MATCH(C30,Categories!$A:$A,0))*AA30/INDEX(Categories!$AJ:$AJ,MATCH(C30,Categories!$A:$A,0)),0)</f>
        <v>2855.4724761770899</v>
      </c>
      <c r="AC30" s="4">
        <f t="shared" si="11"/>
        <v>2515.1699781353741</v>
      </c>
      <c r="AD30" s="4">
        <f t="shared" si="12"/>
        <v>62687.169978135375</v>
      </c>
      <c r="AE30" s="3">
        <f t="shared" si="13"/>
        <v>0</v>
      </c>
      <c r="AF30" s="3">
        <f t="shared" si="14"/>
        <v>84</v>
      </c>
      <c r="AG30" s="3">
        <f t="shared" si="15"/>
        <v>12</v>
      </c>
      <c r="AH30" s="3">
        <f t="shared" si="16"/>
        <v>1</v>
      </c>
      <c r="AI30" s="5">
        <f t="shared" si="17"/>
        <v>0.95851941862592316</v>
      </c>
      <c r="AJ30" s="3">
        <f>MATCH(AI30,Inputs!$B$31:$B$34,1)</f>
        <v>2</v>
      </c>
      <c r="AK30" s="5">
        <f>INDEX(Inputs!$C$21:$C$25,MATCH(F30,Inputs!$A$21:$A$25,0))</f>
        <v>1</v>
      </c>
      <c r="AL30" s="5">
        <f>INDEX(Inputs!$D$21:$D$25,MATCH(F30,Inputs!$A$21:$A$25,0))</f>
        <v>0</v>
      </c>
      <c r="AM30" s="4">
        <f t="shared" si="18"/>
        <v>65400</v>
      </c>
      <c r="AN30" s="4">
        <f t="shared" si="19"/>
        <v>2712.8300218646255</v>
      </c>
      <c r="AO30" s="3">
        <f t="shared" si="20"/>
        <v>1</v>
      </c>
      <c r="AP30" s="4">
        <f t="shared" si="21"/>
        <v>18806.150993440613</v>
      </c>
      <c r="AQ30" s="4">
        <f t="shared" si="22"/>
        <v>0</v>
      </c>
      <c r="AR30" s="4">
        <f t="shared" si="23"/>
        <v>2712.8300218646255</v>
      </c>
      <c r="AS30" s="3">
        <f t="shared" si="24"/>
        <v>0</v>
      </c>
      <c r="AT30" s="4">
        <f t="shared" si="25"/>
        <v>2712.8300218646255</v>
      </c>
      <c r="AU30" s="4">
        <f t="shared" si="26"/>
        <v>13612.830021864625</v>
      </c>
      <c r="AV30" s="4">
        <f t="shared" si="27"/>
        <v>2712.8300218646255</v>
      </c>
      <c r="AW30" s="4">
        <f t="shared" si="28"/>
        <v>2712.8300218646255</v>
      </c>
      <c r="AX30" s="5">
        <f t="shared" si="29"/>
        <v>4.3275681815127913E-2</v>
      </c>
      <c r="AY30" s="4">
        <f t="shared" si="30"/>
        <v>65400</v>
      </c>
      <c r="AZ30" s="3">
        <f t="shared" si="31"/>
        <v>0</v>
      </c>
      <c r="BA30" s="4">
        <f t="shared" si="32"/>
        <v>68313.271599999993</v>
      </c>
      <c r="BB30" s="4">
        <f t="shared" si="33"/>
        <v>19749.360712639998</v>
      </c>
      <c r="BC30" s="4">
        <f t="shared" si="34"/>
        <v>71168.744076177085</v>
      </c>
      <c r="BD30" s="4">
        <f t="shared" si="35"/>
        <v>19779.057626392238</v>
      </c>
      <c r="BE30" s="4">
        <f t="shared" si="36"/>
        <v>74248.62</v>
      </c>
      <c r="BF30" s="4">
        <f t="shared" si="37"/>
        <v>19811.088335999997</v>
      </c>
      <c r="BG30" s="4">
        <f t="shared" si="38"/>
        <v>2515.1699781353741</v>
      </c>
      <c r="BH30" s="4">
        <f t="shared" si="39"/>
        <v>340.30249804171615</v>
      </c>
      <c r="BI30" s="4">
        <f t="shared" si="40"/>
        <v>29.696913752239197</v>
      </c>
      <c r="BJ30" s="4">
        <f t="shared" si="41"/>
        <v>2712.8300218646255</v>
      </c>
      <c r="BK30" s="4">
        <f t="shared" si="42"/>
        <v>367.04590195828382</v>
      </c>
      <c r="BL30" s="4">
        <f t="shared" si="43"/>
        <v>32.030709607759491</v>
      </c>
      <c r="BM30" s="4">
        <f t="shared" si="44"/>
        <v>62687.169978135375</v>
      </c>
      <c r="BN30" s="4">
        <f t="shared" si="45"/>
        <v>2507.486799125415</v>
      </c>
      <c r="BO30" s="4">
        <f t="shared" si="46"/>
        <v>2507.486799125415</v>
      </c>
      <c r="BP30" s="4">
        <f t="shared" si="47"/>
        <v>339.26296392166864</v>
      </c>
      <c r="BQ30" s="4">
        <f t="shared" si="48"/>
        <v>74015.493839224175</v>
      </c>
      <c r="BR30" s="4">
        <f t="shared" si="49"/>
        <v>19808.663823927927</v>
      </c>
      <c r="BS30" s="4">
        <f t="shared" si="50"/>
        <v>29.606197535689716</v>
      </c>
      <c r="BT30" s="4">
        <f t="shared" si="51"/>
        <v>71168.744076177085</v>
      </c>
      <c r="BU30" s="4">
        <f t="shared" si="52"/>
        <v>74248.62</v>
      </c>
      <c r="BV30" s="7">
        <f t="shared" si="53"/>
        <v>668237.57999999996</v>
      </c>
      <c r="BW30" s="7">
        <f t="shared" si="54"/>
        <v>519791.16041067755</v>
      </c>
    </row>
    <row r="31" spans="1:75" x14ac:dyDescent="0.3">
      <c r="A31" s="3">
        <f t="shared" si="0"/>
        <v>27</v>
      </c>
      <c r="B31" t="str">
        <f>INDEX(Employees!$A:$A,A31+1)</f>
        <v>E027</v>
      </c>
      <c r="C31" t="str">
        <f>INDEX(Employees!$A:$Z,MATCH(B31,Employees!$A:$A,0),MATCH("category",Employees!$1:$1,0))</f>
        <v>Engineering</v>
      </c>
      <c r="D31" t="str">
        <f>INDEX(Employees!$A:$Z,MATCH(B31,Employees!$A:$A,0),MATCH("gender",Employees!$1:$1,0))</f>
        <v>M</v>
      </c>
      <c r="E31" s="3">
        <f>INDEX(Employees!$A:$Z,MATCH(B31,Employees!$A:$A,0),MATCH("grade",Employees!$1:$1,0))</f>
        <v>7</v>
      </c>
      <c r="F31" s="3">
        <f>INDEX(Employees!$A:$Z,MATCH(B31,Employees!$A:$A,0),MATCH("rating",Employees!$1:$1,0))</f>
        <v>3</v>
      </c>
      <c r="G31" s="22">
        <f>INDEX(Employees!$A:$Z,MATCH(B31,Employees!$A:$A,0),MATCH("hire_date",Employees!$1:$1,0))</f>
        <v>44725</v>
      </c>
      <c r="H31" s="22">
        <f>INDEX(Employees!$A:$Z,MATCH(B31,Employees!$A:$A,0),MATCH("last_change_date",Employees!$1:$1,0))</f>
        <v>46113</v>
      </c>
      <c r="I31" s="4">
        <f>INDEX(Employees!$A:$Z,MATCH(B31,Employees!$A:$A,0),MATCH("base_salary",Employees!$1:$1,0))</f>
        <v>50371.31</v>
      </c>
      <c r="J31" s="5">
        <f>INDEX(Employees!$A:$Z,MATCH(B31,Employees!$A:$A,0),MATCH("bonus_pct",Employees!$1:$1,0))/100</f>
        <v>0.14449999999999999</v>
      </c>
      <c r="K31" s="7">
        <f>INDEX(Employees!$A:$Z,MATCH(B31,Employees!$A:$A,0),MATCH("fte",Employees!$1:$1,0))</f>
        <v>1</v>
      </c>
      <c r="L31" s="3">
        <f>IF(ISNA(MATCH(C31&amp;"|"&amp;E31,Bands!$F:$F,0)),0,1)</f>
        <v>1</v>
      </c>
      <c r="M31" s="4">
        <f>INDEX(Bands!$C:$C,MATCH(C31&amp;"|"&amp;E31,Bands!$F:$F,0))</f>
        <v>41600</v>
      </c>
      <c r="N31" s="4">
        <f>INDEX(Bands!$D:$D,MATCH(C31&amp;"|"&amp;E31,Bands!$F:$F,0))</f>
        <v>49900</v>
      </c>
      <c r="O31" s="4">
        <f>INDEX(Bands!$E:$E,MATCH(C31&amp;"|"&amp;E31,Bands!$F:$F,0))</f>
        <v>58200</v>
      </c>
      <c r="P31" s="7">
        <f t="shared" si="1"/>
        <v>4.7994524298425736</v>
      </c>
      <c r="Q31" s="4">
        <f t="shared" si="2"/>
        <v>57649.964294999998</v>
      </c>
      <c r="R31" s="7">
        <f t="shared" si="3"/>
        <v>49</v>
      </c>
      <c r="S31" s="7">
        <f t="shared" si="4"/>
        <v>23.034743626321784</v>
      </c>
      <c r="T31" s="7">
        <f t="shared" si="5"/>
        <v>33.596167008898014</v>
      </c>
      <c r="U31" s="7">
        <f t="shared" si="6"/>
        <v>403549.75006499997</v>
      </c>
      <c r="V31" s="7">
        <f t="shared" si="7"/>
        <v>276688.26121597533</v>
      </c>
      <c r="W31" s="4">
        <f t="shared" si="8"/>
        <v>57649.96</v>
      </c>
      <c r="X31" s="3">
        <f t="shared" si="9"/>
        <v>9</v>
      </c>
      <c r="Y31" s="4">
        <f>INDEX(Categories!$AH:$AH,MATCH(C31,Categories!$A:$A,0))</f>
        <v>71955.39427199999</v>
      </c>
      <c r="Z31" s="3">
        <f>IF(AND(D31="F",Q31&lt;Y31,INDEX(Categories!$AI:$AI,MATCH(C31,Categories!$A:$A,0))&gt;0),1,0)</f>
        <v>0</v>
      </c>
      <c r="AA31" s="4">
        <f t="shared" si="10"/>
        <v>0</v>
      </c>
      <c r="AB31" s="4">
        <f>IF(Z31=1,INDEX(Categories!$AI:$AI,MATCH(C31,Categories!$A:$A,0))*AA31/INDEX(Categories!$AJ:$AJ,MATCH(C31,Categories!$A:$A,0)),0)</f>
        <v>0</v>
      </c>
      <c r="AC31" s="4">
        <f t="shared" si="11"/>
        <v>0</v>
      </c>
      <c r="AD31" s="4">
        <f t="shared" si="12"/>
        <v>50371.31</v>
      </c>
      <c r="AE31" s="3">
        <f t="shared" si="13"/>
        <v>0</v>
      </c>
      <c r="AF31" s="3">
        <f t="shared" si="14"/>
        <v>57</v>
      </c>
      <c r="AG31" s="3">
        <f t="shared" si="15"/>
        <v>12</v>
      </c>
      <c r="AH31" s="3">
        <f t="shared" si="16"/>
        <v>1</v>
      </c>
      <c r="AI31" s="5">
        <f t="shared" si="17"/>
        <v>1.0094450901803607</v>
      </c>
      <c r="AJ31" s="3">
        <f>MATCH(AI31,Inputs!$B$31:$B$34,1)</f>
        <v>3</v>
      </c>
      <c r="AK31" s="5">
        <f>INDEX(Inputs!$C$21:$C$25,MATCH(F31,Inputs!$A$21:$A$25,0))</f>
        <v>1</v>
      </c>
      <c r="AL31" s="5">
        <f>INDEX(Inputs!$D$21:$D$25,MATCH(F31,Inputs!$A$21:$A$25,0))</f>
        <v>0</v>
      </c>
      <c r="AM31" s="4">
        <f t="shared" si="18"/>
        <v>49900</v>
      </c>
      <c r="AN31" s="4">
        <f t="shared" si="19"/>
        <v>0</v>
      </c>
      <c r="AO31" s="3">
        <f t="shared" si="20"/>
        <v>1</v>
      </c>
      <c r="AP31" s="4">
        <f t="shared" si="21"/>
        <v>15111.392999999998</v>
      </c>
      <c r="AQ31" s="4">
        <f t="shared" si="22"/>
        <v>0</v>
      </c>
      <c r="AR31" s="4">
        <f t="shared" si="23"/>
        <v>0</v>
      </c>
      <c r="AS31" s="3">
        <f t="shared" si="24"/>
        <v>0</v>
      </c>
      <c r="AT31" s="4">
        <f t="shared" si="25"/>
        <v>0</v>
      </c>
      <c r="AU31" s="4">
        <f t="shared" si="26"/>
        <v>7828.6900000000023</v>
      </c>
      <c r="AV31" s="4">
        <f t="shared" si="27"/>
        <v>0</v>
      </c>
      <c r="AW31" s="4">
        <f t="shared" si="28"/>
        <v>0</v>
      </c>
      <c r="AX31" s="5">
        <f t="shared" si="29"/>
        <v>0</v>
      </c>
      <c r="AY31" s="4">
        <f t="shared" si="30"/>
        <v>50371.31</v>
      </c>
      <c r="AZ31" s="3">
        <f t="shared" si="31"/>
        <v>0</v>
      </c>
      <c r="BA31" s="4">
        <f t="shared" si="32"/>
        <v>57649.964294999998</v>
      </c>
      <c r="BB31" s="4">
        <f t="shared" si="33"/>
        <v>18534.463520842499</v>
      </c>
      <c r="BC31" s="4">
        <f t="shared" si="34"/>
        <v>57649.964294999998</v>
      </c>
      <c r="BD31" s="4">
        <f t="shared" si="35"/>
        <v>18534.463520842499</v>
      </c>
      <c r="BE31" s="4">
        <f t="shared" si="36"/>
        <v>57649.964294999998</v>
      </c>
      <c r="BF31" s="4">
        <f t="shared" si="37"/>
        <v>18534.463520842499</v>
      </c>
      <c r="BG31" s="4">
        <f t="shared" si="38"/>
        <v>0</v>
      </c>
      <c r="BH31" s="4">
        <f t="shared" si="39"/>
        <v>0</v>
      </c>
      <c r="BI31" s="4">
        <f t="shared" si="40"/>
        <v>0</v>
      </c>
      <c r="BJ31" s="4">
        <f t="shared" si="41"/>
        <v>0</v>
      </c>
      <c r="BK31" s="4">
        <f t="shared" si="42"/>
        <v>0</v>
      </c>
      <c r="BL31" s="4">
        <f t="shared" si="43"/>
        <v>0</v>
      </c>
      <c r="BM31" s="4">
        <f t="shared" si="44"/>
        <v>50371.31</v>
      </c>
      <c r="BN31" s="4">
        <f t="shared" si="45"/>
        <v>2014.8524</v>
      </c>
      <c r="BO31" s="4">
        <f t="shared" si="46"/>
        <v>2014.8524</v>
      </c>
      <c r="BP31" s="4">
        <f t="shared" si="47"/>
        <v>291.14617179999999</v>
      </c>
      <c r="BQ31" s="4">
        <f t="shared" si="48"/>
        <v>59955.962866800008</v>
      </c>
      <c r="BR31" s="4">
        <f t="shared" si="49"/>
        <v>19275.842061676201</v>
      </c>
      <c r="BS31" s="4">
        <f t="shared" si="50"/>
        <v>741.37854083370257</v>
      </c>
      <c r="BT31" s="4">
        <f t="shared" si="51"/>
        <v>57649.964294999998</v>
      </c>
      <c r="BU31" s="4">
        <f t="shared" si="52"/>
        <v>57649.964294999998</v>
      </c>
      <c r="BV31" s="7">
        <f t="shared" si="53"/>
        <v>403549.75006499997</v>
      </c>
      <c r="BW31" s="7">
        <f t="shared" si="54"/>
        <v>276688.26121597533</v>
      </c>
    </row>
    <row r="32" spans="1:75" x14ac:dyDescent="0.3">
      <c r="A32" s="3">
        <f t="shared" si="0"/>
        <v>28</v>
      </c>
      <c r="B32" t="str">
        <f>INDEX(Employees!$A:$A,A32+1)</f>
        <v>E028</v>
      </c>
      <c r="C32" t="str">
        <f>INDEX(Employees!$A:$Z,MATCH(B32,Employees!$A:$A,0),MATCH("category",Employees!$1:$1,0))</f>
        <v>Engineering</v>
      </c>
      <c r="D32" t="str">
        <f>INDEX(Employees!$A:$Z,MATCH(B32,Employees!$A:$A,0),MATCH("gender",Employees!$1:$1,0))</f>
        <v>F</v>
      </c>
      <c r="E32" s="3">
        <f>INDEX(Employees!$A:$Z,MATCH(B32,Employees!$A:$A,0),MATCH("grade",Employees!$1:$1,0))</f>
        <v>8</v>
      </c>
      <c r="F32" s="3">
        <f>INDEX(Employees!$A:$Z,MATCH(B32,Employees!$A:$A,0),MATCH("rating",Employees!$1:$1,0))</f>
        <v>4</v>
      </c>
      <c r="G32" s="22">
        <f>INDEX(Employees!$A:$Z,MATCH(B32,Employees!$A:$A,0),MATCH("hire_date",Employees!$1:$1,0))</f>
        <v>44944</v>
      </c>
      <c r="H32" s="22">
        <f>INDEX(Employees!$A:$Z,MATCH(B32,Employees!$A:$A,0),MATCH("last_change_date",Employees!$1:$1,0))</f>
        <v>46113</v>
      </c>
      <c r="I32" s="4">
        <f>INDEX(Employees!$A:$Z,MATCH(B32,Employees!$A:$A,0),MATCH("base_salary",Employees!$1:$1,0))</f>
        <v>50920.11</v>
      </c>
      <c r="J32" s="5">
        <f>INDEX(Employees!$A:$Z,MATCH(B32,Employees!$A:$A,0),MATCH("bonus_pct",Employees!$1:$1,0))/100</f>
        <v>9.4700000000000006E-2</v>
      </c>
      <c r="K32" s="7">
        <f>INDEX(Employees!$A:$Z,MATCH(B32,Employees!$A:$A,0),MATCH("fte",Employees!$1:$1,0))</f>
        <v>1</v>
      </c>
      <c r="L32" s="3">
        <f>IF(ISNA(MATCH(C32&amp;"|"&amp;E32,Bands!$F:$F,0)),0,1)</f>
        <v>1</v>
      </c>
      <c r="M32" s="4">
        <f>INDEX(Bands!$C:$C,MATCH(C32&amp;"|"&amp;E32,Bands!$F:$F,0))</f>
        <v>47700</v>
      </c>
      <c r="N32" s="4">
        <f>INDEX(Bands!$D:$D,MATCH(C32&amp;"|"&amp;E32,Bands!$F:$F,0))</f>
        <v>57200</v>
      </c>
      <c r="O32" s="4">
        <f>INDEX(Bands!$E:$E,MATCH(C32&amp;"|"&amp;E32,Bands!$F:$F,0))</f>
        <v>66800</v>
      </c>
      <c r="P32" s="7">
        <f t="shared" si="1"/>
        <v>4.1998631074606436</v>
      </c>
      <c r="Q32" s="4">
        <f t="shared" si="2"/>
        <v>55742.244417000002</v>
      </c>
      <c r="R32" s="7">
        <f t="shared" si="3"/>
        <v>64</v>
      </c>
      <c r="S32" s="7">
        <f t="shared" si="4"/>
        <v>17.638850121408975</v>
      </c>
      <c r="T32" s="7">
        <f t="shared" si="5"/>
        <v>33.598904859685149</v>
      </c>
      <c r="U32" s="7">
        <f t="shared" si="6"/>
        <v>445937.95533600001</v>
      </c>
      <c r="V32" s="7">
        <f t="shared" si="7"/>
        <v>234109.79585401234</v>
      </c>
      <c r="W32" s="4">
        <f t="shared" si="8"/>
        <v>55742.239999999998</v>
      </c>
      <c r="X32" s="3">
        <f t="shared" si="9"/>
        <v>8</v>
      </c>
      <c r="Y32" s="4">
        <f>INDEX(Categories!$AH:$AH,MATCH(C32,Categories!$A:$A,0))</f>
        <v>71955.39427199999</v>
      </c>
      <c r="Z32" s="3">
        <f>IF(AND(D32="F",Q32&lt;Y32,INDEX(Categories!$AI:$AI,MATCH(C32,Categories!$A:$A,0))&gt;0),1,0)</f>
        <v>1</v>
      </c>
      <c r="AA32" s="4">
        <f t="shared" si="10"/>
        <v>16213.149854999989</v>
      </c>
      <c r="AB32" s="4">
        <f>IF(Z32=1,INDEX(Categories!$AI:$AI,MATCH(C32,Categories!$A:$A,0))*AA32/INDEX(Categories!$AJ:$AJ,MATCH(C32,Categories!$A:$A,0)),0)</f>
        <v>12711.324502879643</v>
      </c>
      <c r="AC32" s="4">
        <f t="shared" si="11"/>
        <v>11611.696814542471</v>
      </c>
      <c r="AD32" s="4">
        <f t="shared" si="12"/>
        <v>62531.80681454247</v>
      </c>
      <c r="AE32" s="3">
        <f t="shared" si="13"/>
        <v>0</v>
      </c>
      <c r="AF32" s="3">
        <f t="shared" si="14"/>
        <v>50</v>
      </c>
      <c r="AG32" s="3">
        <f t="shared" si="15"/>
        <v>12</v>
      </c>
      <c r="AH32" s="3">
        <f t="shared" si="16"/>
        <v>1</v>
      </c>
      <c r="AI32" s="5">
        <f t="shared" si="17"/>
        <v>1.0932134058486447</v>
      </c>
      <c r="AJ32" s="3">
        <f>MATCH(AI32,Inputs!$B$31:$B$34,1)</f>
        <v>3</v>
      </c>
      <c r="AK32" s="5">
        <f>INDEX(Inputs!$C$21:$C$25,MATCH(F32,Inputs!$A$21:$A$25,0))</f>
        <v>1.05</v>
      </c>
      <c r="AL32" s="5">
        <f>INDEX(Inputs!$D$21:$D$25,MATCH(F32,Inputs!$A$21:$A$25,0))</f>
        <v>0.01</v>
      </c>
      <c r="AM32" s="4">
        <f t="shared" si="18"/>
        <v>60060</v>
      </c>
      <c r="AN32" s="4">
        <f t="shared" si="19"/>
        <v>0</v>
      </c>
      <c r="AO32" s="3">
        <f t="shared" si="20"/>
        <v>1</v>
      </c>
      <c r="AP32" s="4">
        <f t="shared" si="21"/>
        <v>18759.542044362741</v>
      </c>
      <c r="AQ32" s="4">
        <f t="shared" si="22"/>
        <v>625.31806814542472</v>
      </c>
      <c r="AR32" s="4">
        <f t="shared" si="23"/>
        <v>625.31806814542472</v>
      </c>
      <c r="AS32" s="3">
        <f t="shared" si="24"/>
        <v>0</v>
      </c>
      <c r="AT32" s="4">
        <f t="shared" si="25"/>
        <v>625.31806814542472</v>
      </c>
      <c r="AU32" s="4">
        <f t="shared" si="26"/>
        <v>4268.1931854575305</v>
      </c>
      <c r="AV32" s="4">
        <f t="shared" si="27"/>
        <v>625.31806814542472</v>
      </c>
      <c r="AW32" s="4">
        <f t="shared" si="28"/>
        <v>625.31806814542472</v>
      </c>
      <c r="AX32" s="5">
        <f t="shared" si="29"/>
        <v>0.01</v>
      </c>
      <c r="AY32" s="4">
        <f t="shared" si="30"/>
        <v>63157.124882687895</v>
      </c>
      <c r="AZ32" s="3">
        <f t="shared" si="31"/>
        <v>0</v>
      </c>
      <c r="BA32" s="4">
        <f t="shared" si="32"/>
        <v>55742.244417000002</v>
      </c>
      <c r="BB32" s="4">
        <f t="shared" si="33"/>
        <v>17921.131580065499</v>
      </c>
      <c r="BC32" s="4">
        <f t="shared" si="34"/>
        <v>68453.568919879646</v>
      </c>
      <c r="BD32" s="4">
        <f t="shared" si="35"/>
        <v>19750.819804766747</v>
      </c>
      <c r="BE32" s="4">
        <f t="shared" si="36"/>
        <v>69138.104609078437</v>
      </c>
      <c r="BF32" s="4">
        <f t="shared" si="37"/>
        <v>19757.938975934412</v>
      </c>
      <c r="BG32" s="4">
        <f t="shared" si="38"/>
        <v>11611.696814542471</v>
      </c>
      <c r="BH32" s="4">
        <f t="shared" si="39"/>
        <v>1099.627688337172</v>
      </c>
      <c r="BI32" s="4">
        <f t="shared" si="40"/>
        <v>1829.6882247012472</v>
      </c>
      <c r="BJ32" s="4">
        <f t="shared" si="41"/>
        <v>625.31806814542472</v>
      </c>
      <c r="BK32" s="4">
        <f t="shared" si="42"/>
        <v>59.217621053371722</v>
      </c>
      <c r="BL32" s="4">
        <f t="shared" si="43"/>
        <v>7.1191711676656269</v>
      </c>
      <c r="BM32" s="4">
        <f t="shared" si="44"/>
        <v>62531.80681454247</v>
      </c>
      <c r="BN32" s="4">
        <f t="shared" si="45"/>
        <v>2501.2722725816989</v>
      </c>
      <c r="BO32" s="4">
        <f t="shared" si="46"/>
        <v>2501.2722725816989</v>
      </c>
      <c r="BP32" s="4">
        <f t="shared" si="47"/>
        <v>236.87048421348689</v>
      </c>
      <c r="BQ32" s="4">
        <f t="shared" si="48"/>
        <v>71191.711676674822</v>
      </c>
      <c r="BR32" s="4">
        <f t="shared" si="49"/>
        <v>19779.296489437416</v>
      </c>
      <c r="BS32" s="4">
        <f t="shared" si="50"/>
        <v>28.476684670669783</v>
      </c>
      <c r="BT32" s="4">
        <f t="shared" si="51"/>
        <v>68453.568919879646</v>
      </c>
      <c r="BU32" s="4">
        <f t="shared" si="52"/>
        <v>69138.104609078437</v>
      </c>
      <c r="BV32" s="7">
        <f t="shared" si="53"/>
        <v>553104.83687262749</v>
      </c>
      <c r="BW32" s="7">
        <f t="shared" si="54"/>
        <v>290370.57486742322</v>
      </c>
    </row>
    <row r="33" spans="1:75" x14ac:dyDescent="0.3">
      <c r="A33" s="3">
        <f t="shared" si="0"/>
        <v>29</v>
      </c>
      <c r="B33" t="str">
        <f>INDEX(Employees!$A:$A,A33+1)</f>
        <v>E029</v>
      </c>
      <c r="C33" t="str">
        <f>INDEX(Employees!$A:$Z,MATCH(B33,Employees!$A:$A,0),MATCH("category",Employees!$1:$1,0))</f>
        <v>Engineering</v>
      </c>
      <c r="D33" t="str">
        <f>INDEX(Employees!$A:$Z,MATCH(B33,Employees!$A:$A,0),MATCH("gender",Employees!$1:$1,0))</f>
        <v>M</v>
      </c>
      <c r="E33" s="3">
        <f>INDEX(Employees!$A:$Z,MATCH(B33,Employees!$A:$A,0),MATCH("grade",Employees!$1:$1,0))</f>
        <v>11</v>
      </c>
      <c r="F33" s="3">
        <f>INDEX(Employees!$A:$Z,MATCH(B33,Employees!$A:$A,0),MATCH("rating",Employees!$1:$1,0))</f>
        <v>4</v>
      </c>
      <c r="G33" s="22">
        <f>INDEX(Employees!$A:$Z,MATCH(B33,Employees!$A:$A,0),MATCH("hire_date",Employees!$1:$1,0))</f>
        <v>43446</v>
      </c>
      <c r="H33" s="22">
        <f>INDEX(Employees!$A:$Z,MATCH(B33,Employees!$A:$A,0),MATCH("last_change_date",Employees!$1:$1,0))</f>
        <v>46113</v>
      </c>
      <c r="I33" s="4">
        <f>INDEX(Employees!$A:$Z,MATCH(B33,Employees!$A:$A,0),MATCH("base_salary",Employees!$1:$1,0))</f>
        <v>84421.92</v>
      </c>
      <c r="J33" s="5">
        <f>INDEX(Employees!$A:$Z,MATCH(B33,Employees!$A:$A,0),MATCH("bonus_pct",Employees!$1:$1,0))/100</f>
        <v>0.13619999999999999</v>
      </c>
      <c r="K33" s="7">
        <f>INDEX(Employees!$A:$Z,MATCH(B33,Employees!$A:$A,0),MATCH("fte",Employees!$1:$1,0))</f>
        <v>1</v>
      </c>
      <c r="L33" s="3">
        <f>IF(ISNA(MATCH(C33&amp;"|"&amp;E33,Bands!$F:$F,0)),0,1)</f>
        <v>1</v>
      </c>
      <c r="M33" s="4">
        <f>INDEX(Bands!$C:$C,MATCH(C33&amp;"|"&amp;E33,Bands!$F:$F,0))</f>
        <v>68400</v>
      </c>
      <c r="N33" s="4">
        <f>INDEX(Bands!$D:$D,MATCH(C33&amp;"|"&amp;E33,Bands!$F:$F,0))</f>
        <v>85500</v>
      </c>
      <c r="O33" s="4">
        <f>INDEX(Bands!$E:$E,MATCH(C33&amp;"|"&amp;E33,Bands!$F:$F,0))</f>
        <v>102600</v>
      </c>
      <c r="P33" s="7">
        <f t="shared" si="1"/>
        <v>8.301163586584531</v>
      </c>
      <c r="Q33" s="4">
        <f t="shared" si="2"/>
        <v>95920.185504000008</v>
      </c>
      <c r="R33" s="7">
        <f t="shared" si="3"/>
        <v>121</v>
      </c>
      <c r="S33" s="7">
        <f t="shared" si="4"/>
        <v>68.909316891236955</v>
      </c>
      <c r="T33" s="7">
        <f t="shared" si="5"/>
        <v>91.312799452429843</v>
      </c>
      <c r="U33" s="7">
        <f t="shared" si="6"/>
        <v>1055122.040544</v>
      </c>
      <c r="V33" s="7">
        <f t="shared" si="7"/>
        <v>796249.15112423827</v>
      </c>
      <c r="W33" s="4">
        <f t="shared" si="8"/>
        <v>95920.19</v>
      </c>
      <c r="X33" s="3">
        <f t="shared" si="9"/>
        <v>43</v>
      </c>
      <c r="Y33" s="4">
        <f>INDEX(Categories!$AH:$AH,MATCH(C33,Categories!$A:$A,0))</f>
        <v>71955.39427199999</v>
      </c>
      <c r="Z33" s="3">
        <f>IF(AND(D33="F",Q33&lt;Y33,INDEX(Categories!$AI:$AI,MATCH(C33,Categories!$A:$A,0))&gt;0),1,0)</f>
        <v>0</v>
      </c>
      <c r="AA33" s="4">
        <f t="shared" si="10"/>
        <v>0</v>
      </c>
      <c r="AB33" s="4">
        <f>IF(Z33=1,INDEX(Categories!$AI:$AI,MATCH(C33,Categories!$A:$A,0))*AA33/INDEX(Categories!$AJ:$AJ,MATCH(C33,Categories!$A:$A,0)),0)</f>
        <v>0</v>
      </c>
      <c r="AC33" s="4">
        <f t="shared" si="11"/>
        <v>0</v>
      </c>
      <c r="AD33" s="4">
        <f t="shared" si="12"/>
        <v>84421.92</v>
      </c>
      <c r="AE33" s="3">
        <f t="shared" si="13"/>
        <v>0</v>
      </c>
      <c r="AF33" s="3">
        <f t="shared" si="14"/>
        <v>99</v>
      </c>
      <c r="AG33" s="3">
        <f t="shared" si="15"/>
        <v>12</v>
      </c>
      <c r="AH33" s="3">
        <f t="shared" si="16"/>
        <v>1</v>
      </c>
      <c r="AI33" s="5">
        <f t="shared" si="17"/>
        <v>0.98739087719298246</v>
      </c>
      <c r="AJ33" s="3">
        <f>MATCH(AI33,Inputs!$B$31:$B$34,1)</f>
        <v>2</v>
      </c>
      <c r="AK33" s="5">
        <f>INDEX(Inputs!$C$21:$C$25,MATCH(F33,Inputs!$A$21:$A$25,0))</f>
        <v>1.05</v>
      </c>
      <c r="AL33" s="5">
        <f>INDEX(Inputs!$D$21:$D$25,MATCH(F33,Inputs!$A$21:$A$25,0))</f>
        <v>0.01</v>
      </c>
      <c r="AM33" s="4">
        <f t="shared" si="18"/>
        <v>89775</v>
      </c>
      <c r="AN33" s="4">
        <f t="shared" si="19"/>
        <v>5353.0800000000017</v>
      </c>
      <c r="AO33" s="3">
        <f t="shared" si="20"/>
        <v>1</v>
      </c>
      <c r="AP33" s="4">
        <f t="shared" si="21"/>
        <v>25326.575999999997</v>
      </c>
      <c r="AQ33" s="4">
        <f t="shared" si="22"/>
        <v>844.2192</v>
      </c>
      <c r="AR33" s="4">
        <f t="shared" si="23"/>
        <v>5353.0800000000017</v>
      </c>
      <c r="AS33" s="3">
        <f t="shared" si="24"/>
        <v>0</v>
      </c>
      <c r="AT33" s="4">
        <f t="shared" si="25"/>
        <v>5353.0800000000017</v>
      </c>
      <c r="AU33" s="4">
        <f t="shared" si="26"/>
        <v>18178.080000000002</v>
      </c>
      <c r="AV33" s="4">
        <f t="shared" si="27"/>
        <v>5353.0800000000017</v>
      </c>
      <c r="AW33" s="4">
        <f t="shared" si="28"/>
        <v>5353.0800000000017</v>
      </c>
      <c r="AX33" s="5">
        <f t="shared" si="29"/>
        <v>6.3408650265239189E-2</v>
      </c>
      <c r="AY33" s="4">
        <f t="shared" si="30"/>
        <v>89775</v>
      </c>
      <c r="AZ33" s="3">
        <f t="shared" si="31"/>
        <v>0</v>
      </c>
      <c r="BA33" s="4">
        <f t="shared" si="32"/>
        <v>95920.185504000008</v>
      </c>
      <c r="BB33" s="4">
        <f t="shared" si="33"/>
        <v>20043.850071148798</v>
      </c>
      <c r="BC33" s="4">
        <f t="shared" si="34"/>
        <v>95920.185504000008</v>
      </c>
      <c r="BD33" s="4">
        <f t="shared" si="35"/>
        <v>20043.850071148798</v>
      </c>
      <c r="BE33" s="4">
        <f t="shared" si="36"/>
        <v>102002.35500000001</v>
      </c>
      <c r="BF33" s="4">
        <f t="shared" si="37"/>
        <v>20118.052538999997</v>
      </c>
      <c r="BG33" s="4">
        <f t="shared" si="38"/>
        <v>0</v>
      </c>
      <c r="BH33" s="4">
        <f t="shared" si="39"/>
        <v>0</v>
      </c>
      <c r="BI33" s="4">
        <f t="shared" si="40"/>
        <v>0</v>
      </c>
      <c r="BJ33" s="4">
        <f t="shared" si="41"/>
        <v>5353.0800000000017</v>
      </c>
      <c r="BK33" s="4">
        <f t="shared" si="42"/>
        <v>729.08949600000017</v>
      </c>
      <c r="BL33" s="4">
        <f t="shared" si="43"/>
        <v>74.20246785119889</v>
      </c>
      <c r="BM33" s="4">
        <f t="shared" si="44"/>
        <v>84421.92</v>
      </c>
      <c r="BN33" s="4">
        <f t="shared" si="45"/>
        <v>3376.8768</v>
      </c>
      <c r="BO33" s="4">
        <f t="shared" si="46"/>
        <v>3376.8768</v>
      </c>
      <c r="BP33" s="4">
        <f t="shared" si="47"/>
        <v>459.93062015999993</v>
      </c>
      <c r="BQ33" s="4">
        <f t="shared" si="48"/>
        <v>99756.992924160004</v>
      </c>
      <c r="BR33" s="4">
        <f t="shared" si="49"/>
        <v>20090.659121674747</v>
      </c>
      <c r="BS33" s="4">
        <f t="shared" si="50"/>
        <v>46.809050525949715</v>
      </c>
      <c r="BT33" s="4">
        <f t="shared" si="51"/>
        <v>95920.185504000008</v>
      </c>
      <c r="BU33" s="4">
        <f t="shared" si="52"/>
        <v>102002.35500000001</v>
      </c>
      <c r="BV33" s="7">
        <f t="shared" si="53"/>
        <v>1122025.905</v>
      </c>
      <c r="BW33" s="7">
        <f t="shared" si="54"/>
        <v>846738.23507186864</v>
      </c>
    </row>
    <row r="34" spans="1:75" x14ac:dyDescent="0.3">
      <c r="A34" s="3">
        <f t="shared" si="0"/>
        <v>30</v>
      </c>
      <c r="B34" t="str">
        <f>INDEX(Employees!$A:$A,A34+1)</f>
        <v>E030</v>
      </c>
      <c r="C34" t="str">
        <f>INDEX(Employees!$A:$Z,MATCH(B34,Employees!$A:$A,0),MATCH("category",Employees!$1:$1,0))</f>
        <v>Engineering</v>
      </c>
      <c r="D34" t="str">
        <f>INDEX(Employees!$A:$Z,MATCH(B34,Employees!$A:$A,0),MATCH("gender",Employees!$1:$1,0))</f>
        <v>M</v>
      </c>
      <c r="E34" s="3">
        <f>INDEX(Employees!$A:$Z,MATCH(B34,Employees!$A:$A,0),MATCH("grade",Employees!$1:$1,0))</f>
        <v>10</v>
      </c>
      <c r="F34" s="3">
        <f>INDEX(Employees!$A:$Z,MATCH(B34,Employees!$A:$A,0),MATCH("rating",Employees!$1:$1,0))</f>
        <v>2</v>
      </c>
      <c r="G34" s="22">
        <f>INDEX(Employees!$A:$Z,MATCH(B34,Employees!$A:$A,0),MATCH("hire_date",Employees!$1:$1,0))</f>
        <v>43410</v>
      </c>
      <c r="H34" s="22">
        <f>INDEX(Employees!$A:$Z,MATCH(B34,Employees!$A:$A,0),MATCH("last_change_date",Employees!$1:$1,0))</f>
        <v>46113</v>
      </c>
      <c r="I34" s="4">
        <f>INDEX(Employees!$A:$Z,MATCH(B34,Employees!$A:$A,0),MATCH("base_salary",Employees!$1:$1,0))</f>
        <v>70060.03</v>
      </c>
      <c r="J34" s="5">
        <f>INDEX(Employees!$A:$Z,MATCH(B34,Employees!$A:$A,0),MATCH("bonus_pct",Employees!$1:$1,0))/100</f>
        <v>0.13159999999999999</v>
      </c>
      <c r="K34" s="7">
        <f>INDEX(Employees!$A:$Z,MATCH(B34,Employees!$A:$A,0),MATCH("fte",Employees!$1:$1,0))</f>
        <v>1</v>
      </c>
      <c r="L34" s="3">
        <f>IF(ISNA(MATCH(C34&amp;"|"&amp;E34,Bands!$F:$F,0)),0,1)</f>
        <v>1</v>
      </c>
      <c r="M34" s="4">
        <f>INDEX(Bands!$C:$C,MATCH(C34&amp;"|"&amp;E34,Bands!$F:$F,0))</f>
        <v>59800</v>
      </c>
      <c r="N34" s="4">
        <f>INDEX(Bands!$D:$D,MATCH(C34&amp;"|"&amp;E34,Bands!$F:$F,0))</f>
        <v>74800</v>
      </c>
      <c r="O34" s="4">
        <f>INDEX(Bands!$E:$E,MATCH(C34&amp;"|"&amp;E34,Bands!$F:$F,0))</f>
        <v>89700</v>
      </c>
      <c r="P34" s="7">
        <f t="shared" si="1"/>
        <v>8.3997262149212872</v>
      </c>
      <c r="Q34" s="4">
        <f t="shared" si="2"/>
        <v>79279.92994799999</v>
      </c>
      <c r="R34" s="7">
        <f t="shared" si="3"/>
        <v>100</v>
      </c>
      <c r="S34" s="7">
        <f t="shared" si="4"/>
        <v>70.5554004856359</v>
      </c>
      <c r="T34" s="7">
        <f t="shared" si="5"/>
        <v>83.997262149212872</v>
      </c>
      <c r="U34" s="7">
        <f t="shared" si="6"/>
        <v>792799.29947999993</v>
      </c>
      <c r="V34" s="7">
        <f t="shared" si="7"/>
        <v>665929.70590133872</v>
      </c>
      <c r="W34" s="4">
        <f t="shared" si="8"/>
        <v>79279.929999999993</v>
      </c>
      <c r="X34" s="3">
        <f t="shared" si="9"/>
        <v>31</v>
      </c>
      <c r="Y34" s="4">
        <f>INDEX(Categories!$AH:$AH,MATCH(C34,Categories!$A:$A,0))</f>
        <v>71955.39427199999</v>
      </c>
      <c r="Z34" s="3">
        <f>IF(AND(D34="F",Q34&lt;Y34,INDEX(Categories!$AI:$AI,MATCH(C34,Categories!$A:$A,0))&gt;0),1,0)</f>
        <v>0</v>
      </c>
      <c r="AA34" s="4">
        <f t="shared" si="10"/>
        <v>0</v>
      </c>
      <c r="AB34" s="4">
        <f>IF(Z34=1,INDEX(Categories!$AI:$AI,MATCH(C34,Categories!$A:$A,0))*AA34/INDEX(Categories!$AJ:$AJ,MATCH(C34,Categories!$A:$A,0)),0)</f>
        <v>0</v>
      </c>
      <c r="AC34" s="4">
        <f t="shared" si="11"/>
        <v>0</v>
      </c>
      <c r="AD34" s="4">
        <f t="shared" si="12"/>
        <v>70060.03</v>
      </c>
      <c r="AE34" s="3">
        <f t="shared" si="13"/>
        <v>0</v>
      </c>
      <c r="AF34" s="3">
        <f t="shared" si="14"/>
        <v>100</v>
      </c>
      <c r="AG34" s="3">
        <f t="shared" si="15"/>
        <v>12</v>
      </c>
      <c r="AH34" s="3">
        <f t="shared" si="16"/>
        <v>1</v>
      </c>
      <c r="AI34" s="5">
        <f t="shared" si="17"/>
        <v>0.93663141711229947</v>
      </c>
      <c r="AJ34" s="3">
        <f>MATCH(AI34,Inputs!$B$31:$B$34,1)</f>
        <v>2</v>
      </c>
      <c r="AK34" s="5">
        <f>INDEX(Inputs!$C$21:$C$25,MATCH(F34,Inputs!$A$21:$A$25,0))</f>
        <v>0.95</v>
      </c>
      <c r="AL34" s="5">
        <f>INDEX(Inputs!$D$21:$D$25,MATCH(F34,Inputs!$A$21:$A$25,0))</f>
        <v>0</v>
      </c>
      <c r="AM34" s="4">
        <f t="shared" si="18"/>
        <v>71060</v>
      </c>
      <c r="AN34" s="4">
        <f t="shared" si="19"/>
        <v>999.97000000000116</v>
      </c>
      <c r="AO34" s="3">
        <f t="shared" si="20"/>
        <v>1</v>
      </c>
      <c r="AP34" s="4">
        <f t="shared" si="21"/>
        <v>21018.008999999998</v>
      </c>
      <c r="AQ34" s="4">
        <f t="shared" si="22"/>
        <v>0</v>
      </c>
      <c r="AR34" s="4">
        <f t="shared" si="23"/>
        <v>999.97000000000116</v>
      </c>
      <c r="AS34" s="3">
        <f t="shared" si="24"/>
        <v>0</v>
      </c>
      <c r="AT34" s="4">
        <f t="shared" si="25"/>
        <v>999.97000000000116</v>
      </c>
      <c r="AU34" s="4">
        <f t="shared" si="26"/>
        <v>19639.97</v>
      </c>
      <c r="AV34" s="4">
        <f t="shared" si="27"/>
        <v>999.97000000000116</v>
      </c>
      <c r="AW34" s="4">
        <f t="shared" si="28"/>
        <v>999.97000000000116</v>
      </c>
      <c r="AX34" s="5">
        <f t="shared" si="29"/>
        <v>1.4273045558216306E-2</v>
      </c>
      <c r="AY34" s="4">
        <f t="shared" si="30"/>
        <v>71060</v>
      </c>
      <c r="AZ34" s="3">
        <f t="shared" si="31"/>
        <v>0</v>
      </c>
      <c r="BA34" s="4">
        <f t="shared" si="32"/>
        <v>79279.92994799999</v>
      </c>
      <c r="BB34" s="4">
        <f t="shared" si="33"/>
        <v>19863.413959459198</v>
      </c>
      <c r="BC34" s="4">
        <f t="shared" si="34"/>
        <v>79279.92994799999</v>
      </c>
      <c r="BD34" s="4">
        <f t="shared" si="35"/>
        <v>19863.413959459198</v>
      </c>
      <c r="BE34" s="4">
        <f t="shared" si="36"/>
        <v>80411.495999999999</v>
      </c>
      <c r="BF34" s="4">
        <f t="shared" si="37"/>
        <v>19875.182246399996</v>
      </c>
      <c r="BG34" s="4">
        <f t="shared" si="38"/>
        <v>0</v>
      </c>
      <c r="BH34" s="4">
        <f t="shared" si="39"/>
        <v>0</v>
      </c>
      <c r="BI34" s="4">
        <f t="shared" si="40"/>
        <v>0</v>
      </c>
      <c r="BJ34" s="4">
        <f t="shared" si="41"/>
        <v>999.97000000000116</v>
      </c>
      <c r="BK34" s="4">
        <f t="shared" si="42"/>
        <v>131.59605200000016</v>
      </c>
      <c r="BL34" s="4">
        <f t="shared" si="43"/>
        <v>11.768286940798134</v>
      </c>
      <c r="BM34" s="4">
        <f t="shared" si="44"/>
        <v>70060.03</v>
      </c>
      <c r="BN34" s="4">
        <f t="shared" si="45"/>
        <v>2802.4011999999998</v>
      </c>
      <c r="BO34" s="4">
        <f t="shared" si="46"/>
        <v>2802.4011999999998</v>
      </c>
      <c r="BP34" s="4">
        <f t="shared" si="47"/>
        <v>368.79599791999993</v>
      </c>
      <c r="BQ34" s="4">
        <f t="shared" si="48"/>
        <v>82451.127145919992</v>
      </c>
      <c r="BR34" s="4">
        <f t="shared" si="49"/>
        <v>19896.394410317567</v>
      </c>
      <c r="BS34" s="4">
        <f t="shared" si="50"/>
        <v>32.980450858369295</v>
      </c>
      <c r="BT34" s="4">
        <f t="shared" si="51"/>
        <v>79279.92994799999</v>
      </c>
      <c r="BU34" s="4">
        <f t="shared" si="52"/>
        <v>80411.495999999999</v>
      </c>
      <c r="BV34" s="7">
        <f t="shared" si="53"/>
        <v>804114.96</v>
      </c>
      <c r="BW34" s="7">
        <f t="shared" si="54"/>
        <v>675434.55093223823</v>
      </c>
    </row>
    <row r="35" spans="1:75" x14ac:dyDescent="0.3">
      <c r="A35" s="3">
        <f t="shared" si="0"/>
        <v>31</v>
      </c>
      <c r="B35" t="str">
        <f>INDEX(Employees!$A:$A,A35+1)</f>
        <v>E031</v>
      </c>
      <c r="C35" t="str">
        <f>INDEX(Employees!$A:$Z,MATCH(B35,Employees!$A:$A,0),MATCH("category",Employees!$1:$1,0))</f>
        <v>Engineering</v>
      </c>
      <c r="D35" t="str">
        <f>INDEX(Employees!$A:$Z,MATCH(B35,Employees!$A:$A,0),MATCH("gender",Employees!$1:$1,0))</f>
        <v>M</v>
      </c>
      <c r="E35" s="3">
        <f>INDEX(Employees!$A:$Z,MATCH(B35,Employees!$A:$A,0),MATCH("grade",Employees!$1:$1,0))</f>
        <v>10</v>
      </c>
      <c r="F35" s="3">
        <f>INDEX(Employees!$A:$Z,MATCH(B35,Employees!$A:$A,0),MATCH("rating",Employees!$1:$1,0))</f>
        <v>4</v>
      </c>
      <c r="G35" s="22">
        <f>INDEX(Employees!$A:$Z,MATCH(B35,Employees!$A:$A,0),MATCH("hire_date",Employees!$1:$1,0))</f>
        <v>43775</v>
      </c>
      <c r="H35" s="22">
        <f>INDEX(Employees!$A:$Z,MATCH(B35,Employees!$A:$A,0),MATCH("last_change_date",Employees!$1:$1,0))</f>
        <v>46113</v>
      </c>
      <c r="I35" s="4">
        <f>INDEX(Employees!$A:$Z,MATCH(B35,Employees!$A:$A,0),MATCH("base_salary",Employees!$1:$1,0))</f>
        <v>68396.75</v>
      </c>
      <c r="J35" s="5">
        <f>INDEX(Employees!$A:$Z,MATCH(B35,Employees!$A:$A,0),MATCH("bonus_pct",Employees!$1:$1,0))/100</f>
        <v>0.14130000000000001</v>
      </c>
      <c r="K35" s="7">
        <f>INDEX(Employees!$A:$Z,MATCH(B35,Employees!$A:$A,0),MATCH("fte",Employees!$1:$1,0))</f>
        <v>1</v>
      </c>
      <c r="L35" s="3">
        <f>IF(ISNA(MATCH(C35&amp;"|"&amp;E35,Bands!$F:$F,0)),0,1)</f>
        <v>1</v>
      </c>
      <c r="M35" s="4">
        <f>INDEX(Bands!$C:$C,MATCH(C35&amp;"|"&amp;E35,Bands!$F:$F,0))</f>
        <v>59800</v>
      </c>
      <c r="N35" s="4">
        <f>INDEX(Bands!$D:$D,MATCH(C35&amp;"|"&amp;E35,Bands!$F:$F,0))</f>
        <v>74800</v>
      </c>
      <c r="O35" s="4">
        <f>INDEX(Bands!$E:$E,MATCH(C35&amp;"|"&amp;E35,Bands!$F:$F,0))</f>
        <v>89700</v>
      </c>
      <c r="P35" s="7">
        <f t="shared" si="1"/>
        <v>7.40041067761807</v>
      </c>
      <c r="Q35" s="4">
        <f t="shared" si="2"/>
        <v>78061.210775</v>
      </c>
      <c r="R35" s="7">
        <f t="shared" si="3"/>
        <v>100</v>
      </c>
      <c r="S35" s="7">
        <f t="shared" si="4"/>
        <v>54.766078197403544</v>
      </c>
      <c r="T35" s="7">
        <f t="shared" si="5"/>
        <v>74.004106776180706</v>
      </c>
      <c r="U35" s="7">
        <f t="shared" si="6"/>
        <v>780612.10774999997</v>
      </c>
      <c r="V35" s="7">
        <f t="shared" si="7"/>
        <v>577685.01772710471</v>
      </c>
      <c r="W35" s="4">
        <f t="shared" si="8"/>
        <v>78061.210000000006</v>
      </c>
      <c r="X35" s="3">
        <f t="shared" si="9"/>
        <v>27</v>
      </c>
      <c r="Y35" s="4">
        <f>INDEX(Categories!$AH:$AH,MATCH(C35,Categories!$A:$A,0))</f>
        <v>71955.39427199999</v>
      </c>
      <c r="Z35" s="3">
        <f>IF(AND(D35="F",Q35&lt;Y35,INDEX(Categories!$AI:$AI,MATCH(C35,Categories!$A:$A,0))&gt;0),1,0)</f>
        <v>0</v>
      </c>
      <c r="AA35" s="4">
        <f t="shared" si="10"/>
        <v>0</v>
      </c>
      <c r="AB35" s="4">
        <f>IF(Z35=1,INDEX(Categories!$AI:$AI,MATCH(C35,Categories!$A:$A,0))*AA35/INDEX(Categories!$AJ:$AJ,MATCH(C35,Categories!$A:$A,0)),0)</f>
        <v>0</v>
      </c>
      <c r="AC35" s="4">
        <f t="shared" si="11"/>
        <v>0</v>
      </c>
      <c r="AD35" s="4">
        <f t="shared" si="12"/>
        <v>68396.75</v>
      </c>
      <c r="AE35" s="3">
        <f t="shared" si="13"/>
        <v>0</v>
      </c>
      <c r="AF35" s="3">
        <f t="shared" si="14"/>
        <v>88</v>
      </c>
      <c r="AG35" s="3">
        <f t="shared" si="15"/>
        <v>12</v>
      </c>
      <c r="AH35" s="3">
        <f t="shared" si="16"/>
        <v>1</v>
      </c>
      <c r="AI35" s="5">
        <f t="shared" si="17"/>
        <v>0.91439505347593586</v>
      </c>
      <c r="AJ35" s="3">
        <f>MATCH(AI35,Inputs!$B$31:$B$34,1)</f>
        <v>2</v>
      </c>
      <c r="AK35" s="5">
        <f>INDEX(Inputs!$C$21:$C$25,MATCH(F35,Inputs!$A$21:$A$25,0))</f>
        <v>1.05</v>
      </c>
      <c r="AL35" s="5">
        <f>INDEX(Inputs!$D$21:$D$25,MATCH(F35,Inputs!$A$21:$A$25,0))</f>
        <v>0.01</v>
      </c>
      <c r="AM35" s="4">
        <f t="shared" si="18"/>
        <v>78540</v>
      </c>
      <c r="AN35" s="4">
        <f t="shared" si="19"/>
        <v>10143.25</v>
      </c>
      <c r="AO35" s="3">
        <f t="shared" si="20"/>
        <v>1</v>
      </c>
      <c r="AP35" s="4">
        <f t="shared" si="21"/>
        <v>20519.024999999998</v>
      </c>
      <c r="AQ35" s="4">
        <f t="shared" si="22"/>
        <v>683.96749999999997</v>
      </c>
      <c r="AR35" s="4">
        <f t="shared" si="23"/>
        <v>10143.25</v>
      </c>
      <c r="AS35" s="3">
        <f t="shared" si="24"/>
        <v>0</v>
      </c>
      <c r="AT35" s="4">
        <f t="shared" si="25"/>
        <v>10143.25</v>
      </c>
      <c r="AU35" s="4">
        <f t="shared" si="26"/>
        <v>21303.25</v>
      </c>
      <c r="AV35" s="4">
        <f t="shared" si="27"/>
        <v>10143.25</v>
      </c>
      <c r="AW35" s="4">
        <f t="shared" si="28"/>
        <v>10143.25</v>
      </c>
      <c r="AX35" s="5">
        <f t="shared" si="29"/>
        <v>0.14830017508141835</v>
      </c>
      <c r="AY35" s="4">
        <f t="shared" si="30"/>
        <v>78540</v>
      </c>
      <c r="AZ35" s="3">
        <f t="shared" si="31"/>
        <v>0</v>
      </c>
      <c r="BA35" s="4">
        <f t="shared" si="32"/>
        <v>78061.210775</v>
      </c>
      <c r="BB35" s="4">
        <f t="shared" si="33"/>
        <v>19850.739280059999</v>
      </c>
      <c r="BC35" s="4">
        <f t="shared" si="34"/>
        <v>78061.210775</v>
      </c>
      <c r="BD35" s="4">
        <f t="shared" si="35"/>
        <v>19850.739280059999</v>
      </c>
      <c r="BE35" s="4">
        <f t="shared" si="36"/>
        <v>89637.702000000005</v>
      </c>
      <c r="BF35" s="4">
        <f t="shared" si="37"/>
        <v>19971.134788799998</v>
      </c>
      <c r="BG35" s="4">
        <f t="shared" si="38"/>
        <v>0</v>
      </c>
      <c r="BH35" s="4">
        <f t="shared" si="39"/>
        <v>0</v>
      </c>
      <c r="BI35" s="4">
        <f t="shared" si="40"/>
        <v>0</v>
      </c>
      <c r="BJ35" s="4">
        <f t="shared" si="41"/>
        <v>10143.25</v>
      </c>
      <c r="BK35" s="4">
        <f t="shared" si="42"/>
        <v>1433.241225</v>
      </c>
      <c r="BL35" s="4">
        <f t="shared" si="43"/>
        <v>120.39550873999906</v>
      </c>
      <c r="BM35" s="4">
        <f t="shared" si="44"/>
        <v>68396.75</v>
      </c>
      <c r="BN35" s="4">
        <f t="shared" si="45"/>
        <v>2735.87</v>
      </c>
      <c r="BO35" s="4">
        <f t="shared" si="46"/>
        <v>2735.87</v>
      </c>
      <c r="BP35" s="4">
        <f t="shared" si="47"/>
        <v>386.57843100000002</v>
      </c>
      <c r="BQ35" s="4">
        <f t="shared" si="48"/>
        <v>81183.659205999997</v>
      </c>
      <c r="BR35" s="4">
        <f t="shared" si="49"/>
        <v>19883.212743742399</v>
      </c>
      <c r="BS35" s="4">
        <f t="shared" si="50"/>
        <v>32.473463682399597</v>
      </c>
      <c r="BT35" s="4">
        <f t="shared" si="51"/>
        <v>78061.210775</v>
      </c>
      <c r="BU35" s="4">
        <f t="shared" si="52"/>
        <v>89637.702000000005</v>
      </c>
      <c r="BV35" s="7">
        <f t="shared" si="53"/>
        <v>896377.02</v>
      </c>
      <c r="BW35" s="7">
        <f t="shared" si="54"/>
        <v>663355.8069979467</v>
      </c>
    </row>
    <row r="36" spans="1:75" x14ac:dyDescent="0.3">
      <c r="A36" s="3">
        <f t="shared" si="0"/>
        <v>32</v>
      </c>
      <c r="B36" t="str">
        <f>INDEX(Employees!$A:$A,A36+1)</f>
        <v>E032</v>
      </c>
      <c r="C36" t="str">
        <f>INDEX(Employees!$A:$Z,MATCH(B36,Employees!$A:$A,0),MATCH("category",Employees!$1:$1,0))</f>
        <v>Engineering</v>
      </c>
      <c r="D36" t="str">
        <f>INDEX(Employees!$A:$Z,MATCH(B36,Employees!$A:$A,0),MATCH("gender",Employees!$1:$1,0))</f>
        <v>M</v>
      </c>
      <c r="E36" s="3">
        <f>INDEX(Employees!$A:$Z,MATCH(B36,Employees!$A:$A,0),MATCH("grade",Employees!$1:$1,0))</f>
        <v>10</v>
      </c>
      <c r="F36" s="3">
        <f>INDEX(Employees!$A:$Z,MATCH(B36,Employees!$A:$A,0),MATCH("rating",Employees!$1:$1,0))</f>
        <v>5</v>
      </c>
      <c r="G36" s="22">
        <f>INDEX(Employees!$A:$Z,MATCH(B36,Employees!$A:$A,0),MATCH("hire_date",Employees!$1:$1,0))</f>
        <v>42789</v>
      </c>
      <c r="H36" s="22">
        <f>INDEX(Employees!$A:$Z,MATCH(B36,Employees!$A:$A,0),MATCH("last_change_date",Employees!$1:$1,0))</f>
        <v>46113</v>
      </c>
      <c r="I36" s="4">
        <f>INDEX(Employees!$A:$Z,MATCH(B36,Employees!$A:$A,0),MATCH("base_salary",Employees!$1:$1,0))</f>
        <v>73003.259999999995</v>
      </c>
      <c r="J36" s="5">
        <f>INDEX(Employees!$A:$Z,MATCH(B36,Employees!$A:$A,0),MATCH("bonus_pct",Employees!$1:$1,0))/100</f>
        <v>0.12380000000000001</v>
      </c>
      <c r="K36" s="7">
        <f>INDEX(Employees!$A:$Z,MATCH(B36,Employees!$A:$A,0),MATCH("fte",Employees!$1:$1,0))</f>
        <v>1</v>
      </c>
      <c r="L36" s="3">
        <f>IF(ISNA(MATCH(C36&amp;"|"&amp;E36,Bands!$F:$F,0)),0,1)</f>
        <v>1</v>
      </c>
      <c r="M36" s="4">
        <f>INDEX(Bands!$C:$C,MATCH(C36&amp;"|"&amp;E36,Bands!$F:$F,0))</f>
        <v>59800</v>
      </c>
      <c r="N36" s="4">
        <f>INDEX(Bands!$D:$D,MATCH(C36&amp;"|"&amp;E36,Bands!$F:$F,0))</f>
        <v>74800</v>
      </c>
      <c r="O36" s="4">
        <f>INDEX(Bands!$E:$E,MATCH(C36&amp;"|"&amp;E36,Bands!$F:$F,0))</f>
        <v>89700</v>
      </c>
      <c r="P36" s="7">
        <f t="shared" si="1"/>
        <v>10.099931553730322</v>
      </c>
      <c r="Q36" s="4">
        <f t="shared" si="2"/>
        <v>82041.06358799999</v>
      </c>
      <c r="R36" s="7">
        <f t="shared" si="3"/>
        <v>100</v>
      </c>
      <c r="S36" s="7">
        <f t="shared" si="4"/>
        <v>102.00861739003739</v>
      </c>
      <c r="T36" s="7">
        <f t="shared" si="5"/>
        <v>100.99931553730322</v>
      </c>
      <c r="U36" s="7">
        <f t="shared" si="6"/>
        <v>820410.63587999996</v>
      </c>
      <c r="V36" s="7">
        <f t="shared" si="7"/>
        <v>828609.1268340369</v>
      </c>
      <c r="W36" s="4">
        <f t="shared" si="8"/>
        <v>82041.06</v>
      </c>
      <c r="X36" s="3">
        <f t="shared" si="9"/>
        <v>32</v>
      </c>
      <c r="Y36" s="4">
        <f>INDEX(Categories!$AH:$AH,MATCH(C36,Categories!$A:$A,0))</f>
        <v>71955.39427199999</v>
      </c>
      <c r="Z36" s="3">
        <f>IF(AND(D36="F",Q36&lt;Y36,INDEX(Categories!$AI:$AI,MATCH(C36,Categories!$A:$A,0))&gt;0),1,0)</f>
        <v>0</v>
      </c>
      <c r="AA36" s="4">
        <f t="shared" si="10"/>
        <v>0</v>
      </c>
      <c r="AB36" s="4">
        <f>IF(Z36=1,INDEX(Categories!$AI:$AI,MATCH(C36,Categories!$A:$A,0))*AA36/INDEX(Categories!$AJ:$AJ,MATCH(C36,Categories!$A:$A,0)),0)</f>
        <v>0</v>
      </c>
      <c r="AC36" s="4">
        <f t="shared" si="11"/>
        <v>0</v>
      </c>
      <c r="AD36" s="4">
        <f t="shared" si="12"/>
        <v>73003.259999999995</v>
      </c>
      <c r="AE36" s="3">
        <f t="shared" si="13"/>
        <v>0</v>
      </c>
      <c r="AF36" s="3">
        <f t="shared" si="14"/>
        <v>121</v>
      </c>
      <c r="AG36" s="3">
        <f t="shared" si="15"/>
        <v>12</v>
      </c>
      <c r="AH36" s="3">
        <f t="shared" si="16"/>
        <v>1</v>
      </c>
      <c r="AI36" s="5">
        <f t="shared" si="17"/>
        <v>0.97597941176470582</v>
      </c>
      <c r="AJ36" s="3">
        <f>MATCH(AI36,Inputs!$B$31:$B$34,1)</f>
        <v>2</v>
      </c>
      <c r="AK36" s="5">
        <f>INDEX(Inputs!$C$21:$C$25,MATCH(F36,Inputs!$A$21:$A$25,0))</f>
        <v>1.1000000000000001</v>
      </c>
      <c r="AL36" s="5">
        <f>INDEX(Inputs!$D$21:$D$25,MATCH(F36,Inputs!$A$21:$A$25,0))</f>
        <v>0.02</v>
      </c>
      <c r="AM36" s="4">
        <f t="shared" si="18"/>
        <v>82280</v>
      </c>
      <c r="AN36" s="4">
        <f t="shared" si="19"/>
        <v>9276.7400000000052</v>
      </c>
      <c r="AO36" s="3">
        <f t="shared" si="20"/>
        <v>1</v>
      </c>
      <c r="AP36" s="4">
        <f t="shared" si="21"/>
        <v>21900.977999999999</v>
      </c>
      <c r="AQ36" s="4">
        <f t="shared" si="22"/>
        <v>1460.0652</v>
      </c>
      <c r="AR36" s="4">
        <f t="shared" si="23"/>
        <v>9276.7400000000052</v>
      </c>
      <c r="AS36" s="3">
        <f t="shared" si="24"/>
        <v>0</v>
      </c>
      <c r="AT36" s="4">
        <f t="shared" si="25"/>
        <v>9276.7400000000052</v>
      </c>
      <c r="AU36" s="4">
        <f t="shared" si="26"/>
        <v>16696.740000000005</v>
      </c>
      <c r="AV36" s="4">
        <f t="shared" si="27"/>
        <v>9276.7400000000052</v>
      </c>
      <c r="AW36" s="4">
        <f t="shared" si="28"/>
        <v>9276.7400000000052</v>
      </c>
      <c r="AX36" s="5">
        <f t="shared" si="29"/>
        <v>0.12707295537213004</v>
      </c>
      <c r="AY36" s="4">
        <f t="shared" si="30"/>
        <v>82280</v>
      </c>
      <c r="AZ36" s="3">
        <f t="shared" si="31"/>
        <v>0</v>
      </c>
      <c r="BA36" s="4">
        <f t="shared" si="32"/>
        <v>82041.06358799999</v>
      </c>
      <c r="BB36" s="4">
        <f t="shared" si="33"/>
        <v>19892.129749315198</v>
      </c>
      <c r="BC36" s="4">
        <f t="shared" si="34"/>
        <v>82041.06358799999</v>
      </c>
      <c r="BD36" s="4">
        <f t="shared" si="35"/>
        <v>19892.129749315198</v>
      </c>
      <c r="BE36" s="4">
        <f t="shared" si="36"/>
        <v>92466.263999999996</v>
      </c>
      <c r="BF36" s="4">
        <f t="shared" si="37"/>
        <v>20001.712228799996</v>
      </c>
      <c r="BG36" s="4">
        <f t="shared" si="38"/>
        <v>0</v>
      </c>
      <c r="BH36" s="4">
        <f t="shared" si="39"/>
        <v>0</v>
      </c>
      <c r="BI36" s="4">
        <f t="shared" si="40"/>
        <v>0</v>
      </c>
      <c r="BJ36" s="4">
        <f t="shared" si="41"/>
        <v>9276.7400000000052</v>
      </c>
      <c r="BK36" s="4">
        <f t="shared" si="42"/>
        <v>1148.4604120000008</v>
      </c>
      <c r="BL36" s="4">
        <f t="shared" si="43"/>
        <v>109.58247948479766</v>
      </c>
      <c r="BM36" s="4">
        <f t="shared" si="44"/>
        <v>73003.259999999995</v>
      </c>
      <c r="BN36" s="4">
        <f t="shared" si="45"/>
        <v>2920.1304</v>
      </c>
      <c r="BO36" s="4">
        <f t="shared" si="46"/>
        <v>2920.1304</v>
      </c>
      <c r="BP36" s="4">
        <f t="shared" si="47"/>
        <v>361.51214352</v>
      </c>
      <c r="BQ36" s="4">
        <f t="shared" si="48"/>
        <v>85322.706131519983</v>
      </c>
      <c r="BR36" s="4">
        <f t="shared" si="49"/>
        <v>19926.258831767806</v>
      </c>
      <c r="BS36" s="4">
        <f t="shared" si="50"/>
        <v>34.12908245260769</v>
      </c>
      <c r="BT36" s="4">
        <f t="shared" si="51"/>
        <v>82041.06358799999</v>
      </c>
      <c r="BU36" s="4">
        <f t="shared" si="52"/>
        <v>92466.263999999996</v>
      </c>
      <c r="BV36" s="7">
        <f t="shared" si="53"/>
        <v>924662.6399999999</v>
      </c>
      <c r="BW36" s="7">
        <f t="shared" si="54"/>
        <v>933902.93742915813</v>
      </c>
    </row>
    <row r="37" spans="1:75" x14ac:dyDescent="0.3">
      <c r="A37" s="3">
        <f t="shared" si="0"/>
        <v>33</v>
      </c>
      <c r="B37" t="str">
        <f>INDEX(Employees!$A:$A,A37+1)</f>
        <v>E033</v>
      </c>
      <c r="C37" t="str">
        <f>INDEX(Employees!$A:$Z,MATCH(B37,Employees!$A:$A,0),MATCH("category",Employees!$1:$1,0))</f>
        <v>Engineering</v>
      </c>
      <c r="D37" t="str">
        <f>INDEX(Employees!$A:$Z,MATCH(B37,Employees!$A:$A,0),MATCH("gender",Employees!$1:$1,0))</f>
        <v>M</v>
      </c>
      <c r="E37" s="3">
        <f>INDEX(Employees!$A:$Z,MATCH(B37,Employees!$A:$A,0),MATCH("grade",Employees!$1:$1,0))</f>
        <v>8</v>
      </c>
      <c r="F37" s="3">
        <f>INDEX(Employees!$A:$Z,MATCH(B37,Employees!$A:$A,0),MATCH("rating",Employees!$1:$1,0))</f>
        <v>4</v>
      </c>
      <c r="G37" s="22">
        <f>INDEX(Employees!$A:$Z,MATCH(B37,Employees!$A:$A,0),MATCH("hire_date",Employees!$1:$1,0))</f>
        <v>44798</v>
      </c>
      <c r="H37" s="22">
        <f>INDEX(Employees!$A:$Z,MATCH(B37,Employees!$A:$A,0),MATCH("last_change_date",Employees!$1:$1,0))</f>
        <v>46113</v>
      </c>
      <c r="I37" s="4">
        <f>INDEX(Employees!$A:$Z,MATCH(B37,Employees!$A:$A,0),MATCH("base_salary",Employees!$1:$1,0))</f>
        <v>59464.14</v>
      </c>
      <c r="J37" s="5">
        <f>INDEX(Employees!$A:$Z,MATCH(B37,Employees!$A:$A,0),MATCH("bonus_pct",Employees!$1:$1,0))/100</f>
        <v>0.1396</v>
      </c>
      <c r="K37" s="7">
        <f>INDEX(Employees!$A:$Z,MATCH(B37,Employees!$A:$A,0),MATCH("fte",Employees!$1:$1,0))</f>
        <v>1</v>
      </c>
      <c r="L37" s="3">
        <f>IF(ISNA(MATCH(C37&amp;"|"&amp;E37,Bands!$F:$F,0)),0,1)</f>
        <v>1</v>
      </c>
      <c r="M37" s="4">
        <f>INDEX(Bands!$C:$C,MATCH(C37&amp;"|"&amp;E37,Bands!$F:$F,0))</f>
        <v>47700</v>
      </c>
      <c r="N37" s="4">
        <f>INDEX(Bands!$D:$D,MATCH(C37&amp;"|"&amp;E37,Bands!$F:$F,0))</f>
        <v>57200</v>
      </c>
      <c r="O37" s="4">
        <f>INDEX(Bands!$E:$E,MATCH(C37&amp;"|"&amp;E37,Bands!$F:$F,0))</f>
        <v>66800</v>
      </c>
      <c r="P37" s="7">
        <f t="shared" si="1"/>
        <v>4.59958932238193</v>
      </c>
      <c r="Q37" s="4">
        <f t="shared" si="2"/>
        <v>67765.333943999998</v>
      </c>
      <c r="R37" s="7">
        <f t="shared" si="3"/>
        <v>64</v>
      </c>
      <c r="S37" s="7">
        <f t="shared" si="4"/>
        <v>21.15622193456986</v>
      </c>
      <c r="T37" s="7">
        <f t="shared" si="5"/>
        <v>36.79671457905544</v>
      </c>
      <c r="U37" s="7">
        <f t="shared" si="6"/>
        <v>542122.67155199999</v>
      </c>
      <c r="V37" s="7">
        <f t="shared" si="7"/>
        <v>311692.70643646817</v>
      </c>
      <c r="W37" s="4">
        <f t="shared" si="8"/>
        <v>67765.33</v>
      </c>
      <c r="X37" s="3">
        <f t="shared" si="9"/>
        <v>19</v>
      </c>
      <c r="Y37" s="4">
        <f>INDEX(Categories!$AH:$AH,MATCH(C37,Categories!$A:$A,0))</f>
        <v>71955.39427199999</v>
      </c>
      <c r="Z37" s="3">
        <f>IF(AND(D37="F",Q37&lt;Y37,INDEX(Categories!$AI:$AI,MATCH(C37,Categories!$A:$A,0))&gt;0),1,0)</f>
        <v>0</v>
      </c>
      <c r="AA37" s="4">
        <f t="shared" si="10"/>
        <v>0</v>
      </c>
      <c r="AB37" s="4">
        <f>IF(Z37=1,INDEX(Categories!$AI:$AI,MATCH(C37,Categories!$A:$A,0))*AA37/INDEX(Categories!$AJ:$AJ,MATCH(C37,Categories!$A:$A,0)),0)</f>
        <v>0</v>
      </c>
      <c r="AC37" s="4">
        <f t="shared" si="11"/>
        <v>0</v>
      </c>
      <c r="AD37" s="4">
        <f t="shared" si="12"/>
        <v>59464.14</v>
      </c>
      <c r="AE37" s="3">
        <f t="shared" si="13"/>
        <v>0</v>
      </c>
      <c r="AF37" s="3">
        <f t="shared" si="14"/>
        <v>55</v>
      </c>
      <c r="AG37" s="3">
        <f t="shared" si="15"/>
        <v>12</v>
      </c>
      <c r="AH37" s="3">
        <f t="shared" si="16"/>
        <v>1</v>
      </c>
      <c r="AI37" s="5">
        <f t="shared" si="17"/>
        <v>1.0395828671328671</v>
      </c>
      <c r="AJ37" s="3">
        <f>MATCH(AI37,Inputs!$B$31:$B$34,1)</f>
        <v>3</v>
      </c>
      <c r="AK37" s="5">
        <f>INDEX(Inputs!$C$21:$C$25,MATCH(F37,Inputs!$A$21:$A$25,0))</f>
        <v>1.05</v>
      </c>
      <c r="AL37" s="5">
        <f>INDEX(Inputs!$D$21:$D$25,MATCH(F37,Inputs!$A$21:$A$25,0))</f>
        <v>0.01</v>
      </c>
      <c r="AM37" s="4">
        <f t="shared" si="18"/>
        <v>60060</v>
      </c>
      <c r="AN37" s="4">
        <f t="shared" si="19"/>
        <v>595.86000000000058</v>
      </c>
      <c r="AO37" s="3">
        <f t="shared" si="20"/>
        <v>1</v>
      </c>
      <c r="AP37" s="4">
        <f t="shared" si="21"/>
        <v>17839.241999999998</v>
      </c>
      <c r="AQ37" s="4">
        <f t="shared" si="22"/>
        <v>594.64139999999998</v>
      </c>
      <c r="AR37" s="4">
        <f t="shared" si="23"/>
        <v>595.86000000000058</v>
      </c>
      <c r="AS37" s="3">
        <f t="shared" si="24"/>
        <v>0</v>
      </c>
      <c r="AT37" s="4">
        <f t="shared" si="25"/>
        <v>595.86000000000058</v>
      </c>
      <c r="AU37" s="4">
        <f t="shared" si="26"/>
        <v>7335.8600000000006</v>
      </c>
      <c r="AV37" s="4">
        <f t="shared" si="27"/>
        <v>595.86000000000058</v>
      </c>
      <c r="AW37" s="4">
        <f t="shared" si="28"/>
        <v>595.86000000000058</v>
      </c>
      <c r="AX37" s="5">
        <f t="shared" si="29"/>
        <v>1.002049302319012E-2</v>
      </c>
      <c r="AY37" s="4">
        <f t="shared" si="30"/>
        <v>60060</v>
      </c>
      <c r="AZ37" s="3">
        <f t="shared" si="31"/>
        <v>0</v>
      </c>
      <c r="BA37" s="4">
        <f t="shared" si="32"/>
        <v>67765.333943999998</v>
      </c>
      <c r="BB37" s="4">
        <f t="shared" si="33"/>
        <v>19743.662161017597</v>
      </c>
      <c r="BC37" s="4">
        <f t="shared" si="34"/>
        <v>67765.333943999998</v>
      </c>
      <c r="BD37" s="4">
        <f t="shared" si="35"/>
        <v>19743.662161017597</v>
      </c>
      <c r="BE37" s="4">
        <f t="shared" si="36"/>
        <v>68444.376000000004</v>
      </c>
      <c r="BF37" s="4">
        <f t="shared" si="37"/>
        <v>19750.724198399999</v>
      </c>
      <c r="BG37" s="4">
        <f t="shared" si="38"/>
        <v>0</v>
      </c>
      <c r="BH37" s="4">
        <f t="shared" si="39"/>
        <v>0</v>
      </c>
      <c r="BI37" s="4">
        <f t="shared" si="40"/>
        <v>0</v>
      </c>
      <c r="BJ37" s="4">
        <f t="shared" si="41"/>
        <v>595.86000000000058</v>
      </c>
      <c r="BK37" s="4">
        <f t="shared" si="42"/>
        <v>83.182056000000088</v>
      </c>
      <c r="BL37" s="4">
        <f t="shared" si="43"/>
        <v>7.0620373824021954</v>
      </c>
      <c r="BM37" s="4">
        <f t="shared" si="44"/>
        <v>59464.14</v>
      </c>
      <c r="BN37" s="4">
        <f t="shared" si="45"/>
        <v>2378.5655999999999</v>
      </c>
      <c r="BO37" s="4">
        <f t="shared" si="46"/>
        <v>2378.5655999999999</v>
      </c>
      <c r="BP37" s="4">
        <f t="shared" si="47"/>
        <v>332.04775775999997</v>
      </c>
      <c r="BQ37" s="4">
        <f t="shared" si="48"/>
        <v>70475.947301759996</v>
      </c>
      <c r="BR37" s="4">
        <f t="shared" si="49"/>
        <v>19771.852539938303</v>
      </c>
      <c r="BS37" s="4">
        <f t="shared" si="50"/>
        <v>28.19037892070628</v>
      </c>
      <c r="BT37" s="4">
        <f t="shared" si="51"/>
        <v>67765.333943999998</v>
      </c>
      <c r="BU37" s="4">
        <f t="shared" si="52"/>
        <v>68444.376000000004</v>
      </c>
      <c r="BV37" s="7">
        <f t="shared" si="53"/>
        <v>547555.00800000003</v>
      </c>
      <c r="BW37" s="7">
        <f t="shared" si="54"/>
        <v>314816.02102669404</v>
      </c>
    </row>
    <row r="38" spans="1:75" x14ac:dyDescent="0.3">
      <c r="A38" s="3">
        <f t="shared" si="0"/>
        <v>34</v>
      </c>
      <c r="B38" t="str">
        <f>INDEX(Employees!$A:$A,A38+1)</f>
        <v>E034</v>
      </c>
      <c r="C38" t="str">
        <f>INDEX(Employees!$A:$Z,MATCH(B38,Employees!$A:$A,0),MATCH("category",Employees!$1:$1,0))</f>
        <v>Engineering</v>
      </c>
      <c r="D38" t="str">
        <f>INDEX(Employees!$A:$Z,MATCH(B38,Employees!$A:$A,0),MATCH("gender",Employees!$1:$1,0))</f>
        <v>M</v>
      </c>
      <c r="E38" s="3">
        <f>INDEX(Employees!$A:$Z,MATCH(B38,Employees!$A:$A,0),MATCH("grade",Employees!$1:$1,0))</f>
        <v>8</v>
      </c>
      <c r="F38" s="3">
        <f>INDEX(Employees!$A:$Z,MATCH(B38,Employees!$A:$A,0),MATCH("rating",Employees!$1:$1,0))</f>
        <v>4</v>
      </c>
      <c r="G38" s="22">
        <f>INDEX(Employees!$A:$Z,MATCH(B38,Employees!$A:$A,0),MATCH("hire_date",Employees!$1:$1,0))</f>
        <v>43666</v>
      </c>
      <c r="H38" s="22">
        <f>INDEX(Employees!$A:$Z,MATCH(B38,Employees!$A:$A,0),MATCH("last_change_date",Employees!$1:$1,0))</f>
        <v>46113</v>
      </c>
      <c r="I38" s="4">
        <f>INDEX(Employees!$A:$Z,MATCH(B38,Employees!$A:$A,0),MATCH("base_salary",Employees!$1:$1,0))</f>
        <v>63717.919999999998</v>
      </c>
      <c r="J38" s="5">
        <f>INDEX(Employees!$A:$Z,MATCH(B38,Employees!$A:$A,0),MATCH("bonus_pct",Employees!$1:$1,0))/100</f>
        <v>0.13320000000000001</v>
      </c>
      <c r="K38" s="7">
        <f>INDEX(Employees!$A:$Z,MATCH(B38,Employees!$A:$A,0),MATCH("fte",Employees!$1:$1,0))</f>
        <v>1</v>
      </c>
      <c r="L38" s="3">
        <f>IF(ISNA(MATCH(C38&amp;"|"&amp;E38,Bands!$F:$F,0)),0,1)</f>
        <v>1</v>
      </c>
      <c r="M38" s="4">
        <f>INDEX(Bands!$C:$C,MATCH(C38&amp;"|"&amp;E38,Bands!$F:$F,0))</f>
        <v>47700</v>
      </c>
      <c r="N38" s="4">
        <f>INDEX(Bands!$D:$D,MATCH(C38&amp;"|"&amp;E38,Bands!$F:$F,0))</f>
        <v>57200</v>
      </c>
      <c r="O38" s="4">
        <f>INDEX(Bands!$E:$E,MATCH(C38&amp;"|"&amp;E38,Bands!$F:$F,0))</f>
        <v>66800</v>
      </c>
      <c r="P38" s="7">
        <f t="shared" si="1"/>
        <v>7.698836413415469</v>
      </c>
      <c r="Q38" s="4">
        <f t="shared" si="2"/>
        <v>72205.146943999993</v>
      </c>
      <c r="R38" s="7">
        <f t="shared" si="3"/>
        <v>64</v>
      </c>
      <c r="S38" s="7">
        <f t="shared" si="4"/>
        <v>59.272082120531962</v>
      </c>
      <c r="T38" s="7">
        <f t="shared" si="5"/>
        <v>61.590691307323752</v>
      </c>
      <c r="U38" s="7">
        <f t="shared" si="6"/>
        <v>577641.17555199994</v>
      </c>
      <c r="V38" s="7">
        <f t="shared" si="7"/>
        <v>555895.61452848185</v>
      </c>
      <c r="W38" s="4">
        <f t="shared" si="8"/>
        <v>72205.149999999994</v>
      </c>
      <c r="X38" s="3">
        <f t="shared" si="9"/>
        <v>23</v>
      </c>
      <c r="Y38" s="4">
        <f>INDEX(Categories!$AH:$AH,MATCH(C38,Categories!$A:$A,0))</f>
        <v>71955.39427199999</v>
      </c>
      <c r="Z38" s="3">
        <f>IF(AND(D38="F",Q38&lt;Y38,INDEX(Categories!$AI:$AI,MATCH(C38,Categories!$A:$A,0))&gt;0),1,0)</f>
        <v>0</v>
      </c>
      <c r="AA38" s="4">
        <f t="shared" si="10"/>
        <v>0</v>
      </c>
      <c r="AB38" s="4">
        <f>IF(Z38=1,INDEX(Categories!$AI:$AI,MATCH(C38,Categories!$A:$A,0))*AA38/INDEX(Categories!$AJ:$AJ,MATCH(C38,Categories!$A:$A,0)),0)</f>
        <v>0</v>
      </c>
      <c r="AC38" s="4">
        <f t="shared" si="11"/>
        <v>0</v>
      </c>
      <c r="AD38" s="4">
        <f t="shared" si="12"/>
        <v>63717.919999999998</v>
      </c>
      <c r="AE38" s="3">
        <f t="shared" si="13"/>
        <v>0</v>
      </c>
      <c r="AF38" s="3">
        <f t="shared" si="14"/>
        <v>92</v>
      </c>
      <c r="AG38" s="3">
        <f t="shared" si="15"/>
        <v>12</v>
      </c>
      <c r="AH38" s="3">
        <f t="shared" si="16"/>
        <v>1</v>
      </c>
      <c r="AI38" s="5">
        <f t="shared" si="17"/>
        <v>1.1139496503496502</v>
      </c>
      <c r="AJ38" s="3">
        <f>MATCH(AI38,Inputs!$B$31:$B$34,1)</f>
        <v>4</v>
      </c>
      <c r="AK38" s="5">
        <f>INDEX(Inputs!$C$21:$C$25,MATCH(F38,Inputs!$A$21:$A$25,0))</f>
        <v>1.05</v>
      </c>
      <c r="AL38" s="5">
        <f>INDEX(Inputs!$D$21:$D$25,MATCH(F38,Inputs!$A$21:$A$25,0))</f>
        <v>0.01</v>
      </c>
      <c r="AM38" s="4">
        <f t="shared" si="18"/>
        <v>60060</v>
      </c>
      <c r="AN38" s="4">
        <f t="shared" si="19"/>
        <v>0</v>
      </c>
      <c r="AO38" s="3">
        <f t="shared" si="20"/>
        <v>1</v>
      </c>
      <c r="AP38" s="4">
        <f t="shared" si="21"/>
        <v>19115.376</v>
      </c>
      <c r="AQ38" s="4">
        <f t="shared" si="22"/>
        <v>637.17920000000004</v>
      </c>
      <c r="AR38" s="4">
        <f t="shared" si="23"/>
        <v>637.17920000000004</v>
      </c>
      <c r="AS38" s="3">
        <f t="shared" si="24"/>
        <v>0</v>
      </c>
      <c r="AT38" s="4">
        <f t="shared" si="25"/>
        <v>637.17920000000004</v>
      </c>
      <c r="AU38" s="4">
        <f t="shared" si="26"/>
        <v>3082.0800000000017</v>
      </c>
      <c r="AV38" s="4">
        <f t="shared" si="27"/>
        <v>637.17920000000004</v>
      </c>
      <c r="AW38" s="4">
        <f t="shared" si="28"/>
        <v>637.17920000000004</v>
      </c>
      <c r="AX38" s="5">
        <f t="shared" si="29"/>
        <v>0.01</v>
      </c>
      <c r="AY38" s="4">
        <f t="shared" si="30"/>
        <v>64355.099199999997</v>
      </c>
      <c r="AZ38" s="3">
        <f t="shared" si="31"/>
        <v>0</v>
      </c>
      <c r="BA38" s="4">
        <f t="shared" si="32"/>
        <v>72205.146943999993</v>
      </c>
      <c r="BB38" s="4">
        <f t="shared" si="33"/>
        <v>19789.836216217598</v>
      </c>
      <c r="BC38" s="4">
        <f t="shared" si="34"/>
        <v>72205.146943999993</v>
      </c>
      <c r="BD38" s="4">
        <f t="shared" si="35"/>
        <v>19789.836216217598</v>
      </c>
      <c r="BE38" s="4">
        <f t="shared" si="36"/>
        <v>72927.198413439997</v>
      </c>
      <c r="BF38" s="4">
        <f t="shared" si="37"/>
        <v>19797.345551499773</v>
      </c>
      <c r="BG38" s="4">
        <f t="shared" si="38"/>
        <v>0</v>
      </c>
      <c r="BH38" s="4">
        <f t="shared" si="39"/>
        <v>0</v>
      </c>
      <c r="BI38" s="4">
        <f t="shared" si="40"/>
        <v>0</v>
      </c>
      <c r="BJ38" s="4">
        <f t="shared" si="41"/>
        <v>637.17920000000004</v>
      </c>
      <c r="BK38" s="4">
        <f t="shared" si="42"/>
        <v>84.872269440000011</v>
      </c>
      <c r="BL38" s="4">
        <f t="shared" si="43"/>
        <v>7.5093352821750159</v>
      </c>
      <c r="BM38" s="4">
        <f t="shared" si="44"/>
        <v>63717.919999999998</v>
      </c>
      <c r="BN38" s="4">
        <f t="shared" si="45"/>
        <v>2548.7168000000001</v>
      </c>
      <c r="BO38" s="4">
        <f t="shared" si="46"/>
        <v>2548.7168000000001</v>
      </c>
      <c r="BP38" s="4">
        <f t="shared" si="47"/>
        <v>339.48907776000004</v>
      </c>
      <c r="BQ38" s="4">
        <f t="shared" si="48"/>
        <v>75093.352821759996</v>
      </c>
      <c r="BR38" s="4">
        <f t="shared" si="49"/>
        <v>19819.873557346302</v>
      </c>
      <c r="BS38" s="4">
        <f t="shared" si="50"/>
        <v>30.037341128703702</v>
      </c>
      <c r="BT38" s="4">
        <f t="shared" si="51"/>
        <v>72205.146943999993</v>
      </c>
      <c r="BU38" s="4">
        <f t="shared" si="52"/>
        <v>72927.198413439997</v>
      </c>
      <c r="BV38" s="7">
        <f t="shared" si="53"/>
        <v>583417.58730751998</v>
      </c>
      <c r="BW38" s="7">
        <f t="shared" si="54"/>
        <v>561454.57067376666</v>
      </c>
    </row>
    <row r="39" spans="1:75" x14ac:dyDescent="0.3">
      <c r="A39" s="3">
        <f t="shared" si="0"/>
        <v>35</v>
      </c>
      <c r="B39" t="str">
        <f>INDEX(Employees!$A:$A,A39+1)</f>
        <v>E035</v>
      </c>
      <c r="C39" t="str">
        <f>INDEX(Employees!$A:$Z,MATCH(B39,Employees!$A:$A,0),MATCH("category",Employees!$1:$1,0))</f>
        <v>Engineering</v>
      </c>
      <c r="D39" t="str">
        <f>INDEX(Employees!$A:$Z,MATCH(B39,Employees!$A:$A,0),MATCH("gender",Employees!$1:$1,0))</f>
        <v>M</v>
      </c>
      <c r="E39" s="3">
        <f>INDEX(Employees!$A:$Z,MATCH(B39,Employees!$A:$A,0),MATCH("grade",Employees!$1:$1,0))</f>
        <v>8</v>
      </c>
      <c r="F39" s="3">
        <f>INDEX(Employees!$A:$Z,MATCH(B39,Employees!$A:$A,0),MATCH("rating",Employees!$1:$1,0))</f>
        <v>3</v>
      </c>
      <c r="G39" s="22">
        <f>INDEX(Employees!$A:$Z,MATCH(B39,Employees!$A:$A,0),MATCH("hire_date",Employees!$1:$1,0))</f>
        <v>45674</v>
      </c>
      <c r="H39" s="22">
        <f>INDEX(Employees!$A:$Z,MATCH(B39,Employees!$A:$A,0),MATCH("last_change_date",Employees!$1:$1,0))</f>
        <v>46113</v>
      </c>
      <c r="I39" s="4">
        <f>INDEX(Employees!$A:$Z,MATCH(B39,Employees!$A:$A,0),MATCH("base_salary",Employees!$1:$1,0))</f>
        <v>41709.870000000003</v>
      </c>
      <c r="J39" s="5">
        <f>INDEX(Employees!$A:$Z,MATCH(B39,Employees!$A:$A,0),MATCH("bonus_pct",Employees!$1:$1,0))/100</f>
        <v>9.8299999999999998E-2</v>
      </c>
      <c r="K39" s="7">
        <f>INDEX(Employees!$A:$Z,MATCH(B39,Employees!$A:$A,0),MATCH("fte",Employees!$1:$1,0))</f>
        <v>1</v>
      </c>
      <c r="L39" s="3">
        <f>IF(ISNA(MATCH(C39&amp;"|"&amp;E39,Bands!$F:$F,0)),0,1)</f>
        <v>1</v>
      </c>
      <c r="M39" s="4">
        <f>INDEX(Bands!$C:$C,MATCH(C39&amp;"|"&amp;E39,Bands!$F:$F,0))</f>
        <v>47700</v>
      </c>
      <c r="N39" s="4">
        <f>INDEX(Bands!$D:$D,MATCH(C39&amp;"|"&amp;E39,Bands!$F:$F,0))</f>
        <v>57200</v>
      </c>
      <c r="O39" s="4">
        <f>INDEX(Bands!$E:$E,MATCH(C39&amp;"|"&amp;E39,Bands!$F:$F,0))</f>
        <v>66800</v>
      </c>
      <c r="P39" s="7">
        <f t="shared" si="1"/>
        <v>2.2012320328542097</v>
      </c>
      <c r="Q39" s="4">
        <f t="shared" si="2"/>
        <v>45809.950221000006</v>
      </c>
      <c r="R39" s="7">
        <f t="shared" si="3"/>
        <v>64</v>
      </c>
      <c r="S39" s="7">
        <f t="shared" si="4"/>
        <v>4.8454224624634765</v>
      </c>
      <c r="T39" s="7">
        <f t="shared" si="5"/>
        <v>17.609856262833677</v>
      </c>
      <c r="U39" s="7">
        <f t="shared" si="6"/>
        <v>366479.60176800005</v>
      </c>
      <c r="V39" s="7">
        <f t="shared" si="7"/>
        <v>100838.329849922</v>
      </c>
      <c r="W39" s="4">
        <f t="shared" si="8"/>
        <v>45809.95</v>
      </c>
      <c r="X39" s="3">
        <f t="shared" si="9"/>
        <v>2</v>
      </c>
      <c r="Y39" s="4">
        <f>INDEX(Categories!$AH:$AH,MATCH(C39,Categories!$A:$A,0))</f>
        <v>71955.39427199999</v>
      </c>
      <c r="Z39" s="3">
        <f>IF(AND(D39="F",Q39&lt;Y39,INDEX(Categories!$AI:$AI,MATCH(C39,Categories!$A:$A,0))&gt;0),1,0)</f>
        <v>0</v>
      </c>
      <c r="AA39" s="4">
        <f t="shared" si="10"/>
        <v>0</v>
      </c>
      <c r="AB39" s="4">
        <f>IF(Z39=1,INDEX(Categories!$AI:$AI,MATCH(C39,Categories!$A:$A,0))*AA39/INDEX(Categories!$AJ:$AJ,MATCH(C39,Categories!$A:$A,0)),0)</f>
        <v>0</v>
      </c>
      <c r="AC39" s="4">
        <f t="shared" si="11"/>
        <v>0</v>
      </c>
      <c r="AD39" s="4">
        <f t="shared" si="12"/>
        <v>41709.870000000003</v>
      </c>
      <c r="AE39" s="3">
        <f t="shared" si="13"/>
        <v>0</v>
      </c>
      <c r="AF39" s="3">
        <f t="shared" si="14"/>
        <v>26</v>
      </c>
      <c r="AG39" s="3">
        <f t="shared" si="15"/>
        <v>12</v>
      </c>
      <c r="AH39" s="3">
        <f t="shared" si="16"/>
        <v>1</v>
      </c>
      <c r="AI39" s="5">
        <f t="shared" si="17"/>
        <v>0.7291935314685315</v>
      </c>
      <c r="AJ39" s="3">
        <f>MATCH(AI39,Inputs!$B$31:$B$34,1)</f>
        <v>1</v>
      </c>
      <c r="AK39" s="5">
        <f>INDEX(Inputs!$C$21:$C$25,MATCH(F39,Inputs!$A$21:$A$25,0))</f>
        <v>1</v>
      </c>
      <c r="AL39" s="5">
        <f>INDEX(Inputs!$D$21:$D$25,MATCH(F39,Inputs!$A$21:$A$25,0))</f>
        <v>0</v>
      </c>
      <c r="AM39" s="4">
        <f t="shared" si="18"/>
        <v>57200</v>
      </c>
      <c r="AN39" s="4">
        <f t="shared" si="19"/>
        <v>15490.129999999997</v>
      </c>
      <c r="AO39" s="3">
        <f t="shared" si="20"/>
        <v>1</v>
      </c>
      <c r="AP39" s="4">
        <f t="shared" si="21"/>
        <v>12512.961000000001</v>
      </c>
      <c r="AQ39" s="4">
        <f t="shared" si="22"/>
        <v>0</v>
      </c>
      <c r="AR39" s="4">
        <f t="shared" si="23"/>
        <v>12512.961000000001</v>
      </c>
      <c r="AS39" s="3">
        <f t="shared" si="24"/>
        <v>0</v>
      </c>
      <c r="AT39" s="4">
        <f t="shared" si="25"/>
        <v>12512.961000000001</v>
      </c>
      <c r="AU39" s="4">
        <f t="shared" si="26"/>
        <v>25090.129999999997</v>
      </c>
      <c r="AV39" s="4">
        <f t="shared" si="27"/>
        <v>12512.961000000001</v>
      </c>
      <c r="AW39" s="4">
        <f t="shared" si="28"/>
        <v>12512.961000000001</v>
      </c>
      <c r="AX39" s="5">
        <f t="shared" si="29"/>
        <v>0.3</v>
      </c>
      <c r="AY39" s="4">
        <f t="shared" si="30"/>
        <v>54222.831000000006</v>
      </c>
      <c r="AZ39" s="3">
        <f t="shared" si="31"/>
        <v>0</v>
      </c>
      <c r="BA39" s="4">
        <f t="shared" si="32"/>
        <v>45809.950221000006</v>
      </c>
      <c r="BB39" s="4">
        <f t="shared" si="33"/>
        <v>14727.898996051503</v>
      </c>
      <c r="BC39" s="4">
        <f t="shared" si="34"/>
        <v>45809.950221000006</v>
      </c>
      <c r="BD39" s="4">
        <f t="shared" si="35"/>
        <v>14727.898996051503</v>
      </c>
      <c r="BE39" s="4">
        <f t="shared" si="36"/>
        <v>59552.93528730001</v>
      </c>
      <c r="BF39" s="4">
        <f t="shared" si="37"/>
        <v>19146.268694866954</v>
      </c>
      <c r="BG39" s="4">
        <f t="shared" si="38"/>
        <v>0</v>
      </c>
      <c r="BH39" s="4">
        <f t="shared" si="39"/>
        <v>0</v>
      </c>
      <c r="BI39" s="4">
        <f t="shared" si="40"/>
        <v>0</v>
      </c>
      <c r="BJ39" s="4">
        <f t="shared" si="41"/>
        <v>12512.961000000001</v>
      </c>
      <c r="BK39" s="4">
        <f t="shared" si="42"/>
        <v>1230.0240663000002</v>
      </c>
      <c r="BL39" s="4">
        <f t="shared" si="43"/>
        <v>4418.3696988154516</v>
      </c>
      <c r="BM39" s="4">
        <f t="shared" si="44"/>
        <v>41709.870000000003</v>
      </c>
      <c r="BN39" s="4">
        <f t="shared" si="45"/>
        <v>1668.3948</v>
      </c>
      <c r="BO39" s="4">
        <f t="shared" si="46"/>
        <v>1668.3948</v>
      </c>
      <c r="BP39" s="4">
        <f t="shared" si="47"/>
        <v>164.00320884000001</v>
      </c>
      <c r="BQ39" s="4">
        <f t="shared" si="48"/>
        <v>47642.348229840005</v>
      </c>
      <c r="BR39" s="4">
        <f t="shared" si="49"/>
        <v>15317.014955893563</v>
      </c>
      <c r="BS39" s="4">
        <f t="shared" si="50"/>
        <v>589.11595984205997</v>
      </c>
      <c r="BT39" s="4">
        <f t="shared" si="51"/>
        <v>45809.950221000006</v>
      </c>
      <c r="BU39" s="4">
        <f t="shared" si="52"/>
        <v>59552.93528730001</v>
      </c>
      <c r="BV39" s="7">
        <f t="shared" si="53"/>
        <v>476423.48229840008</v>
      </c>
      <c r="BW39" s="7">
        <f t="shared" si="54"/>
        <v>131089.8288048986</v>
      </c>
    </row>
    <row r="40" spans="1:75" x14ac:dyDescent="0.3">
      <c r="A40" s="3">
        <f t="shared" si="0"/>
        <v>36</v>
      </c>
      <c r="B40" t="str">
        <f>INDEX(Employees!$A:$A,A40+1)</f>
        <v>E036</v>
      </c>
      <c r="C40" t="str">
        <f>INDEX(Employees!$A:$Z,MATCH(B40,Employees!$A:$A,0),MATCH("category",Employees!$1:$1,0))</f>
        <v>Engineering</v>
      </c>
      <c r="D40" t="str">
        <f>INDEX(Employees!$A:$Z,MATCH(B40,Employees!$A:$A,0),MATCH("gender",Employees!$1:$1,0))</f>
        <v>M</v>
      </c>
      <c r="E40" s="3">
        <f>INDEX(Employees!$A:$Z,MATCH(B40,Employees!$A:$A,0),MATCH("grade",Employees!$1:$1,0))</f>
        <v>10</v>
      </c>
      <c r="F40" s="3">
        <f>INDEX(Employees!$A:$Z,MATCH(B40,Employees!$A:$A,0),MATCH("rating",Employees!$1:$1,0))</f>
        <v>3</v>
      </c>
      <c r="G40" s="22">
        <f>INDEX(Employees!$A:$Z,MATCH(B40,Employees!$A:$A,0),MATCH("hire_date",Employees!$1:$1,0))</f>
        <v>42862</v>
      </c>
      <c r="H40" s="22">
        <f>INDEX(Employees!$A:$Z,MATCH(B40,Employees!$A:$A,0),MATCH("last_change_date",Employees!$1:$1,0))</f>
        <v>46113</v>
      </c>
      <c r="I40" s="4">
        <f>INDEX(Employees!$A:$Z,MATCH(B40,Employees!$A:$A,0),MATCH("base_salary",Employees!$1:$1,0))</f>
        <v>69584.509999999995</v>
      </c>
      <c r="J40" s="5">
        <f>INDEX(Employees!$A:$Z,MATCH(B40,Employees!$A:$A,0),MATCH("bonus_pct",Employees!$1:$1,0))/100</f>
        <v>0.12470000000000001</v>
      </c>
      <c r="K40" s="7">
        <f>INDEX(Employees!$A:$Z,MATCH(B40,Employees!$A:$A,0),MATCH("fte",Employees!$1:$1,0))</f>
        <v>1</v>
      </c>
      <c r="L40" s="3">
        <f>IF(ISNA(MATCH(C40&amp;"|"&amp;E40,Bands!$F:$F,0)),0,1)</f>
        <v>1</v>
      </c>
      <c r="M40" s="4">
        <f>INDEX(Bands!$C:$C,MATCH(C40&amp;"|"&amp;E40,Bands!$F:$F,0))</f>
        <v>59800</v>
      </c>
      <c r="N40" s="4">
        <f>INDEX(Bands!$D:$D,MATCH(C40&amp;"|"&amp;E40,Bands!$F:$F,0))</f>
        <v>74800</v>
      </c>
      <c r="O40" s="4">
        <f>INDEX(Bands!$E:$E,MATCH(C40&amp;"|"&amp;E40,Bands!$F:$F,0))</f>
        <v>89700</v>
      </c>
      <c r="P40" s="7">
        <f t="shared" si="1"/>
        <v>9.9000684462696782</v>
      </c>
      <c r="Q40" s="4">
        <f t="shared" si="2"/>
        <v>78261.698397</v>
      </c>
      <c r="R40" s="7">
        <f t="shared" si="3"/>
        <v>100</v>
      </c>
      <c r="S40" s="7">
        <f t="shared" si="4"/>
        <v>98.011355240824514</v>
      </c>
      <c r="T40" s="7">
        <f t="shared" si="5"/>
        <v>99.000684462696782</v>
      </c>
      <c r="U40" s="7">
        <f t="shared" si="6"/>
        <v>782616.98396999994</v>
      </c>
      <c r="V40" s="7">
        <f t="shared" si="7"/>
        <v>774796.17085161398</v>
      </c>
      <c r="W40" s="4">
        <f t="shared" si="8"/>
        <v>78261.7</v>
      </c>
      <c r="X40" s="3">
        <f t="shared" si="9"/>
        <v>28</v>
      </c>
      <c r="Y40" s="4">
        <f>INDEX(Categories!$AH:$AH,MATCH(C40,Categories!$A:$A,0))</f>
        <v>71955.39427199999</v>
      </c>
      <c r="Z40" s="3">
        <f>IF(AND(D40="F",Q40&lt;Y40,INDEX(Categories!$AI:$AI,MATCH(C40,Categories!$A:$A,0))&gt;0),1,0)</f>
        <v>0</v>
      </c>
      <c r="AA40" s="4">
        <f t="shared" si="10"/>
        <v>0</v>
      </c>
      <c r="AB40" s="4">
        <f>IF(Z40=1,INDEX(Categories!$AI:$AI,MATCH(C40,Categories!$A:$A,0))*AA40/INDEX(Categories!$AJ:$AJ,MATCH(C40,Categories!$A:$A,0)),0)</f>
        <v>0</v>
      </c>
      <c r="AC40" s="4">
        <f t="shared" si="11"/>
        <v>0</v>
      </c>
      <c r="AD40" s="4">
        <f t="shared" si="12"/>
        <v>69584.509999999995</v>
      </c>
      <c r="AE40" s="3">
        <f t="shared" si="13"/>
        <v>0</v>
      </c>
      <c r="AF40" s="3">
        <f t="shared" si="14"/>
        <v>118</v>
      </c>
      <c r="AG40" s="3">
        <f t="shared" si="15"/>
        <v>12</v>
      </c>
      <c r="AH40" s="3">
        <f t="shared" si="16"/>
        <v>1</v>
      </c>
      <c r="AI40" s="5">
        <f t="shared" si="17"/>
        <v>0.93027419786096255</v>
      </c>
      <c r="AJ40" s="3">
        <f>MATCH(AI40,Inputs!$B$31:$B$34,1)</f>
        <v>2</v>
      </c>
      <c r="AK40" s="5">
        <f>INDEX(Inputs!$C$21:$C$25,MATCH(F40,Inputs!$A$21:$A$25,0))</f>
        <v>1</v>
      </c>
      <c r="AL40" s="5">
        <f>INDEX(Inputs!$D$21:$D$25,MATCH(F40,Inputs!$A$21:$A$25,0))</f>
        <v>0</v>
      </c>
      <c r="AM40" s="4">
        <f t="shared" si="18"/>
        <v>74800</v>
      </c>
      <c r="AN40" s="4">
        <f t="shared" si="19"/>
        <v>5215.4900000000052</v>
      </c>
      <c r="AO40" s="3">
        <f t="shared" si="20"/>
        <v>1</v>
      </c>
      <c r="AP40" s="4">
        <f t="shared" si="21"/>
        <v>20875.352999999999</v>
      </c>
      <c r="AQ40" s="4">
        <f t="shared" si="22"/>
        <v>0</v>
      </c>
      <c r="AR40" s="4">
        <f t="shared" si="23"/>
        <v>5215.4900000000052</v>
      </c>
      <c r="AS40" s="3">
        <f t="shared" si="24"/>
        <v>0</v>
      </c>
      <c r="AT40" s="4">
        <f t="shared" si="25"/>
        <v>5215.4900000000052</v>
      </c>
      <c r="AU40" s="4">
        <f t="shared" si="26"/>
        <v>20115.490000000005</v>
      </c>
      <c r="AV40" s="4">
        <f t="shared" si="27"/>
        <v>5215.4900000000052</v>
      </c>
      <c r="AW40" s="4">
        <f t="shared" si="28"/>
        <v>5215.4900000000052</v>
      </c>
      <c r="AX40" s="5">
        <f t="shared" si="29"/>
        <v>7.495188225080561E-2</v>
      </c>
      <c r="AY40" s="4">
        <f t="shared" si="30"/>
        <v>74800</v>
      </c>
      <c r="AZ40" s="3">
        <f t="shared" si="31"/>
        <v>0</v>
      </c>
      <c r="BA40" s="4">
        <f t="shared" si="32"/>
        <v>78261.698397</v>
      </c>
      <c r="BB40" s="4">
        <f t="shared" si="33"/>
        <v>19852.824351328796</v>
      </c>
      <c r="BC40" s="4">
        <f t="shared" si="34"/>
        <v>78261.698397</v>
      </c>
      <c r="BD40" s="4">
        <f t="shared" si="35"/>
        <v>19852.824351328796</v>
      </c>
      <c r="BE40" s="4">
        <f t="shared" si="36"/>
        <v>84127.56</v>
      </c>
      <c r="BF40" s="4">
        <f t="shared" si="37"/>
        <v>19913.829311999998</v>
      </c>
      <c r="BG40" s="4">
        <f t="shared" si="38"/>
        <v>0</v>
      </c>
      <c r="BH40" s="4">
        <f t="shared" si="39"/>
        <v>0</v>
      </c>
      <c r="BI40" s="4">
        <f t="shared" si="40"/>
        <v>0</v>
      </c>
      <c r="BJ40" s="4">
        <f t="shared" si="41"/>
        <v>5215.4900000000052</v>
      </c>
      <c r="BK40" s="4">
        <f t="shared" si="42"/>
        <v>650.37160300000073</v>
      </c>
      <c r="BL40" s="4">
        <f t="shared" si="43"/>
        <v>61.004960671201843</v>
      </c>
      <c r="BM40" s="4">
        <f t="shared" si="44"/>
        <v>69584.509999999995</v>
      </c>
      <c r="BN40" s="4">
        <f t="shared" si="45"/>
        <v>2783.3804</v>
      </c>
      <c r="BO40" s="4">
        <f t="shared" si="46"/>
        <v>2783.3804</v>
      </c>
      <c r="BP40" s="4">
        <f t="shared" si="47"/>
        <v>347.08753588000002</v>
      </c>
      <c r="BQ40" s="4">
        <f t="shared" si="48"/>
        <v>81392.166332879991</v>
      </c>
      <c r="BR40" s="4">
        <f t="shared" si="49"/>
        <v>19885.381217861948</v>
      </c>
      <c r="BS40" s="4">
        <f t="shared" si="50"/>
        <v>32.556866533152061</v>
      </c>
      <c r="BT40" s="4">
        <f t="shared" si="51"/>
        <v>78261.698397</v>
      </c>
      <c r="BU40" s="4">
        <f t="shared" si="52"/>
        <v>84127.56</v>
      </c>
      <c r="BV40" s="7">
        <f t="shared" si="53"/>
        <v>841275.6</v>
      </c>
      <c r="BW40" s="7">
        <f t="shared" si="54"/>
        <v>832868.60221765912</v>
      </c>
    </row>
    <row r="41" spans="1:75" x14ac:dyDescent="0.3">
      <c r="A41" s="3">
        <f t="shared" si="0"/>
        <v>37</v>
      </c>
      <c r="B41" t="str">
        <f>INDEX(Employees!$A:$A,A41+1)</f>
        <v>E037</v>
      </c>
      <c r="C41" t="str">
        <f>INDEX(Employees!$A:$Z,MATCH(B41,Employees!$A:$A,0),MATCH("category",Employees!$1:$1,0))</f>
        <v>Engineering</v>
      </c>
      <c r="D41" t="str">
        <f>INDEX(Employees!$A:$Z,MATCH(B41,Employees!$A:$A,0),MATCH("gender",Employees!$1:$1,0))</f>
        <v>M</v>
      </c>
      <c r="E41" s="3">
        <f>INDEX(Employees!$A:$Z,MATCH(B41,Employees!$A:$A,0),MATCH("grade",Employees!$1:$1,0))</f>
        <v>11</v>
      </c>
      <c r="F41" s="3">
        <f>INDEX(Employees!$A:$Z,MATCH(B41,Employees!$A:$A,0),MATCH("rating",Employees!$1:$1,0))</f>
        <v>3</v>
      </c>
      <c r="G41" s="22">
        <f>INDEX(Employees!$A:$Z,MATCH(B41,Employees!$A:$A,0),MATCH("hire_date",Employees!$1:$1,0))</f>
        <v>42460</v>
      </c>
      <c r="H41" s="22">
        <f>INDEX(Employees!$A:$Z,MATCH(B41,Employees!$A:$A,0),MATCH("last_change_date",Employees!$1:$1,0))</f>
        <v>46113</v>
      </c>
      <c r="I41" s="4">
        <f>INDEX(Employees!$A:$Z,MATCH(B41,Employees!$A:$A,0),MATCH("base_salary",Employees!$1:$1,0))</f>
        <v>86073.94</v>
      </c>
      <c r="J41" s="5">
        <f>INDEX(Employees!$A:$Z,MATCH(B41,Employees!$A:$A,0),MATCH("bonus_pct",Employees!$1:$1,0))/100</f>
        <v>0.1137</v>
      </c>
      <c r="K41" s="7">
        <f>INDEX(Employees!$A:$Z,MATCH(B41,Employees!$A:$A,0),MATCH("fte",Employees!$1:$1,0))</f>
        <v>1</v>
      </c>
      <c r="L41" s="3">
        <f>IF(ISNA(MATCH(C41&amp;"|"&amp;E41,Bands!$F:$F,0)),0,1)</f>
        <v>1</v>
      </c>
      <c r="M41" s="4">
        <f>INDEX(Bands!$C:$C,MATCH(C41&amp;"|"&amp;E41,Bands!$F:$F,0))</f>
        <v>68400</v>
      </c>
      <c r="N41" s="4">
        <f>INDEX(Bands!$D:$D,MATCH(C41&amp;"|"&amp;E41,Bands!$F:$F,0))</f>
        <v>85500</v>
      </c>
      <c r="O41" s="4">
        <f>INDEX(Bands!$E:$E,MATCH(C41&amp;"|"&amp;E41,Bands!$F:$F,0))</f>
        <v>102600</v>
      </c>
      <c r="P41" s="7">
        <f t="shared" si="1"/>
        <v>11.000684462696784</v>
      </c>
      <c r="Q41" s="4">
        <f t="shared" si="2"/>
        <v>95860.546977999998</v>
      </c>
      <c r="R41" s="7">
        <f t="shared" si="3"/>
        <v>121</v>
      </c>
      <c r="S41" s="7">
        <f t="shared" si="4"/>
        <v>121.01505864781842</v>
      </c>
      <c r="T41" s="7">
        <f t="shared" si="5"/>
        <v>121.00752908966462</v>
      </c>
      <c r="U41" s="7">
        <f t="shared" si="6"/>
        <v>1054466.016758</v>
      </c>
      <c r="V41" s="7">
        <f t="shared" si="7"/>
        <v>1054531.6297264998</v>
      </c>
      <c r="W41" s="4">
        <f t="shared" si="8"/>
        <v>95860.55</v>
      </c>
      <c r="X41" s="3">
        <f t="shared" si="9"/>
        <v>42</v>
      </c>
      <c r="Y41" s="4">
        <f>INDEX(Categories!$AH:$AH,MATCH(C41,Categories!$A:$A,0))</f>
        <v>71955.39427199999</v>
      </c>
      <c r="Z41" s="3">
        <f>IF(AND(D41="F",Q41&lt;Y41,INDEX(Categories!$AI:$AI,MATCH(C41,Categories!$A:$A,0))&gt;0),1,0)</f>
        <v>0</v>
      </c>
      <c r="AA41" s="4">
        <f t="shared" si="10"/>
        <v>0</v>
      </c>
      <c r="AB41" s="4">
        <f>IF(Z41=1,INDEX(Categories!$AI:$AI,MATCH(C41,Categories!$A:$A,0))*AA41/INDEX(Categories!$AJ:$AJ,MATCH(C41,Categories!$A:$A,0)),0)</f>
        <v>0</v>
      </c>
      <c r="AC41" s="4">
        <f t="shared" si="11"/>
        <v>0</v>
      </c>
      <c r="AD41" s="4">
        <f t="shared" si="12"/>
        <v>86073.94</v>
      </c>
      <c r="AE41" s="3">
        <f t="shared" si="13"/>
        <v>0</v>
      </c>
      <c r="AF41" s="3">
        <f t="shared" si="14"/>
        <v>132</v>
      </c>
      <c r="AG41" s="3">
        <f t="shared" si="15"/>
        <v>12</v>
      </c>
      <c r="AH41" s="3">
        <f t="shared" si="16"/>
        <v>1</v>
      </c>
      <c r="AI41" s="5">
        <f t="shared" si="17"/>
        <v>1.0067127485380116</v>
      </c>
      <c r="AJ41" s="3">
        <f>MATCH(AI41,Inputs!$B$31:$B$34,1)</f>
        <v>3</v>
      </c>
      <c r="AK41" s="5">
        <f>INDEX(Inputs!$C$21:$C$25,MATCH(F41,Inputs!$A$21:$A$25,0))</f>
        <v>1</v>
      </c>
      <c r="AL41" s="5">
        <f>INDEX(Inputs!$D$21:$D$25,MATCH(F41,Inputs!$A$21:$A$25,0))</f>
        <v>0</v>
      </c>
      <c r="AM41" s="4">
        <f t="shared" si="18"/>
        <v>85500</v>
      </c>
      <c r="AN41" s="4">
        <f t="shared" si="19"/>
        <v>0</v>
      </c>
      <c r="AO41" s="3">
        <f t="shared" si="20"/>
        <v>1</v>
      </c>
      <c r="AP41" s="4">
        <f t="shared" si="21"/>
        <v>25822.182000000001</v>
      </c>
      <c r="AQ41" s="4">
        <f t="shared" si="22"/>
        <v>0</v>
      </c>
      <c r="AR41" s="4">
        <f t="shared" si="23"/>
        <v>0</v>
      </c>
      <c r="AS41" s="3">
        <f t="shared" si="24"/>
        <v>0</v>
      </c>
      <c r="AT41" s="4">
        <f t="shared" si="25"/>
        <v>0</v>
      </c>
      <c r="AU41" s="4">
        <f t="shared" si="26"/>
        <v>16526.059999999998</v>
      </c>
      <c r="AV41" s="4">
        <f t="shared" si="27"/>
        <v>0</v>
      </c>
      <c r="AW41" s="4">
        <f t="shared" si="28"/>
        <v>0</v>
      </c>
      <c r="AX41" s="5">
        <f t="shared" si="29"/>
        <v>0</v>
      </c>
      <c r="AY41" s="4">
        <f t="shared" si="30"/>
        <v>86073.94</v>
      </c>
      <c r="AZ41" s="3">
        <f t="shared" si="31"/>
        <v>0</v>
      </c>
      <c r="BA41" s="4">
        <f t="shared" si="32"/>
        <v>95860.546977999998</v>
      </c>
      <c r="BB41" s="4">
        <f t="shared" si="33"/>
        <v>20043.122481131595</v>
      </c>
      <c r="BC41" s="4">
        <f t="shared" si="34"/>
        <v>95860.546977999998</v>
      </c>
      <c r="BD41" s="4">
        <f t="shared" si="35"/>
        <v>20043.122481131595</v>
      </c>
      <c r="BE41" s="4">
        <f t="shared" si="36"/>
        <v>95860.546977999998</v>
      </c>
      <c r="BF41" s="4">
        <f t="shared" si="37"/>
        <v>20043.122481131595</v>
      </c>
      <c r="BG41" s="4">
        <f t="shared" si="38"/>
        <v>0</v>
      </c>
      <c r="BH41" s="4">
        <f t="shared" si="39"/>
        <v>0</v>
      </c>
      <c r="BI41" s="4">
        <f t="shared" si="40"/>
        <v>0</v>
      </c>
      <c r="BJ41" s="4">
        <f t="shared" si="41"/>
        <v>0</v>
      </c>
      <c r="BK41" s="4">
        <f t="shared" si="42"/>
        <v>0</v>
      </c>
      <c r="BL41" s="4">
        <f t="shared" si="43"/>
        <v>0</v>
      </c>
      <c r="BM41" s="4">
        <f t="shared" si="44"/>
        <v>86073.94</v>
      </c>
      <c r="BN41" s="4">
        <f t="shared" si="45"/>
        <v>3442.9576000000002</v>
      </c>
      <c r="BO41" s="4">
        <f t="shared" si="46"/>
        <v>3442.9576000000002</v>
      </c>
      <c r="BP41" s="4">
        <f t="shared" si="47"/>
        <v>391.46427912000001</v>
      </c>
      <c r="BQ41" s="4">
        <f t="shared" si="48"/>
        <v>99694.968857119995</v>
      </c>
      <c r="BR41" s="4">
        <f t="shared" si="49"/>
        <v>20089.902428056859</v>
      </c>
      <c r="BS41" s="4">
        <f t="shared" si="50"/>
        <v>46.779946925264085</v>
      </c>
      <c r="BT41" s="4">
        <f t="shared" si="51"/>
        <v>95860.546977999998</v>
      </c>
      <c r="BU41" s="4">
        <f t="shared" si="52"/>
        <v>95860.546977999998</v>
      </c>
      <c r="BV41" s="7">
        <f t="shared" si="53"/>
        <v>1054466.016758</v>
      </c>
      <c r="BW41" s="7">
        <f t="shared" si="54"/>
        <v>1054531.6297264998</v>
      </c>
    </row>
    <row r="42" spans="1:75" x14ac:dyDescent="0.3">
      <c r="A42" s="3">
        <f t="shared" si="0"/>
        <v>38</v>
      </c>
      <c r="B42" t="str">
        <f>INDEX(Employees!$A:$A,A42+1)</f>
        <v>E038</v>
      </c>
      <c r="C42" t="str">
        <f>INDEX(Employees!$A:$Z,MATCH(B42,Employees!$A:$A,0),MATCH("category",Employees!$1:$1,0))</f>
        <v>Engineering</v>
      </c>
      <c r="D42" t="str">
        <f>INDEX(Employees!$A:$Z,MATCH(B42,Employees!$A:$A,0),MATCH("gender",Employees!$1:$1,0))</f>
        <v>F</v>
      </c>
      <c r="E42" s="3">
        <f>INDEX(Employees!$A:$Z,MATCH(B42,Employees!$A:$A,0),MATCH("grade",Employees!$1:$1,0))</f>
        <v>7</v>
      </c>
      <c r="F42" s="3">
        <f>INDEX(Employees!$A:$Z,MATCH(B42,Employees!$A:$A,0),MATCH("rating",Employees!$1:$1,0))</f>
        <v>3</v>
      </c>
      <c r="G42" s="22">
        <f>INDEX(Employees!$A:$Z,MATCH(B42,Employees!$A:$A,0),MATCH("hire_date",Employees!$1:$1,0))</f>
        <v>44688</v>
      </c>
      <c r="H42" s="22">
        <f>INDEX(Employees!$A:$Z,MATCH(B42,Employees!$A:$A,0),MATCH("last_change_date",Employees!$1:$1,0))</f>
        <v>46113</v>
      </c>
      <c r="I42" s="4">
        <f>INDEX(Employees!$A:$Z,MATCH(B42,Employees!$A:$A,0),MATCH("base_salary",Employees!$1:$1,0))</f>
        <v>43239.91</v>
      </c>
      <c r="J42" s="5">
        <f>INDEX(Employees!$A:$Z,MATCH(B42,Employees!$A:$A,0),MATCH("bonus_pct",Employees!$1:$1,0))/100</f>
        <v>0.1346</v>
      </c>
      <c r="K42" s="7">
        <f>INDEX(Employees!$A:$Z,MATCH(B42,Employees!$A:$A,0),MATCH("fte",Employees!$1:$1,0))</f>
        <v>1</v>
      </c>
      <c r="L42" s="3">
        <f>IF(ISNA(MATCH(C42&amp;"|"&amp;E42,Bands!$F:$F,0)),0,1)</f>
        <v>1</v>
      </c>
      <c r="M42" s="4">
        <f>INDEX(Bands!$C:$C,MATCH(C42&amp;"|"&amp;E42,Bands!$F:$F,0))</f>
        <v>41600</v>
      </c>
      <c r="N42" s="4">
        <f>INDEX(Bands!$D:$D,MATCH(C42&amp;"|"&amp;E42,Bands!$F:$F,0))</f>
        <v>49900</v>
      </c>
      <c r="O42" s="4">
        <f>INDEX(Bands!$E:$E,MATCH(C42&amp;"|"&amp;E42,Bands!$F:$F,0))</f>
        <v>58200</v>
      </c>
      <c r="P42" s="7">
        <f t="shared" si="1"/>
        <v>4.900752908966461</v>
      </c>
      <c r="Q42" s="4">
        <f t="shared" si="2"/>
        <v>49060.001886000005</v>
      </c>
      <c r="R42" s="7">
        <f t="shared" si="3"/>
        <v>49</v>
      </c>
      <c r="S42" s="7">
        <f t="shared" si="4"/>
        <v>24.017379074743229</v>
      </c>
      <c r="T42" s="7">
        <f t="shared" si="5"/>
        <v>34.305270362765228</v>
      </c>
      <c r="U42" s="7">
        <f t="shared" si="6"/>
        <v>343420.01320200006</v>
      </c>
      <c r="V42" s="7">
        <f t="shared" si="7"/>
        <v>240430.94695671459</v>
      </c>
      <c r="W42" s="4">
        <f t="shared" si="8"/>
        <v>49060</v>
      </c>
      <c r="X42" s="3">
        <f t="shared" si="9"/>
        <v>5</v>
      </c>
      <c r="Y42" s="4">
        <f>INDEX(Categories!$AH:$AH,MATCH(C42,Categories!$A:$A,0))</f>
        <v>71955.39427199999</v>
      </c>
      <c r="Z42" s="3">
        <f>IF(AND(D42="F",Q42&lt;Y42,INDEX(Categories!$AI:$AI,MATCH(C42,Categories!$A:$A,0))&gt;0),1,0)</f>
        <v>1</v>
      </c>
      <c r="AA42" s="4">
        <f t="shared" si="10"/>
        <v>22895.392385999985</v>
      </c>
      <c r="AB42" s="4">
        <f>IF(Z42=1,INDEX(Categories!$AI:$AI,MATCH(C42,Categories!$A:$A,0))*AA42/INDEX(Categories!$AJ:$AJ,MATCH(C42,Categories!$A:$A,0)),0)</f>
        <v>17950.291266163458</v>
      </c>
      <c r="AC42" s="4">
        <f t="shared" si="11"/>
        <v>15820.810211672358</v>
      </c>
      <c r="AD42" s="4">
        <f t="shared" si="12"/>
        <v>59060.720211672364</v>
      </c>
      <c r="AE42" s="3">
        <f t="shared" si="13"/>
        <v>1</v>
      </c>
      <c r="AF42" s="3">
        <f t="shared" si="14"/>
        <v>58</v>
      </c>
      <c r="AG42" s="3">
        <f t="shared" si="15"/>
        <v>12</v>
      </c>
      <c r="AH42" s="3">
        <f t="shared" si="16"/>
        <v>1</v>
      </c>
      <c r="AI42" s="5">
        <f t="shared" si="17"/>
        <v>1.1835815673681835</v>
      </c>
      <c r="AJ42" s="3">
        <f>MATCH(AI42,Inputs!$B$31:$B$34,1)</f>
        <v>4</v>
      </c>
      <c r="AK42" s="5">
        <f>INDEX(Inputs!$C$21:$C$25,MATCH(F42,Inputs!$A$21:$A$25,0))</f>
        <v>1</v>
      </c>
      <c r="AL42" s="5">
        <f>INDEX(Inputs!$D$21:$D$25,MATCH(F42,Inputs!$A$21:$A$25,0))</f>
        <v>0</v>
      </c>
      <c r="AM42" s="4">
        <f t="shared" si="18"/>
        <v>49900</v>
      </c>
      <c r="AN42" s="4">
        <f t="shared" si="19"/>
        <v>0</v>
      </c>
      <c r="AO42" s="3">
        <f t="shared" si="20"/>
        <v>1</v>
      </c>
      <c r="AP42" s="4">
        <f t="shared" si="21"/>
        <v>17718.21606350171</v>
      </c>
      <c r="AQ42" s="4">
        <f t="shared" si="22"/>
        <v>0</v>
      </c>
      <c r="AR42" s="4">
        <f t="shared" si="23"/>
        <v>0</v>
      </c>
      <c r="AS42" s="3">
        <f t="shared" si="24"/>
        <v>1</v>
      </c>
      <c r="AT42" s="4">
        <f t="shared" si="25"/>
        <v>0</v>
      </c>
      <c r="AU42" s="4">
        <f t="shared" si="26"/>
        <v>0</v>
      </c>
      <c r="AV42" s="4">
        <f t="shared" si="27"/>
        <v>0</v>
      </c>
      <c r="AW42" s="4">
        <f t="shared" si="28"/>
        <v>0</v>
      </c>
      <c r="AX42" s="5">
        <f t="shared" si="29"/>
        <v>0</v>
      </c>
      <c r="AY42" s="4">
        <f t="shared" si="30"/>
        <v>59060.720211672364</v>
      </c>
      <c r="AZ42" s="3">
        <f t="shared" si="31"/>
        <v>0</v>
      </c>
      <c r="BA42" s="4">
        <f t="shared" si="32"/>
        <v>49060.001886000005</v>
      </c>
      <c r="BB42" s="4">
        <f t="shared" si="33"/>
        <v>15772.790606349003</v>
      </c>
      <c r="BC42" s="4">
        <f t="shared" si="34"/>
        <v>67010.29315216346</v>
      </c>
      <c r="BD42" s="4">
        <f t="shared" si="35"/>
        <v>19736.070174260767</v>
      </c>
      <c r="BE42" s="4">
        <f t="shared" si="36"/>
        <v>67010.29315216346</v>
      </c>
      <c r="BF42" s="4">
        <f t="shared" si="37"/>
        <v>19736.070174260767</v>
      </c>
      <c r="BG42" s="4">
        <f t="shared" si="38"/>
        <v>15820.810211672358</v>
      </c>
      <c r="BH42" s="4">
        <f t="shared" si="39"/>
        <v>2129.4810544910993</v>
      </c>
      <c r="BI42" s="4">
        <f t="shared" si="40"/>
        <v>3963.2795679117644</v>
      </c>
      <c r="BJ42" s="4">
        <f t="shared" si="41"/>
        <v>0</v>
      </c>
      <c r="BK42" s="4">
        <f t="shared" si="42"/>
        <v>0</v>
      </c>
      <c r="BL42" s="4">
        <f t="shared" si="43"/>
        <v>0</v>
      </c>
      <c r="BM42" s="4">
        <f t="shared" si="44"/>
        <v>59060.720211672364</v>
      </c>
      <c r="BN42" s="4">
        <f t="shared" si="45"/>
        <v>2362.4288084668947</v>
      </c>
      <c r="BO42" s="4">
        <f t="shared" si="46"/>
        <v>2362.4288084668947</v>
      </c>
      <c r="BP42" s="4">
        <f t="shared" si="47"/>
        <v>317.98291761964401</v>
      </c>
      <c r="BQ42" s="4">
        <f t="shared" si="48"/>
        <v>69690.704878250006</v>
      </c>
      <c r="BR42" s="4">
        <f t="shared" si="49"/>
        <v>19763.686018733799</v>
      </c>
      <c r="BS42" s="4">
        <f t="shared" si="50"/>
        <v>27.615844473031757</v>
      </c>
      <c r="BT42" s="4">
        <f t="shared" si="51"/>
        <v>67010.29315216346</v>
      </c>
      <c r="BU42" s="4">
        <f t="shared" si="52"/>
        <v>67010.29315216346</v>
      </c>
      <c r="BV42" s="7">
        <f t="shared" si="53"/>
        <v>469072.05206514423</v>
      </c>
      <c r="BW42" s="7">
        <f t="shared" si="54"/>
        <v>328400.88909616042</v>
      </c>
    </row>
    <row r="43" spans="1:75" x14ac:dyDescent="0.3">
      <c r="A43" s="3">
        <f t="shared" si="0"/>
        <v>39</v>
      </c>
      <c r="B43" t="str">
        <f>INDEX(Employees!$A:$A,A43+1)</f>
        <v>E039</v>
      </c>
      <c r="C43" t="str">
        <f>INDEX(Employees!$A:$Z,MATCH(B43,Employees!$A:$A,0),MATCH("category",Employees!$1:$1,0))</f>
        <v>Engineering</v>
      </c>
      <c r="D43" t="str">
        <f>INDEX(Employees!$A:$Z,MATCH(B43,Employees!$A:$A,0),MATCH("gender",Employees!$1:$1,0))</f>
        <v>F</v>
      </c>
      <c r="E43" s="3">
        <f>INDEX(Employees!$A:$Z,MATCH(B43,Employees!$A:$A,0),MATCH("grade",Employees!$1:$1,0))</f>
        <v>8</v>
      </c>
      <c r="F43" s="3">
        <f>INDEX(Employees!$A:$Z,MATCH(B43,Employees!$A:$A,0),MATCH("rating",Employees!$1:$1,0))</f>
        <v>2</v>
      </c>
      <c r="G43" s="22">
        <f>INDEX(Employees!$A:$Z,MATCH(B43,Employees!$A:$A,0),MATCH("hire_date",Employees!$1:$1,0))</f>
        <v>45163</v>
      </c>
      <c r="H43" s="22">
        <f>INDEX(Employees!$A:$Z,MATCH(B43,Employees!$A:$A,0),MATCH("last_change_date",Employees!$1:$1,0))</f>
        <v>46113</v>
      </c>
      <c r="I43" s="4">
        <f>INDEX(Employees!$A:$Z,MATCH(B43,Employees!$A:$A,0),MATCH("base_salary",Employees!$1:$1,0))</f>
        <v>42458.25</v>
      </c>
      <c r="J43" s="5">
        <f>INDEX(Employees!$A:$Z,MATCH(B43,Employees!$A:$A,0),MATCH("bonus_pct",Employees!$1:$1,0))/100</f>
        <v>0.13699999999999998</v>
      </c>
      <c r="K43" s="7">
        <f>INDEX(Employees!$A:$Z,MATCH(B43,Employees!$A:$A,0),MATCH("fte",Employees!$1:$1,0))</f>
        <v>1</v>
      </c>
      <c r="L43" s="3">
        <f>IF(ISNA(MATCH(C43&amp;"|"&amp;E43,Bands!$F:$F,0)),0,1)</f>
        <v>1</v>
      </c>
      <c r="M43" s="4">
        <f>INDEX(Bands!$C:$C,MATCH(C43&amp;"|"&amp;E43,Bands!$F:$F,0))</f>
        <v>47700</v>
      </c>
      <c r="N43" s="4">
        <f>INDEX(Bands!$D:$D,MATCH(C43&amp;"|"&amp;E43,Bands!$F:$F,0))</f>
        <v>57200</v>
      </c>
      <c r="O43" s="4">
        <f>INDEX(Bands!$E:$E,MATCH(C43&amp;"|"&amp;E43,Bands!$F:$F,0))</f>
        <v>66800</v>
      </c>
      <c r="P43" s="7">
        <f t="shared" si="1"/>
        <v>3.6002737850787132</v>
      </c>
      <c r="Q43" s="4">
        <f t="shared" si="2"/>
        <v>48275.030250000003</v>
      </c>
      <c r="R43" s="7">
        <f t="shared" si="3"/>
        <v>64</v>
      </c>
      <c r="S43" s="7">
        <f t="shared" si="4"/>
        <v>12.961971327525005</v>
      </c>
      <c r="T43" s="7">
        <f t="shared" si="5"/>
        <v>28.802190280629706</v>
      </c>
      <c r="U43" s="7">
        <f t="shared" si="6"/>
        <v>386200.24200000003</v>
      </c>
      <c r="V43" s="7">
        <f t="shared" si="7"/>
        <v>173803.32588295688</v>
      </c>
      <c r="W43" s="4">
        <f t="shared" si="8"/>
        <v>48275.03</v>
      </c>
      <c r="X43" s="3">
        <f t="shared" si="9"/>
        <v>3</v>
      </c>
      <c r="Y43" s="4">
        <f>INDEX(Categories!$AH:$AH,MATCH(C43,Categories!$A:$A,0))</f>
        <v>71955.39427199999</v>
      </c>
      <c r="Z43" s="3">
        <f>IF(AND(D43="F",Q43&lt;Y43,INDEX(Categories!$AI:$AI,MATCH(C43,Categories!$A:$A,0))&gt;0),1,0)</f>
        <v>1</v>
      </c>
      <c r="AA43" s="4">
        <f t="shared" si="10"/>
        <v>23680.364021999987</v>
      </c>
      <c r="AB43" s="4">
        <f>IF(Z43=1,INDEX(Categories!$AI:$AI,MATCH(C43,Categories!$A:$A,0))*AA43/INDEX(Categories!$AJ:$AJ,MATCH(C43,Categories!$A:$A,0)),0)</f>
        <v>18565.719438973145</v>
      </c>
      <c r="AC43" s="4">
        <f t="shared" si="11"/>
        <v>16328.689040433725</v>
      </c>
      <c r="AD43" s="4">
        <f t="shared" si="12"/>
        <v>58786.939040433725</v>
      </c>
      <c r="AE43" s="3">
        <f t="shared" si="13"/>
        <v>0</v>
      </c>
      <c r="AF43" s="3">
        <f t="shared" si="14"/>
        <v>43</v>
      </c>
      <c r="AG43" s="3">
        <f t="shared" si="15"/>
        <v>12</v>
      </c>
      <c r="AH43" s="3">
        <f t="shared" si="16"/>
        <v>1</v>
      </c>
      <c r="AI43" s="5">
        <f t="shared" si="17"/>
        <v>1.027743689518072</v>
      </c>
      <c r="AJ43" s="3">
        <f>MATCH(AI43,Inputs!$B$31:$B$34,1)</f>
        <v>3</v>
      </c>
      <c r="AK43" s="5">
        <f>INDEX(Inputs!$C$21:$C$25,MATCH(F43,Inputs!$A$21:$A$25,0))</f>
        <v>0.95</v>
      </c>
      <c r="AL43" s="5">
        <f>INDEX(Inputs!$D$21:$D$25,MATCH(F43,Inputs!$A$21:$A$25,0))</f>
        <v>0</v>
      </c>
      <c r="AM43" s="4">
        <f t="shared" si="18"/>
        <v>54340</v>
      </c>
      <c r="AN43" s="4">
        <f t="shared" si="19"/>
        <v>0</v>
      </c>
      <c r="AO43" s="3">
        <f t="shared" si="20"/>
        <v>1</v>
      </c>
      <c r="AP43" s="4">
        <f t="shared" si="21"/>
        <v>17636.081712130115</v>
      </c>
      <c r="AQ43" s="4">
        <f t="shared" si="22"/>
        <v>0</v>
      </c>
      <c r="AR43" s="4">
        <f t="shared" si="23"/>
        <v>0</v>
      </c>
      <c r="AS43" s="3">
        <f t="shared" si="24"/>
        <v>0</v>
      </c>
      <c r="AT43" s="4">
        <f t="shared" si="25"/>
        <v>0</v>
      </c>
      <c r="AU43" s="4">
        <f t="shared" si="26"/>
        <v>8013.0609595662754</v>
      </c>
      <c r="AV43" s="4">
        <f t="shared" si="27"/>
        <v>0</v>
      </c>
      <c r="AW43" s="4">
        <f t="shared" si="28"/>
        <v>0</v>
      </c>
      <c r="AX43" s="5">
        <f t="shared" si="29"/>
        <v>0</v>
      </c>
      <c r="AY43" s="4">
        <f t="shared" si="30"/>
        <v>58786.939040433725</v>
      </c>
      <c r="AZ43" s="3">
        <f t="shared" si="31"/>
        <v>0</v>
      </c>
      <c r="BA43" s="4">
        <f t="shared" si="32"/>
        <v>48275.030250000003</v>
      </c>
      <c r="BB43" s="4">
        <f t="shared" si="33"/>
        <v>15520.422225375001</v>
      </c>
      <c r="BC43" s="4">
        <f t="shared" si="34"/>
        <v>66840.749688973141</v>
      </c>
      <c r="BD43" s="4">
        <f t="shared" si="35"/>
        <v>19734.442557014143</v>
      </c>
      <c r="BE43" s="4">
        <f t="shared" si="36"/>
        <v>66840.749688973141</v>
      </c>
      <c r="BF43" s="4">
        <f t="shared" si="37"/>
        <v>19734.442557014143</v>
      </c>
      <c r="BG43" s="4">
        <f t="shared" si="38"/>
        <v>16328.689040433725</v>
      </c>
      <c r="BH43" s="4">
        <f t="shared" si="39"/>
        <v>2237.0303985394198</v>
      </c>
      <c r="BI43" s="4">
        <f t="shared" si="40"/>
        <v>4214.0203316391417</v>
      </c>
      <c r="BJ43" s="4">
        <f t="shared" si="41"/>
        <v>0</v>
      </c>
      <c r="BK43" s="4">
        <f t="shared" si="42"/>
        <v>0</v>
      </c>
      <c r="BL43" s="4">
        <f t="shared" si="43"/>
        <v>0</v>
      </c>
      <c r="BM43" s="4">
        <f t="shared" si="44"/>
        <v>58786.939040433725</v>
      </c>
      <c r="BN43" s="4">
        <f t="shared" si="45"/>
        <v>2351.4775616173492</v>
      </c>
      <c r="BO43" s="4">
        <f t="shared" si="46"/>
        <v>2351.4775616173492</v>
      </c>
      <c r="BP43" s="4">
        <f t="shared" si="47"/>
        <v>322.15242594157678</v>
      </c>
      <c r="BQ43" s="4">
        <f t="shared" si="48"/>
        <v>69514.379676532073</v>
      </c>
      <c r="BR43" s="4">
        <f t="shared" si="49"/>
        <v>19761.852236635932</v>
      </c>
      <c r="BS43" s="4">
        <f t="shared" si="50"/>
        <v>27.40967962178911</v>
      </c>
      <c r="BT43" s="4">
        <f t="shared" si="51"/>
        <v>66840.749688973141</v>
      </c>
      <c r="BU43" s="4">
        <f t="shared" si="52"/>
        <v>66840.749688973141</v>
      </c>
      <c r="BV43" s="7">
        <f t="shared" si="53"/>
        <v>534725.99751178513</v>
      </c>
      <c r="BW43" s="7">
        <f t="shared" si="54"/>
        <v>240644.99888021816</v>
      </c>
    </row>
    <row r="44" spans="1:75" x14ac:dyDescent="0.3">
      <c r="A44" s="3">
        <f t="shared" si="0"/>
        <v>40</v>
      </c>
      <c r="B44" t="str">
        <f>INDEX(Employees!$A:$A,A44+1)</f>
        <v>E040</v>
      </c>
      <c r="C44" t="str">
        <f>INDEX(Employees!$A:$Z,MATCH(B44,Employees!$A:$A,0),MATCH("category",Employees!$1:$1,0))</f>
        <v>Engineering</v>
      </c>
      <c r="D44" t="str">
        <f>INDEX(Employees!$A:$Z,MATCH(B44,Employees!$A:$A,0),MATCH("gender",Employees!$1:$1,0))</f>
        <v>M</v>
      </c>
      <c r="E44" s="3">
        <f>INDEX(Employees!$A:$Z,MATCH(B44,Employees!$A:$A,0),MATCH("grade",Employees!$1:$1,0))</f>
        <v>12</v>
      </c>
      <c r="F44" s="3">
        <f>INDEX(Employees!$A:$Z,MATCH(B44,Employees!$A:$A,0),MATCH("rating",Employees!$1:$1,0))</f>
        <v>3</v>
      </c>
      <c r="G44" s="22">
        <f>INDEX(Employees!$A:$Z,MATCH(B44,Employees!$A:$A,0),MATCH("hire_date",Employees!$1:$1,0))</f>
        <v>42752</v>
      </c>
      <c r="H44" s="22">
        <f>INDEX(Employees!$A:$Z,MATCH(B44,Employees!$A:$A,0),MATCH("last_change_date",Employees!$1:$1,0))</f>
        <v>46113</v>
      </c>
      <c r="I44" s="4">
        <f>INDEX(Employees!$A:$Z,MATCH(B44,Employees!$A:$A,0),MATCH("base_salary",Employees!$1:$1,0))</f>
        <v>100078.79</v>
      </c>
      <c r="J44" s="5">
        <f>INDEX(Employees!$A:$Z,MATCH(B44,Employees!$A:$A,0),MATCH("bonus_pct",Employees!$1:$1,0))/100</f>
        <v>0.1149</v>
      </c>
      <c r="K44" s="7">
        <f>INDEX(Employees!$A:$Z,MATCH(B44,Employees!$A:$A,0),MATCH("fte",Employees!$1:$1,0))</f>
        <v>1</v>
      </c>
      <c r="L44" s="3">
        <f>IF(ISNA(MATCH(C44&amp;"|"&amp;E44,Bands!$F:$F,0)),0,1)</f>
        <v>1</v>
      </c>
      <c r="M44" s="4">
        <f>INDEX(Bands!$C:$C,MATCH(C44&amp;"|"&amp;E44,Bands!$F:$F,0))</f>
        <v>75200</v>
      </c>
      <c r="N44" s="4">
        <f>INDEX(Bands!$D:$D,MATCH(C44&amp;"|"&amp;E44,Bands!$F:$F,0))</f>
        <v>97700</v>
      </c>
      <c r="O44" s="4">
        <f>INDEX(Bands!$E:$E,MATCH(C44&amp;"|"&amp;E44,Bands!$F:$F,0))</f>
        <v>120300</v>
      </c>
      <c r="P44" s="7">
        <f t="shared" si="1"/>
        <v>10.201232032854209</v>
      </c>
      <c r="Q44" s="4">
        <f t="shared" si="2"/>
        <v>111577.84297099999</v>
      </c>
      <c r="R44" s="7">
        <f t="shared" si="3"/>
        <v>144</v>
      </c>
      <c r="S44" s="7">
        <f t="shared" si="4"/>
        <v>104.06513498813082</v>
      </c>
      <c r="T44" s="7">
        <f t="shared" si="5"/>
        <v>122.41478439425052</v>
      </c>
      <c r="U44" s="7">
        <f t="shared" si="6"/>
        <v>1338934.1156519998</v>
      </c>
      <c r="V44" s="7">
        <f t="shared" si="7"/>
        <v>1138231.465872542</v>
      </c>
      <c r="W44" s="4">
        <f t="shared" si="8"/>
        <v>111577.84</v>
      </c>
      <c r="X44" s="3">
        <f t="shared" si="9"/>
        <v>44</v>
      </c>
      <c r="Y44" s="4">
        <f>INDEX(Categories!$AH:$AH,MATCH(C44,Categories!$A:$A,0))</f>
        <v>71955.39427199999</v>
      </c>
      <c r="Z44" s="3">
        <f>IF(AND(D44="F",Q44&lt;Y44,INDEX(Categories!$AI:$AI,MATCH(C44,Categories!$A:$A,0))&gt;0),1,0)</f>
        <v>0</v>
      </c>
      <c r="AA44" s="4">
        <f t="shared" si="10"/>
        <v>0</v>
      </c>
      <c r="AB44" s="4">
        <f>IF(Z44=1,INDEX(Categories!$AI:$AI,MATCH(C44,Categories!$A:$A,0))*AA44/INDEX(Categories!$AJ:$AJ,MATCH(C44,Categories!$A:$A,0)),0)</f>
        <v>0</v>
      </c>
      <c r="AC44" s="4">
        <f t="shared" si="11"/>
        <v>0</v>
      </c>
      <c r="AD44" s="4">
        <f t="shared" si="12"/>
        <v>100078.79</v>
      </c>
      <c r="AE44" s="3">
        <f t="shared" si="13"/>
        <v>0</v>
      </c>
      <c r="AF44" s="3">
        <f t="shared" si="14"/>
        <v>122</v>
      </c>
      <c r="AG44" s="3">
        <f t="shared" si="15"/>
        <v>12</v>
      </c>
      <c r="AH44" s="3">
        <f t="shared" si="16"/>
        <v>1</v>
      </c>
      <c r="AI44" s="5">
        <f t="shared" si="17"/>
        <v>1.0243479017400203</v>
      </c>
      <c r="AJ44" s="3">
        <f>MATCH(AI44,Inputs!$B$31:$B$34,1)</f>
        <v>3</v>
      </c>
      <c r="AK44" s="5">
        <f>INDEX(Inputs!$C$21:$C$25,MATCH(F44,Inputs!$A$21:$A$25,0))</f>
        <v>1</v>
      </c>
      <c r="AL44" s="5">
        <f>INDEX(Inputs!$D$21:$D$25,MATCH(F44,Inputs!$A$21:$A$25,0))</f>
        <v>0</v>
      </c>
      <c r="AM44" s="4">
        <f t="shared" si="18"/>
        <v>97700</v>
      </c>
      <c r="AN44" s="4">
        <f t="shared" si="19"/>
        <v>0</v>
      </c>
      <c r="AO44" s="3">
        <f t="shared" si="20"/>
        <v>1</v>
      </c>
      <c r="AP44" s="4">
        <f t="shared" si="21"/>
        <v>30023.636999999995</v>
      </c>
      <c r="AQ44" s="4">
        <f t="shared" si="22"/>
        <v>0</v>
      </c>
      <c r="AR44" s="4">
        <f t="shared" si="23"/>
        <v>0</v>
      </c>
      <c r="AS44" s="3">
        <f t="shared" si="24"/>
        <v>0</v>
      </c>
      <c r="AT44" s="4">
        <f t="shared" si="25"/>
        <v>0</v>
      </c>
      <c r="AU44" s="4">
        <f t="shared" si="26"/>
        <v>20221.210000000006</v>
      </c>
      <c r="AV44" s="4">
        <f t="shared" si="27"/>
        <v>0</v>
      </c>
      <c r="AW44" s="4">
        <f t="shared" si="28"/>
        <v>0</v>
      </c>
      <c r="AX44" s="5">
        <f t="shared" si="29"/>
        <v>0</v>
      </c>
      <c r="AY44" s="4">
        <f t="shared" si="30"/>
        <v>100078.79</v>
      </c>
      <c r="AZ44" s="3">
        <f t="shared" si="31"/>
        <v>0</v>
      </c>
      <c r="BA44" s="4">
        <f t="shared" si="32"/>
        <v>111577.84297099999</v>
      </c>
      <c r="BB44" s="4">
        <f t="shared" si="33"/>
        <v>20234.873492246195</v>
      </c>
      <c r="BC44" s="4">
        <f t="shared" si="34"/>
        <v>111577.84297099999</v>
      </c>
      <c r="BD44" s="4">
        <f t="shared" si="35"/>
        <v>20234.873492246195</v>
      </c>
      <c r="BE44" s="4">
        <f t="shared" si="36"/>
        <v>111577.84297099999</v>
      </c>
      <c r="BF44" s="4">
        <f t="shared" si="37"/>
        <v>20234.873492246195</v>
      </c>
      <c r="BG44" s="4">
        <f t="shared" si="38"/>
        <v>0</v>
      </c>
      <c r="BH44" s="4">
        <f t="shared" si="39"/>
        <v>0</v>
      </c>
      <c r="BI44" s="4">
        <f t="shared" si="40"/>
        <v>0</v>
      </c>
      <c r="BJ44" s="4">
        <f t="shared" si="41"/>
        <v>0</v>
      </c>
      <c r="BK44" s="4">
        <f t="shared" si="42"/>
        <v>0</v>
      </c>
      <c r="BL44" s="4">
        <f t="shared" si="43"/>
        <v>0</v>
      </c>
      <c r="BM44" s="4">
        <f t="shared" si="44"/>
        <v>100078.79</v>
      </c>
      <c r="BN44" s="4">
        <f t="shared" si="45"/>
        <v>4003.1515999999997</v>
      </c>
      <c r="BO44" s="4">
        <f t="shared" si="46"/>
        <v>4003.1515999999997</v>
      </c>
      <c r="BP44" s="4">
        <f t="shared" si="47"/>
        <v>459.96211883999996</v>
      </c>
      <c r="BQ44" s="4">
        <f t="shared" si="48"/>
        <v>116040.95668983999</v>
      </c>
      <c r="BR44" s="4">
        <f t="shared" si="49"/>
        <v>20289.323479616043</v>
      </c>
      <c r="BS44" s="4">
        <f t="shared" si="50"/>
        <v>54.449987369847804</v>
      </c>
      <c r="BT44" s="4">
        <f t="shared" si="51"/>
        <v>111577.84297099999</v>
      </c>
      <c r="BU44" s="4">
        <f t="shared" si="52"/>
        <v>111577.84297099999</v>
      </c>
      <c r="BV44" s="7">
        <f t="shared" si="53"/>
        <v>1338934.1156519998</v>
      </c>
      <c r="BW44" s="7">
        <f t="shared" si="54"/>
        <v>1138231.465872542</v>
      </c>
    </row>
    <row r="45" spans="1:75" x14ac:dyDescent="0.3">
      <c r="A45" s="3">
        <f t="shared" si="0"/>
        <v>41</v>
      </c>
      <c r="B45" t="str">
        <f>INDEX(Employees!$A:$A,A45+1)</f>
        <v>E041</v>
      </c>
      <c r="C45" t="str">
        <f>INDEX(Employees!$A:$Z,MATCH(B45,Employees!$A:$A,0),MATCH("category",Employees!$1:$1,0))</f>
        <v>Engineering</v>
      </c>
      <c r="D45" t="str">
        <f>INDEX(Employees!$A:$Z,MATCH(B45,Employees!$A:$A,0),MATCH("gender",Employees!$1:$1,0))</f>
        <v>M</v>
      </c>
      <c r="E45" s="3">
        <f>INDEX(Employees!$A:$Z,MATCH(B45,Employees!$A:$A,0),MATCH("grade",Employees!$1:$1,0))</f>
        <v>9</v>
      </c>
      <c r="F45" s="3">
        <f>INDEX(Employees!$A:$Z,MATCH(B45,Employees!$A:$A,0),MATCH("rating",Employees!$1:$1,0))</f>
        <v>3</v>
      </c>
      <c r="G45" s="22">
        <f>INDEX(Employees!$A:$Z,MATCH(B45,Employees!$A:$A,0),MATCH("hire_date",Employees!$1:$1,0))</f>
        <v>44725</v>
      </c>
      <c r="H45" s="22">
        <f>INDEX(Employees!$A:$Z,MATCH(B45,Employees!$A:$A,0),MATCH("last_change_date",Employees!$1:$1,0))</f>
        <v>46113</v>
      </c>
      <c r="I45" s="4">
        <f>INDEX(Employees!$A:$Z,MATCH(B45,Employees!$A:$A,0),MATCH("base_salary",Employees!$1:$1,0))</f>
        <v>64977.74</v>
      </c>
      <c r="J45" s="5">
        <f>INDEX(Employees!$A:$Z,MATCH(B45,Employees!$A:$A,0),MATCH("bonus_pct",Employees!$1:$1,0))/100</f>
        <v>0.12029999999999999</v>
      </c>
      <c r="K45" s="7">
        <f>INDEX(Employees!$A:$Z,MATCH(B45,Employees!$A:$A,0),MATCH("fte",Employees!$1:$1,0))</f>
        <v>1</v>
      </c>
      <c r="L45" s="3">
        <f>IF(ISNA(MATCH(C45&amp;"|"&amp;E45,Bands!$F:$F,0)),0,1)</f>
        <v>1</v>
      </c>
      <c r="M45" s="4">
        <f>INDEX(Bands!$C:$C,MATCH(C45&amp;"|"&amp;E45,Bands!$F:$F,0))</f>
        <v>54500</v>
      </c>
      <c r="N45" s="4">
        <f>INDEX(Bands!$D:$D,MATCH(C45&amp;"|"&amp;E45,Bands!$F:$F,0))</f>
        <v>65400</v>
      </c>
      <c r="O45" s="4">
        <f>INDEX(Bands!$E:$E,MATCH(C45&amp;"|"&amp;E45,Bands!$F:$F,0))</f>
        <v>76300</v>
      </c>
      <c r="P45" s="7">
        <f t="shared" si="1"/>
        <v>4.7994524298425736</v>
      </c>
      <c r="Q45" s="4">
        <f t="shared" si="2"/>
        <v>72794.562122000003</v>
      </c>
      <c r="R45" s="7">
        <f t="shared" si="3"/>
        <v>81</v>
      </c>
      <c r="S45" s="7">
        <f t="shared" si="4"/>
        <v>23.034743626321784</v>
      </c>
      <c r="T45" s="7">
        <f t="shared" si="5"/>
        <v>43.195071868583163</v>
      </c>
      <c r="U45" s="7">
        <f t="shared" si="6"/>
        <v>655151.05909800006</v>
      </c>
      <c r="V45" s="7">
        <f t="shared" si="7"/>
        <v>349374.0380557591</v>
      </c>
      <c r="W45" s="4">
        <f t="shared" si="8"/>
        <v>72794.559999999998</v>
      </c>
      <c r="X45" s="3">
        <f t="shared" si="9"/>
        <v>24</v>
      </c>
      <c r="Y45" s="4">
        <f>INDEX(Categories!$AH:$AH,MATCH(C45,Categories!$A:$A,0))</f>
        <v>71955.39427199999</v>
      </c>
      <c r="Z45" s="3">
        <f>IF(AND(D45="F",Q45&lt;Y45,INDEX(Categories!$AI:$AI,MATCH(C45,Categories!$A:$A,0))&gt;0),1,0)</f>
        <v>0</v>
      </c>
      <c r="AA45" s="4">
        <f t="shared" si="10"/>
        <v>0</v>
      </c>
      <c r="AB45" s="4">
        <f>IF(Z45=1,INDEX(Categories!$AI:$AI,MATCH(C45,Categories!$A:$A,0))*AA45/INDEX(Categories!$AJ:$AJ,MATCH(C45,Categories!$A:$A,0)),0)</f>
        <v>0</v>
      </c>
      <c r="AC45" s="4">
        <f t="shared" si="11"/>
        <v>0</v>
      </c>
      <c r="AD45" s="4">
        <f t="shared" si="12"/>
        <v>64977.74</v>
      </c>
      <c r="AE45" s="3">
        <f t="shared" si="13"/>
        <v>0</v>
      </c>
      <c r="AF45" s="3">
        <f t="shared" si="14"/>
        <v>57</v>
      </c>
      <c r="AG45" s="3">
        <f t="shared" si="15"/>
        <v>12</v>
      </c>
      <c r="AH45" s="3">
        <f t="shared" si="16"/>
        <v>1</v>
      </c>
      <c r="AI45" s="5">
        <f t="shared" si="17"/>
        <v>0.99354342507645255</v>
      </c>
      <c r="AJ45" s="3">
        <f>MATCH(AI45,Inputs!$B$31:$B$34,1)</f>
        <v>2</v>
      </c>
      <c r="AK45" s="5">
        <f>INDEX(Inputs!$C$21:$C$25,MATCH(F45,Inputs!$A$21:$A$25,0))</f>
        <v>1</v>
      </c>
      <c r="AL45" s="5">
        <f>INDEX(Inputs!$D$21:$D$25,MATCH(F45,Inputs!$A$21:$A$25,0))</f>
        <v>0</v>
      </c>
      <c r="AM45" s="4">
        <f t="shared" si="18"/>
        <v>65400</v>
      </c>
      <c r="AN45" s="4">
        <f t="shared" si="19"/>
        <v>422.26000000000204</v>
      </c>
      <c r="AO45" s="3">
        <f t="shared" si="20"/>
        <v>1</v>
      </c>
      <c r="AP45" s="4">
        <f t="shared" si="21"/>
        <v>19493.322</v>
      </c>
      <c r="AQ45" s="4">
        <f t="shared" si="22"/>
        <v>0</v>
      </c>
      <c r="AR45" s="4">
        <f t="shared" si="23"/>
        <v>422.26000000000204</v>
      </c>
      <c r="AS45" s="3">
        <f t="shared" si="24"/>
        <v>0</v>
      </c>
      <c r="AT45" s="4">
        <f t="shared" si="25"/>
        <v>422.26000000000204</v>
      </c>
      <c r="AU45" s="4">
        <f t="shared" si="26"/>
        <v>11322.260000000002</v>
      </c>
      <c r="AV45" s="4">
        <f t="shared" si="27"/>
        <v>422.26000000000204</v>
      </c>
      <c r="AW45" s="4">
        <f t="shared" si="28"/>
        <v>422.26000000000204</v>
      </c>
      <c r="AX45" s="5">
        <f t="shared" si="29"/>
        <v>6.4985331899817082E-3</v>
      </c>
      <c r="AY45" s="4">
        <f t="shared" si="30"/>
        <v>65400</v>
      </c>
      <c r="AZ45" s="3">
        <f t="shared" si="31"/>
        <v>0</v>
      </c>
      <c r="BA45" s="4">
        <f t="shared" si="32"/>
        <v>72794.562122000003</v>
      </c>
      <c r="BB45" s="4">
        <f t="shared" si="33"/>
        <v>19795.966134068796</v>
      </c>
      <c r="BC45" s="4">
        <f t="shared" si="34"/>
        <v>72794.562122000003</v>
      </c>
      <c r="BD45" s="4">
        <f t="shared" si="35"/>
        <v>19795.966134068796</v>
      </c>
      <c r="BE45" s="4">
        <f t="shared" si="36"/>
        <v>73267.62000000001</v>
      </c>
      <c r="BF45" s="4">
        <f t="shared" si="37"/>
        <v>19800.885935999999</v>
      </c>
      <c r="BG45" s="4">
        <f t="shared" si="38"/>
        <v>0</v>
      </c>
      <c r="BH45" s="4">
        <f t="shared" si="39"/>
        <v>0</v>
      </c>
      <c r="BI45" s="4">
        <f t="shared" si="40"/>
        <v>0</v>
      </c>
      <c r="BJ45" s="4">
        <f t="shared" si="41"/>
        <v>422.26000000000204</v>
      </c>
      <c r="BK45" s="4">
        <f t="shared" si="42"/>
        <v>50.797878000000239</v>
      </c>
      <c r="BL45" s="4">
        <f t="shared" si="43"/>
        <v>4.9198019312025281</v>
      </c>
      <c r="BM45" s="4">
        <f t="shared" si="44"/>
        <v>64977.74</v>
      </c>
      <c r="BN45" s="4">
        <f t="shared" si="45"/>
        <v>2599.1095999999998</v>
      </c>
      <c r="BO45" s="4">
        <f t="shared" si="46"/>
        <v>2599.1095999999998</v>
      </c>
      <c r="BP45" s="4">
        <f t="shared" si="47"/>
        <v>312.67288487999997</v>
      </c>
      <c r="BQ45" s="4">
        <f t="shared" si="48"/>
        <v>75706.344606880011</v>
      </c>
      <c r="BR45" s="4">
        <f t="shared" si="49"/>
        <v>19826.248671911551</v>
      </c>
      <c r="BS45" s="4">
        <f t="shared" si="50"/>
        <v>30.282537842755119</v>
      </c>
      <c r="BT45" s="4">
        <f t="shared" si="51"/>
        <v>72794.562122000003</v>
      </c>
      <c r="BU45" s="4">
        <f t="shared" si="52"/>
        <v>73267.62000000001</v>
      </c>
      <c r="BV45" s="7">
        <f t="shared" si="53"/>
        <v>659408.58000000007</v>
      </c>
      <c r="BW45" s="7">
        <f t="shared" si="54"/>
        <v>351644.4568377824</v>
      </c>
    </row>
    <row r="46" spans="1:75" x14ac:dyDescent="0.3">
      <c r="A46" s="3">
        <f t="shared" si="0"/>
        <v>42</v>
      </c>
      <c r="B46" t="str">
        <f>INDEX(Employees!$A:$A,A46+1)</f>
        <v>E042</v>
      </c>
      <c r="C46" t="str">
        <f>INDEX(Employees!$A:$Z,MATCH(B46,Employees!$A:$A,0),MATCH("category",Employees!$1:$1,0))</f>
        <v>Engineering</v>
      </c>
      <c r="D46" t="str">
        <f>INDEX(Employees!$A:$Z,MATCH(B46,Employees!$A:$A,0),MATCH("gender",Employees!$1:$1,0))</f>
        <v>M</v>
      </c>
      <c r="E46" s="3">
        <f>INDEX(Employees!$A:$Z,MATCH(B46,Employees!$A:$A,0),MATCH("grade",Employees!$1:$1,0))</f>
        <v>11</v>
      </c>
      <c r="F46" s="3">
        <f>INDEX(Employees!$A:$Z,MATCH(B46,Employees!$A:$A,0),MATCH("rating",Employees!$1:$1,0))</f>
        <v>3</v>
      </c>
      <c r="G46" s="22">
        <f>INDEX(Employees!$A:$Z,MATCH(B46,Employees!$A:$A,0),MATCH("hire_date",Employees!$1:$1,0))</f>
        <v>42460</v>
      </c>
      <c r="H46" s="22">
        <f>INDEX(Employees!$A:$Z,MATCH(B46,Employees!$A:$A,0),MATCH("last_change_date",Employees!$1:$1,0))</f>
        <v>46113</v>
      </c>
      <c r="I46" s="4">
        <f>INDEX(Employees!$A:$Z,MATCH(B46,Employees!$A:$A,0),MATCH("base_salary",Employees!$1:$1,0))</f>
        <v>87312.07</v>
      </c>
      <c r="J46" s="5">
        <f>INDEX(Employees!$A:$Z,MATCH(B46,Employees!$A:$A,0),MATCH("bonus_pct",Employees!$1:$1,0))/100</f>
        <v>9.7500000000000003E-2</v>
      </c>
      <c r="K46" s="7">
        <f>INDEX(Employees!$A:$Z,MATCH(B46,Employees!$A:$A,0),MATCH("fte",Employees!$1:$1,0))</f>
        <v>1</v>
      </c>
      <c r="L46" s="3">
        <f>IF(ISNA(MATCH(C46&amp;"|"&amp;E46,Bands!$F:$F,0)),0,1)</f>
        <v>1</v>
      </c>
      <c r="M46" s="4">
        <f>INDEX(Bands!$C:$C,MATCH(C46&amp;"|"&amp;E46,Bands!$F:$F,0))</f>
        <v>68400</v>
      </c>
      <c r="N46" s="4">
        <f>INDEX(Bands!$D:$D,MATCH(C46&amp;"|"&amp;E46,Bands!$F:$F,0))</f>
        <v>85500</v>
      </c>
      <c r="O46" s="4">
        <f>INDEX(Bands!$E:$E,MATCH(C46&amp;"|"&amp;E46,Bands!$F:$F,0))</f>
        <v>102600</v>
      </c>
      <c r="P46" s="7">
        <f t="shared" si="1"/>
        <v>11.000684462696784</v>
      </c>
      <c r="Q46" s="4">
        <f t="shared" si="2"/>
        <v>95824.996824999995</v>
      </c>
      <c r="R46" s="7">
        <f t="shared" si="3"/>
        <v>121</v>
      </c>
      <c r="S46" s="7">
        <f t="shared" si="4"/>
        <v>121.01505864781842</v>
      </c>
      <c r="T46" s="7">
        <f t="shared" si="5"/>
        <v>121.00752908966462</v>
      </c>
      <c r="U46" s="7">
        <f t="shared" si="6"/>
        <v>1054074.965075</v>
      </c>
      <c r="V46" s="7">
        <f t="shared" si="7"/>
        <v>1054140.5537107461</v>
      </c>
      <c r="W46" s="4">
        <f t="shared" si="8"/>
        <v>95825</v>
      </c>
      <c r="X46" s="3">
        <f t="shared" si="9"/>
        <v>41</v>
      </c>
      <c r="Y46" s="4">
        <f>INDEX(Categories!$AH:$AH,MATCH(C46,Categories!$A:$A,0))</f>
        <v>71955.39427199999</v>
      </c>
      <c r="Z46" s="3">
        <f>IF(AND(D46="F",Q46&lt;Y46,INDEX(Categories!$AI:$AI,MATCH(C46,Categories!$A:$A,0))&gt;0),1,0)</f>
        <v>0</v>
      </c>
      <c r="AA46" s="4">
        <f t="shared" si="10"/>
        <v>0</v>
      </c>
      <c r="AB46" s="4">
        <f>IF(Z46=1,INDEX(Categories!$AI:$AI,MATCH(C46,Categories!$A:$A,0))*AA46/INDEX(Categories!$AJ:$AJ,MATCH(C46,Categories!$A:$A,0)),0)</f>
        <v>0</v>
      </c>
      <c r="AC46" s="4">
        <f t="shared" si="11"/>
        <v>0</v>
      </c>
      <c r="AD46" s="4">
        <f t="shared" si="12"/>
        <v>87312.07</v>
      </c>
      <c r="AE46" s="3">
        <f t="shared" si="13"/>
        <v>0</v>
      </c>
      <c r="AF46" s="3">
        <f t="shared" si="14"/>
        <v>132</v>
      </c>
      <c r="AG46" s="3">
        <f t="shared" si="15"/>
        <v>12</v>
      </c>
      <c r="AH46" s="3">
        <f t="shared" si="16"/>
        <v>1</v>
      </c>
      <c r="AI46" s="5">
        <f t="shared" si="17"/>
        <v>1.0211938011695907</v>
      </c>
      <c r="AJ46" s="3">
        <f>MATCH(AI46,Inputs!$B$31:$B$34,1)</f>
        <v>3</v>
      </c>
      <c r="AK46" s="5">
        <f>INDEX(Inputs!$C$21:$C$25,MATCH(F46,Inputs!$A$21:$A$25,0))</f>
        <v>1</v>
      </c>
      <c r="AL46" s="5">
        <f>INDEX(Inputs!$D$21:$D$25,MATCH(F46,Inputs!$A$21:$A$25,0))</f>
        <v>0</v>
      </c>
      <c r="AM46" s="4">
        <f t="shared" si="18"/>
        <v>85500</v>
      </c>
      <c r="AN46" s="4">
        <f t="shared" si="19"/>
        <v>0</v>
      </c>
      <c r="AO46" s="3">
        <f t="shared" si="20"/>
        <v>1</v>
      </c>
      <c r="AP46" s="4">
        <f t="shared" si="21"/>
        <v>26193.621000000003</v>
      </c>
      <c r="AQ46" s="4">
        <f t="shared" si="22"/>
        <v>0</v>
      </c>
      <c r="AR46" s="4">
        <f t="shared" si="23"/>
        <v>0</v>
      </c>
      <c r="AS46" s="3">
        <f t="shared" si="24"/>
        <v>0</v>
      </c>
      <c r="AT46" s="4">
        <f t="shared" si="25"/>
        <v>0</v>
      </c>
      <c r="AU46" s="4">
        <f t="shared" si="26"/>
        <v>15287.929999999993</v>
      </c>
      <c r="AV46" s="4">
        <f t="shared" si="27"/>
        <v>0</v>
      </c>
      <c r="AW46" s="4">
        <f t="shared" si="28"/>
        <v>0</v>
      </c>
      <c r="AX46" s="5">
        <f t="shared" si="29"/>
        <v>0</v>
      </c>
      <c r="AY46" s="4">
        <f t="shared" si="30"/>
        <v>87312.07</v>
      </c>
      <c r="AZ46" s="3">
        <f t="shared" si="31"/>
        <v>0</v>
      </c>
      <c r="BA46" s="4">
        <f t="shared" si="32"/>
        <v>95824.996824999995</v>
      </c>
      <c r="BB46" s="4">
        <f t="shared" si="33"/>
        <v>20042.688769264994</v>
      </c>
      <c r="BC46" s="4">
        <f t="shared" si="34"/>
        <v>95824.996824999995</v>
      </c>
      <c r="BD46" s="4">
        <f t="shared" si="35"/>
        <v>20042.688769264994</v>
      </c>
      <c r="BE46" s="4">
        <f t="shared" si="36"/>
        <v>95824.996824999995</v>
      </c>
      <c r="BF46" s="4">
        <f t="shared" si="37"/>
        <v>20042.688769264994</v>
      </c>
      <c r="BG46" s="4">
        <f t="shared" si="38"/>
        <v>0</v>
      </c>
      <c r="BH46" s="4">
        <f t="shared" si="39"/>
        <v>0</v>
      </c>
      <c r="BI46" s="4">
        <f t="shared" si="40"/>
        <v>0</v>
      </c>
      <c r="BJ46" s="4">
        <f t="shared" si="41"/>
        <v>0</v>
      </c>
      <c r="BK46" s="4">
        <f t="shared" si="42"/>
        <v>0</v>
      </c>
      <c r="BL46" s="4">
        <f t="shared" si="43"/>
        <v>0</v>
      </c>
      <c r="BM46" s="4">
        <f t="shared" si="44"/>
        <v>87312.07</v>
      </c>
      <c r="BN46" s="4">
        <f t="shared" si="45"/>
        <v>3492.4828000000002</v>
      </c>
      <c r="BO46" s="4">
        <f t="shared" si="46"/>
        <v>3492.4828000000002</v>
      </c>
      <c r="BP46" s="4">
        <f t="shared" si="47"/>
        <v>340.51707300000004</v>
      </c>
      <c r="BQ46" s="4">
        <f t="shared" si="48"/>
        <v>99657.996698000003</v>
      </c>
      <c r="BR46" s="4">
        <f t="shared" si="49"/>
        <v>20089.451367715596</v>
      </c>
      <c r="BS46" s="4">
        <f t="shared" si="50"/>
        <v>46.762598450601217</v>
      </c>
      <c r="BT46" s="4">
        <f t="shared" si="51"/>
        <v>95824.996824999995</v>
      </c>
      <c r="BU46" s="4">
        <f t="shared" si="52"/>
        <v>95824.996824999995</v>
      </c>
      <c r="BV46" s="7">
        <f t="shared" si="53"/>
        <v>1054074.965075</v>
      </c>
      <c r="BW46" s="7">
        <f t="shared" si="54"/>
        <v>1054140.5537107461</v>
      </c>
    </row>
    <row r="47" spans="1:75" x14ac:dyDescent="0.3">
      <c r="A47" s="3">
        <f t="shared" si="0"/>
        <v>43</v>
      </c>
      <c r="B47" t="str">
        <f>INDEX(Employees!$A:$A,A47+1)</f>
        <v>E043</v>
      </c>
      <c r="C47" t="str">
        <f>INDEX(Employees!$A:$Z,MATCH(B47,Employees!$A:$A,0),MATCH("category",Employees!$1:$1,0))</f>
        <v>Engineering</v>
      </c>
      <c r="D47" t="str">
        <f>INDEX(Employees!$A:$Z,MATCH(B47,Employees!$A:$A,0),MATCH("gender",Employees!$1:$1,0))</f>
        <v>F</v>
      </c>
      <c r="E47" s="3">
        <f>INDEX(Employees!$A:$Z,MATCH(B47,Employees!$A:$A,0),MATCH("grade",Employees!$1:$1,0))</f>
        <v>11</v>
      </c>
      <c r="F47" s="3">
        <f>INDEX(Employees!$A:$Z,MATCH(B47,Employees!$A:$A,0),MATCH("rating",Employees!$1:$1,0))</f>
        <v>5</v>
      </c>
      <c r="G47" s="22">
        <f>INDEX(Employees!$A:$Z,MATCH(B47,Employees!$A:$A,0),MATCH("hire_date",Employees!$1:$1,0))</f>
        <v>43848</v>
      </c>
      <c r="H47" s="22">
        <f>INDEX(Employees!$A:$Z,MATCH(B47,Employees!$A:$A,0),MATCH("last_change_date",Employees!$1:$1,0))</f>
        <v>46113</v>
      </c>
      <c r="I47" s="4">
        <f>INDEX(Employees!$A:$Z,MATCH(B47,Employees!$A:$A,0),MATCH("base_salary",Employees!$1:$1,0))</f>
        <v>76375.75</v>
      </c>
      <c r="J47" s="5">
        <f>INDEX(Employees!$A:$Z,MATCH(B47,Employees!$A:$A,0),MATCH("bonus_pct",Employees!$1:$1,0))/100</f>
        <v>9.7200000000000009E-2</v>
      </c>
      <c r="K47" s="7">
        <f>INDEX(Employees!$A:$Z,MATCH(B47,Employees!$A:$A,0),MATCH("fte",Employees!$1:$1,0))</f>
        <v>1</v>
      </c>
      <c r="L47" s="3">
        <f>IF(ISNA(MATCH(C47&amp;"|"&amp;E47,Bands!$F:$F,0)),0,1)</f>
        <v>1</v>
      </c>
      <c r="M47" s="4">
        <f>INDEX(Bands!$C:$C,MATCH(C47&amp;"|"&amp;E47,Bands!$F:$F,0))</f>
        <v>68400</v>
      </c>
      <c r="N47" s="4">
        <f>INDEX(Bands!$D:$D,MATCH(C47&amp;"|"&amp;E47,Bands!$F:$F,0))</f>
        <v>85500</v>
      </c>
      <c r="O47" s="4">
        <f>INDEX(Bands!$E:$E,MATCH(C47&amp;"|"&amp;E47,Bands!$F:$F,0))</f>
        <v>102600</v>
      </c>
      <c r="P47" s="7">
        <f t="shared" si="1"/>
        <v>7.2005475701574264</v>
      </c>
      <c r="Q47" s="4">
        <f t="shared" si="2"/>
        <v>83799.472899999993</v>
      </c>
      <c r="R47" s="7">
        <f t="shared" si="3"/>
        <v>121</v>
      </c>
      <c r="S47" s="7">
        <f t="shared" si="4"/>
        <v>51.847885310100018</v>
      </c>
      <c r="T47" s="7">
        <f t="shared" si="5"/>
        <v>79.206023271731695</v>
      </c>
      <c r="U47" s="7">
        <f t="shared" si="6"/>
        <v>921794.20189999999</v>
      </c>
      <c r="V47" s="7">
        <f t="shared" si="7"/>
        <v>603402.09097056801</v>
      </c>
      <c r="W47" s="4">
        <f t="shared" si="8"/>
        <v>83799.47</v>
      </c>
      <c r="X47" s="3">
        <f t="shared" si="9"/>
        <v>34</v>
      </c>
      <c r="Y47" s="4">
        <f>INDEX(Categories!$AH:$AH,MATCH(C47,Categories!$A:$A,0))</f>
        <v>71955.39427199999</v>
      </c>
      <c r="Z47" s="3">
        <f>IF(AND(D47="F",Q47&lt;Y47,INDEX(Categories!$AI:$AI,MATCH(C47,Categories!$A:$A,0))&gt;0),1,0)</f>
        <v>0</v>
      </c>
      <c r="AA47" s="4">
        <f t="shared" si="10"/>
        <v>0</v>
      </c>
      <c r="AB47" s="4">
        <f>IF(Z47=1,INDEX(Categories!$AI:$AI,MATCH(C47,Categories!$A:$A,0))*AA47/INDEX(Categories!$AJ:$AJ,MATCH(C47,Categories!$A:$A,0)),0)</f>
        <v>0</v>
      </c>
      <c r="AC47" s="4">
        <f t="shared" si="11"/>
        <v>0</v>
      </c>
      <c r="AD47" s="4">
        <f t="shared" si="12"/>
        <v>76375.75</v>
      </c>
      <c r="AE47" s="3">
        <f t="shared" si="13"/>
        <v>0</v>
      </c>
      <c r="AF47" s="3">
        <f t="shared" si="14"/>
        <v>86</v>
      </c>
      <c r="AG47" s="3">
        <f t="shared" si="15"/>
        <v>12</v>
      </c>
      <c r="AH47" s="3">
        <f t="shared" si="16"/>
        <v>1</v>
      </c>
      <c r="AI47" s="5">
        <f t="shared" si="17"/>
        <v>0.89328362573099418</v>
      </c>
      <c r="AJ47" s="3">
        <f>MATCH(AI47,Inputs!$B$31:$B$34,1)</f>
        <v>1</v>
      </c>
      <c r="AK47" s="5">
        <f>INDEX(Inputs!$C$21:$C$25,MATCH(F47,Inputs!$A$21:$A$25,0))</f>
        <v>1.1000000000000001</v>
      </c>
      <c r="AL47" s="5">
        <f>INDEX(Inputs!$D$21:$D$25,MATCH(F47,Inputs!$A$21:$A$25,0))</f>
        <v>0.02</v>
      </c>
      <c r="AM47" s="4">
        <f t="shared" si="18"/>
        <v>94050.000000000015</v>
      </c>
      <c r="AN47" s="4">
        <f t="shared" si="19"/>
        <v>17674.250000000015</v>
      </c>
      <c r="AO47" s="3">
        <f t="shared" si="20"/>
        <v>1</v>
      </c>
      <c r="AP47" s="4">
        <f t="shared" si="21"/>
        <v>22912.724999999999</v>
      </c>
      <c r="AQ47" s="4">
        <f t="shared" si="22"/>
        <v>1527.5150000000001</v>
      </c>
      <c r="AR47" s="4">
        <f t="shared" si="23"/>
        <v>17674.250000000015</v>
      </c>
      <c r="AS47" s="3">
        <f t="shared" si="24"/>
        <v>0</v>
      </c>
      <c r="AT47" s="4">
        <f t="shared" si="25"/>
        <v>17674.250000000015</v>
      </c>
      <c r="AU47" s="4">
        <f t="shared" si="26"/>
        <v>26224.25</v>
      </c>
      <c r="AV47" s="4">
        <f t="shared" si="27"/>
        <v>17674.250000000015</v>
      </c>
      <c r="AW47" s="4">
        <f t="shared" si="28"/>
        <v>17674.250000000015</v>
      </c>
      <c r="AX47" s="5">
        <f t="shared" si="29"/>
        <v>0.23141180283008697</v>
      </c>
      <c r="AY47" s="4">
        <f t="shared" si="30"/>
        <v>94050.000000000015</v>
      </c>
      <c r="AZ47" s="3">
        <f t="shared" si="31"/>
        <v>0</v>
      </c>
      <c r="BA47" s="4">
        <f t="shared" si="32"/>
        <v>83799.472899999993</v>
      </c>
      <c r="BB47" s="4">
        <f t="shared" si="33"/>
        <v>19910.417206159997</v>
      </c>
      <c r="BC47" s="4">
        <f t="shared" si="34"/>
        <v>83799.472899999993</v>
      </c>
      <c r="BD47" s="4">
        <f t="shared" si="35"/>
        <v>19910.417206159997</v>
      </c>
      <c r="BE47" s="4">
        <f t="shared" si="36"/>
        <v>103191.66000000002</v>
      </c>
      <c r="BF47" s="4">
        <f t="shared" si="37"/>
        <v>20132.562059999997</v>
      </c>
      <c r="BG47" s="4">
        <f t="shared" si="38"/>
        <v>0</v>
      </c>
      <c r="BH47" s="4">
        <f t="shared" si="39"/>
        <v>0</v>
      </c>
      <c r="BI47" s="4">
        <f t="shared" si="40"/>
        <v>0</v>
      </c>
      <c r="BJ47" s="4">
        <f t="shared" si="41"/>
        <v>17674.250000000015</v>
      </c>
      <c r="BK47" s="4">
        <f t="shared" si="42"/>
        <v>1717.9371000000015</v>
      </c>
      <c r="BL47" s="4">
        <f t="shared" si="43"/>
        <v>222.14485384</v>
      </c>
      <c r="BM47" s="4">
        <f t="shared" si="44"/>
        <v>76375.75</v>
      </c>
      <c r="BN47" s="4">
        <f t="shared" si="45"/>
        <v>3055.03</v>
      </c>
      <c r="BO47" s="4">
        <f t="shared" si="46"/>
        <v>3055.03</v>
      </c>
      <c r="BP47" s="4">
        <f t="shared" si="47"/>
        <v>296.94891600000005</v>
      </c>
      <c r="BQ47" s="4">
        <f t="shared" si="48"/>
        <v>87151.451816000001</v>
      </c>
      <c r="BR47" s="4">
        <f t="shared" si="49"/>
        <v>19945.277786886396</v>
      </c>
      <c r="BS47" s="4">
        <f t="shared" si="50"/>
        <v>34.860580726399348</v>
      </c>
      <c r="BT47" s="4">
        <f t="shared" si="51"/>
        <v>83799.472899999993</v>
      </c>
      <c r="BU47" s="4">
        <f t="shared" si="52"/>
        <v>103191.66000000002</v>
      </c>
      <c r="BV47" s="7">
        <f t="shared" si="53"/>
        <v>1135108.2600000002</v>
      </c>
      <c r="BW47" s="7">
        <f t="shared" si="54"/>
        <v>743036.45667351142</v>
      </c>
    </row>
    <row r="48" spans="1:75" x14ac:dyDescent="0.3">
      <c r="A48" s="3">
        <f t="shared" si="0"/>
        <v>44</v>
      </c>
      <c r="B48" t="str">
        <f>INDEX(Employees!$A:$A,A48+1)</f>
        <v>E044</v>
      </c>
      <c r="C48" t="str">
        <f>INDEX(Employees!$A:$Z,MATCH(B48,Employees!$A:$A,0),MATCH("category",Employees!$1:$1,0))</f>
        <v>Engineering</v>
      </c>
      <c r="D48" t="str">
        <f>INDEX(Employees!$A:$Z,MATCH(B48,Employees!$A:$A,0),MATCH("gender",Employees!$1:$1,0))</f>
        <v>M</v>
      </c>
      <c r="E48" s="3">
        <f>INDEX(Employees!$A:$Z,MATCH(B48,Employees!$A:$A,0),MATCH("grade",Employees!$1:$1,0))</f>
        <v>10</v>
      </c>
      <c r="F48" s="3">
        <f>INDEX(Employees!$A:$Z,MATCH(B48,Employees!$A:$A,0),MATCH("rating",Employees!$1:$1,0))</f>
        <v>3</v>
      </c>
      <c r="G48" s="22">
        <f>INDEX(Employees!$A:$Z,MATCH(B48,Employees!$A:$A,0),MATCH("hire_date",Employees!$1:$1,0))</f>
        <v>43666</v>
      </c>
      <c r="H48" s="22">
        <f>INDEX(Employees!$A:$Z,MATCH(B48,Employees!$A:$A,0),MATCH("last_change_date",Employees!$1:$1,0))</f>
        <v>46113</v>
      </c>
      <c r="I48" s="4">
        <f>INDEX(Employees!$A:$Z,MATCH(B48,Employees!$A:$A,0),MATCH("base_salary",Employees!$1:$1,0))</f>
        <v>79548.88</v>
      </c>
      <c r="J48" s="5">
        <f>INDEX(Employees!$A:$Z,MATCH(B48,Employees!$A:$A,0),MATCH("bonus_pct",Employees!$1:$1,0))/100</f>
        <v>0.1099</v>
      </c>
      <c r="K48" s="7">
        <f>INDEX(Employees!$A:$Z,MATCH(B48,Employees!$A:$A,0),MATCH("fte",Employees!$1:$1,0))</f>
        <v>1</v>
      </c>
      <c r="L48" s="3">
        <f>IF(ISNA(MATCH(C48&amp;"|"&amp;E48,Bands!$F:$F,0)),0,1)</f>
        <v>1</v>
      </c>
      <c r="M48" s="4">
        <f>INDEX(Bands!$C:$C,MATCH(C48&amp;"|"&amp;E48,Bands!$F:$F,0))</f>
        <v>59800</v>
      </c>
      <c r="N48" s="4">
        <f>INDEX(Bands!$D:$D,MATCH(C48&amp;"|"&amp;E48,Bands!$F:$F,0))</f>
        <v>74800</v>
      </c>
      <c r="O48" s="4">
        <f>INDEX(Bands!$E:$E,MATCH(C48&amp;"|"&amp;E48,Bands!$F:$F,0))</f>
        <v>89700</v>
      </c>
      <c r="P48" s="7">
        <f t="shared" si="1"/>
        <v>7.698836413415469</v>
      </c>
      <c r="Q48" s="4">
        <f t="shared" si="2"/>
        <v>88291.30191200001</v>
      </c>
      <c r="R48" s="7">
        <f t="shared" si="3"/>
        <v>100</v>
      </c>
      <c r="S48" s="7">
        <f t="shared" si="4"/>
        <v>59.272082120531962</v>
      </c>
      <c r="T48" s="7">
        <f t="shared" si="5"/>
        <v>76.988364134154693</v>
      </c>
      <c r="U48" s="7">
        <f t="shared" si="6"/>
        <v>882913.01912000007</v>
      </c>
      <c r="V48" s="7">
        <f t="shared" si="7"/>
        <v>679740.29014796449</v>
      </c>
      <c r="W48" s="4">
        <f t="shared" si="8"/>
        <v>88291.3</v>
      </c>
      <c r="X48" s="3">
        <f t="shared" si="9"/>
        <v>38</v>
      </c>
      <c r="Y48" s="4">
        <f>INDEX(Categories!$AH:$AH,MATCH(C48,Categories!$A:$A,0))</f>
        <v>71955.39427199999</v>
      </c>
      <c r="Z48" s="3">
        <f>IF(AND(D48="F",Q48&lt;Y48,INDEX(Categories!$AI:$AI,MATCH(C48,Categories!$A:$A,0))&gt;0),1,0)</f>
        <v>0</v>
      </c>
      <c r="AA48" s="4">
        <f t="shared" si="10"/>
        <v>0</v>
      </c>
      <c r="AB48" s="4">
        <f>IF(Z48=1,INDEX(Categories!$AI:$AI,MATCH(C48,Categories!$A:$A,0))*AA48/INDEX(Categories!$AJ:$AJ,MATCH(C48,Categories!$A:$A,0)),0)</f>
        <v>0</v>
      </c>
      <c r="AC48" s="4">
        <f t="shared" si="11"/>
        <v>0</v>
      </c>
      <c r="AD48" s="4">
        <f t="shared" si="12"/>
        <v>79548.88</v>
      </c>
      <c r="AE48" s="3">
        <f t="shared" si="13"/>
        <v>0</v>
      </c>
      <c r="AF48" s="3">
        <f t="shared" si="14"/>
        <v>92</v>
      </c>
      <c r="AG48" s="3">
        <f t="shared" si="15"/>
        <v>12</v>
      </c>
      <c r="AH48" s="3">
        <f t="shared" si="16"/>
        <v>1</v>
      </c>
      <c r="AI48" s="5">
        <f t="shared" si="17"/>
        <v>1.0634877005347594</v>
      </c>
      <c r="AJ48" s="3">
        <f>MATCH(AI48,Inputs!$B$31:$B$34,1)</f>
        <v>3</v>
      </c>
      <c r="AK48" s="5">
        <f>INDEX(Inputs!$C$21:$C$25,MATCH(F48,Inputs!$A$21:$A$25,0))</f>
        <v>1</v>
      </c>
      <c r="AL48" s="5">
        <f>INDEX(Inputs!$D$21:$D$25,MATCH(F48,Inputs!$A$21:$A$25,0))</f>
        <v>0</v>
      </c>
      <c r="AM48" s="4">
        <f t="shared" si="18"/>
        <v>74800</v>
      </c>
      <c r="AN48" s="4">
        <f t="shared" si="19"/>
        <v>0</v>
      </c>
      <c r="AO48" s="3">
        <f t="shared" si="20"/>
        <v>1</v>
      </c>
      <c r="AP48" s="4">
        <f t="shared" si="21"/>
        <v>23864.664000000001</v>
      </c>
      <c r="AQ48" s="4">
        <f t="shared" si="22"/>
        <v>0</v>
      </c>
      <c r="AR48" s="4">
        <f t="shared" si="23"/>
        <v>0</v>
      </c>
      <c r="AS48" s="3">
        <f t="shared" si="24"/>
        <v>0</v>
      </c>
      <c r="AT48" s="4">
        <f t="shared" si="25"/>
        <v>0</v>
      </c>
      <c r="AU48" s="4">
        <f t="shared" si="26"/>
        <v>10151.119999999995</v>
      </c>
      <c r="AV48" s="4">
        <f t="shared" si="27"/>
        <v>0</v>
      </c>
      <c r="AW48" s="4">
        <f t="shared" si="28"/>
        <v>0</v>
      </c>
      <c r="AX48" s="5">
        <f t="shared" si="29"/>
        <v>0</v>
      </c>
      <c r="AY48" s="4">
        <f t="shared" si="30"/>
        <v>79548.88</v>
      </c>
      <c r="AZ48" s="3">
        <f t="shared" si="31"/>
        <v>0</v>
      </c>
      <c r="BA48" s="4">
        <f t="shared" si="32"/>
        <v>88291.30191200001</v>
      </c>
      <c r="BB48" s="4">
        <f t="shared" si="33"/>
        <v>19957.132227884798</v>
      </c>
      <c r="BC48" s="4">
        <f t="shared" si="34"/>
        <v>88291.30191200001</v>
      </c>
      <c r="BD48" s="4">
        <f t="shared" si="35"/>
        <v>19957.132227884798</v>
      </c>
      <c r="BE48" s="4">
        <f t="shared" si="36"/>
        <v>88291.30191200001</v>
      </c>
      <c r="BF48" s="4">
        <f t="shared" si="37"/>
        <v>19957.132227884798</v>
      </c>
      <c r="BG48" s="4">
        <f t="shared" si="38"/>
        <v>0</v>
      </c>
      <c r="BH48" s="4">
        <f t="shared" si="39"/>
        <v>0</v>
      </c>
      <c r="BI48" s="4">
        <f t="shared" si="40"/>
        <v>0</v>
      </c>
      <c r="BJ48" s="4">
        <f t="shared" si="41"/>
        <v>0</v>
      </c>
      <c r="BK48" s="4">
        <f t="shared" si="42"/>
        <v>0</v>
      </c>
      <c r="BL48" s="4">
        <f t="shared" si="43"/>
        <v>0</v>
      </c>
      <c r="BM48" s="4">
        <f t="shared" si="44"/>
        <v>79548.88</v>
      </c>
      <c r="BN48" s="4">
        <f t="shared" si="45"/>
        <v>3181.9552000000003</v>
      </c>
      <c r="BO48" s="4">
        <f t="shared" si="46"/>
        <v>3181.9552000000003</v>
      </c>
      <c r="BP48" s="4">
        <f t="shared" si="47"/>
        <v>349.69687648000001</v>
      </c>
      <c r="BQ48" s="4">
        <f t="shared" si="48"/>
        <v>91822.953988480003</v>
      </c>
      <c r="BR48" s="4">
        <f t="shared" si="49"/>
        <v>19993.863846659453</v>
      </c>
      <c r="BS48" s="4">
        <f t="shared" si="50"/>
        <v>36.731618774654635</v>
      </c>
      <c r="BT48" s="4">
        <f t="shared" si="51"/>
        <v>88291.30191200001</v>
      </c>
      <c r="BU48" s="4">
        <f t="shared" si="52"/>
        <v>88291.30191200001</v>
      </c>
      <c r="BV48" s="7">
        <f t="shared" si="53"/>
        <v>882913.01912000007</v>
      </c>
      <c r="BW48" s="7">
        <f t="shared" si="54"/>
        <v>679740.29014796449</v>
      </c>
    </row>
    <row r="49" spans="1:75" x14ac:dyDescent="0.3">
      <c r="A49" s="3">
        <f t="shared" si="0"/>
        <v>45</v>
      </c>
      <c r="B49" t="str">
        <f>INDEX(Employees!$A:$A,A49+1)</f>
        <v>E045</v>
      </c>
      <c r="C49" t="str">
        <f>INDEX(Employees!$A:$Z,MATCH(B49,Employees!$A:$A,0),MATCH("category",Employees!$1:$1,0))</f>
        <v>Operations</v>
      </c>
      <c r="D49" t="str">
        <f>INDEX(Employees!$A:$Z,MATCH(B49,Employees!$A:$A,0),MATCH("gender",Employees!$1:$1,0))</f>
        <v>F</v>
      </c>
      <c r="E49" s="3">
        <f>INDEX(Employees!$A:$Z,MATCH(B49,Employees!$A:$A,0),MATCH("grade",Employees!$1:$1,0))</f>
        <v>7</v>
      </c>
      <c r="F49" s="3">
        <f>INDEX(Employees!$A:$Z,MATCH(B49,Employees!$A:$A,0),MATCH("rating",Employees!$1:$1,0))</f>
        <v>5</v>
      </c>
      <c r="G49" s="22">
        <f>INDEX(Employees!$A:$Z,MATCH(B49,Employees!$A:$A,0),MATCH("hire_date",Employees!$1:$1,0))</f>
        <v>44615</v>
      </c>
      <c r="H49" s="22">
        <f>INDEX(Employees!$A:$Z,MATCH(B49,Employees!$A:$A,0),MATCH("last_change_date",Employees!$1:$1,0))</f>
        <v>46113</v>
      </c>
      <c r="I49" s="4">
        <f>INDEX(Employees!$A:$Z,MATCH(B49,Employees!$A:$A,0),MATCH("base_salary",Employees!$1:$1,0))</f>
        <v>50156.33</v>
      </c>
      <c r="J49" s="5">
        <f>INDEX(Employees!$A:$Z,MATCH(B49,Employees!$A:$A,0),MATCH("bonus_pct",Employees!$1:$1,0))/100</f>
        <v>7.2900000000000006E-2</v>
      </c>
      <c r="K49" s="7">
        <f>INDEX(Employees!$A:$Z,MATCH(B49,Employees!$A:$A,0),MATCH("fte",Employees!$1:$1,0))</f>
        <v>1</v>
      </c>
      <c r="L49" s="3">
        <f>IF(ISNA(MATCH(C49&amp;"|"&amp;E49,Bands!$F:$F,0)),0,1)</f>
        <v>1</v>
      </c>
      <c r="M49" s="4">
        <f>INDEX(Bands!$C:$C,MATCH(C49&amp;"|"&amp;E49,Bands!$F:$F,0))</f>
        <v>42300</v>
      </c>
      <c r="N49" s="4">
        <f>INDEX(Bands!$D:$D,MATCH(C49&amp;"|"&amp;E49,Bands!$F:$F,0))</f>
        <v>50800</v>
      </c>
      <c r="O49" s="4">
        <f>INDEX(Bands!$E:$E,MATCH(C49&amp;"|"&amp;E49,Bands!$F:$F,0))</f>
        <v>59200</v>
      </c>
      <c r="P49" s="7">
        <f t="shared" si="1"/>
        <v>5.1006160164271046</v>
      </c>
      <c r="Q49" s="4">
        <f t="shared" si="2"/>
        <v>53812.726456999997</v>
      </c>
      <c r="R49" s="7">
        <f t="shared" si="3"/>
        <v>49</v>
      </c>
      <c r="S49" s="7">
        <f t="shared" si="4"/>
        <v>26.016283747032706</v>
      </c>
      <c r="T49" s="7">
        <f t="shared" si="5"/>
        <v>35.704312114989733</v>
      </c>
      <c r="U49" s="7">
        <f t="shared" si="6"/>
        <v>376689.08519899996</v>
      </c>
      <c r="V49" s="7">
        <f t="shared" si="7"/>
        <v>274478.05445418478</v>
      </c>
      <c r="W49" s="4">
        <f t="shared" si="8"/>
        <v>53812.73</v>
      </c>
      <c r="X49" s="3">
        <f t="shared" si="9"/>
        <v>23</v>
      </c>
      <c r="Y49" s="4">
        <f>INDEX(Categories!$AH:$AH,MATCH(C49,Categories!$A:$A,0))</f>
        <v>51811.839122000005</v>
      </c>
      <c r="Z49" s="3">
        <f>IF(AND(D49="F",Q49&lt;Y49,INDEX(Categories!$AI:$AI,MATCH(C49,Categories!$A:$A,0))&gt;0),1,0)</f>
        <v>0</v>
      </c>
      <c r="AA49" s="4">
        <f t="shared" si="10"/>
        <v>0</v>
      </c>
      <c r="AB49" s="4">
        <f>IF(Z49=1,INDEX(Categories!$AI:$AI,MATCH(C49,Categories!$A:$A,0))*AA49/INDEX(Categories!$AJ:$AJ,MATCH(C49,Categories!$A:$A,0)),0)</f>
        <v>0</v>
      </c>
      <c r="AC49" s="4">
        <f t="shared" si="11"/>
        <v>0</v>
      </c>
      <c r="AD49" s="4">
        <f t="shared" si="12"/>
        <v>50156.33</v>
      </c>
      <c r="AE49" s="3">
        <f t="shared" si="13"/>
        <v>0</v>
      </c>
      <c r="AF49" s="3">
        <f t="shared" si="14"/>
        <v>61</v>
      </c>
      <c r="AG49" s="3">
        <f t="shared" si="15"/>
        <v>12</v>
      </c>
      <c r="AH49" s="3">
        <f t="shared" si="16"/>
        <v>1</v>
      </c>
      <c r="AI49" s="5">
        <f t="shared" si="17"/>
        <v>0.98732933070866147</v>
      </c>
      <c r="AJ49" s="3">
        <f>MATCH(AI49,Inputs!$B$31:$B$34,1)</f>
        <v>2</v>
      </c>
      <c r="AK49" s="5">
        <f>INDEX(Inputs!$C$21:$C$25,MATCH(F49,Inputs!$A$21:$A$25,0))</f>
        <v>1.1000000000000001</v>
      </c>
      <c r="AL49" s="5">
        <f>INDEX(Inputs!$D$21:$D$25,MATCH(F49,Inputs!$A$21:$A$25,0))</f>
        <v>0.02</v>
      </c>
      <c r="AM49" s="4">
        <f t="shared" si="18"/>
        <v>55880.000000000007</v>
      </c>
      <c r="AN49" s="4">
        <f t="shared" si="19"/>
        <v>5723.6700000000055</v>
      </c>
      <c r="AO49" s="3">
        <f t="shared" si="20"/>
        <v>1</v>
      </c>
      <c r="AP49" s="4">
        <f t="shared" si="21"/>
        <v>15046.898999999999</v>
      </c>
      <c r="AQ49" s="4">
        <f t="shared" si="22"/>
        <v>1003.1266000000001</v>
      </c>
      <c r="AR49" s="4">
        <f t="shared" si="23"/>
        <v>5723.6700000000055</v>
      </c>
      <c r="AS49" s="3">
        <f t="shared" si="24"/>
        <v>0</v>
      </c>
      <c r="AT49" s="4">
        <f t="shared" si="25"/>
        <v>5723.6700000000055</v>
      </c>
      <c r="AU49" s="4">
        <f t="shared" si="26"/>
        <v>9043.6699999999983</v>
      </c>
      <c r="AV49" s="4">
        <f t="shared" si="27"/>
        <v>5723.6700000000055</v>
      </c>
      <c r="AW49" s="4">
        <f t="shared" si="28"/>
        <v>5723.6700000000055</v>
      </c>
      <c r="AX49" s="5">
        <f t="shared" si="29"/>
        <v>0.11411660302896973</v>
      </c>
      <c r="AY49" s="4">
        <f t="shared" si="30"/>
        <v>55880.000000000007</v>
      </c>
      <c r="AZ49" s="3">
        <f t="shared" si="31"/>
        <v>0</v>
      </c>
      <c r="BA49" s="4">
        <f t="shared" si="32"/>
        <v>53812.726456999997</v>
      </c>
      <c r="BB49" s="4">
        <f t="shared" si="33"/>
        <v>17300.791555925498</v>
      </c>
      <c r="BC49" s="4">
        <f t="shared" si="34"/>
        <v>53812.726456999997</v>
      </c>
      <c r="BD49" s="4">
        <f t="shared" si="35"/>
        <v>17300.791555925498</v>
      </c>
      <c r="BE49" s="4">
        <f t="shared" si="36"/>
        <v>59953.652000000009</v>
      </c>
      <c r="BF49" s="4">
        <f t="shared" si="37"/>
        <v>19275.099118000002</v>
      </c>
      <c r="BG49" s="4">
        <f t="shared" si="38"/>
        <v>0</v>
      </c>
      <c r="BH49" s="4">
        <f t="shared" si="39"/>
        <v>0</v>
      </c>
      <c r="BI49" s="4">
        <f t="shared" si="40"/>
        <v>0</v>
      </c>
      <c r="BJ49" s="4">
        <f t="shared" si="41"/>
        <v>5723.6700000000055</v>
      </c>
      <c r="BK49" s="4">
        <f t="shared" si="42"/>
        <v>417.25554300000044</v>
      </c>
      <c r="BL49" s="4">
        <f t="shared" si="43"/>
        <v>1974.3075620745039</v>
      </c>
      <c r="BM49" s="4">
        <f t="shared" si="44"/>
        <v>50156.33</v>
      </c>
      <c r="BN49" s="4">
        <f t="shared" si="45"/>
        <v>2006.2532000000001</v>
      </c>
      <c r="BO49" s="4">
        <f t="shared" si="46"/>
        <v>2006.2532000000001</v>
      </c>
      <c r="BP49" s="4">
        <f t="shared" si="47"/>
        <v>146.25585828000001</v>
      </c>
      <c r="BQ49" s="4">
        <f t="shared" si="48"/>
        <v>55965.235515280001</v>
      </c>
      <c r="BR49" s="4">
        <f t="shared" si="49"/>
        <v>17992.823218162521</v>
      </c>
      <c r="BS49" s="4">
        <f t="shared" si="50"/>
        <v>692.03166223702283</v>
      </c>
      <c r="BT49" s="4">
        <f t="shared" si="51"/>
        <v>53812.726456999997</v>
      </c>
      <c r="BU49" s="4">
        <f t="shared" si="52"/>
        <v>59953.652000000009</v>
      </c>
      <c r="BV49" s="7">
        <f t="shared" si="53"/>
        <v>419675.56400000007</v>
      </c>
      <c r="BW49" s="7">
        <f t="shared" si="54"/>
        <v>305800.55763449694</v>
      </c>
    </row>
    <row r="50" spans="1:75" x14ac:dyDescent="0.3">
      <c r="A50" s="3">
        <f t="shared" si="0"/>
        <v>46</v>
      </c>
      <c r="B50" t="str">
        <f>INDEX(Employees!$A:$A,A50+1)</f>
        <v>E046</v>
      </c>
      <c r="C50" t="str">
        <f>INDEX(Employees!$A:$Z,MATCH(B50,Employees!$A:$A,0),MATCH("category",Employees!$1:$1,0))</f>
        <v>Operations</v>
      </c>
      <c r="D50" t="str">
        <f>INDEX(Employees!$A:$Z,MATCH(B50,Employees!$A:$A,0),MATCH("gender",Employees!$1:$1,0))</f>
        <v>M</v>
      </c>
      <c r="E50" s="3">
        <f>INDEX(Employees!$A:$Z,MATCH(B50,Employees!$A:$A,0),MATCH("grade",Employees!$1:$1,0))</f>
        <v>8</v>
      </c>
      <c r="F50" s="3">
        <f>INDEX(Employees!$A:$Z,MATCH(B50,Employees!$A:$A,0),MATCH("rating",Employees!$1:$1,0))</f>
        <v>2</v>
      </c>
      <c r="G50" s="22">
        <f>INDEX(Employees!$A:$Z,MATCH(B50,Employees!$A:$A,0),MATCH("hire_date",Employees!$1:$1,0))</f>
        <v>44469</v>
      </c>
      <c r="H50" s="22">
        <f>INDEX(Employees!$A:$Z,MATCH(B50,Employees!$A:$A,0),MATCH("last_change_date",Employees!$1:$1,0))</f>
        <v>46113</v>
      </c>
      <c r="I50" s="4">
        <f>INDEX(Employees!$A:$Z,MATCH(B50,Employees!$A:$A,0),MATCH("base_salary",Employees!$1:$1,0))</f>
        <v>57638.34</v>
      </c>
      <c r="J50" s="5">
        <f>INDEX(Employees!$A:$Z,MATCH(B50,Employees!$A:$A,0),MATCH("bonus_pct",Employees!$1:$1,0))/100</f>
        <v>6.8600000000000008E-2</v>
      </c>
      <c r="K50" s="7">
        <f>INDEX(Employees!$A:$Z,MATCH(B50,Employees!$A:$A,0),MATCH("fte",Employees!$1:$1,0))</f>
        <v>1</v>
      </c>
      <c r="L50" s="3">
        <f>IF(ISNA(MATCH(C50&amp;"|"&amp;E50,Bands!$F:$F,0)),0,1)</f>
        <v>1</v>
      </c>
      <c r="M50" s="4">
        <f>INDEX(Bands!$C:$C,MATCH(C50&amp;"|"&amp;E50,Bands!$F:$F,0))</f>
        <v>48400</v>
      </c>
      <c r="N50" s="4">
        <f>INDEX(Bands!$D:$D,MATCH(C50&amp;"|"&amp;E50,Bands!$F:$F,0))</f>
        <v>58100</v>
      </c>
      <c r="O50" s="4">
        <f>INDEX(Bands!$E:$E,MATCH(C50&amp;"|"&amp;E50,Bands!$F:$F,0))</f>
        <v>67800</v>
      </c>
      <c r="P50" s="7">
        <f t="shared" si="1"/>
        <v>5.5003422313483918</v>
      </c>
      <c r="Q50" s="4">
        <f t="shared" si="2"/>
        <v>61592.330123999993</v>
      </c>
      <c r="R50" s="7">
        <f t="shared" si="3"/>
        <v>64</v>
      </c>
      <c r="S50" s="7">
        <f t="shared" si="4"/>
        <v>30.253764661954605</v>
      </c>
      <c r="T50" s="7">
        <f t="shared" si="5"/>
        <v>44.002737850787135</v>
      </c>
      <c r="U50" s="7">
        <f t="shared" si="6"/>
        <v>492738.64099199994</v>
      </c>
      <c r="V50" s="7">
        <f t="shared" si="7"/>
        <v>338778.89450818888</v>
      </c>
      <c r="W50" s="4">
        <f t="shared" si="8"/>
        <v>61592.33</v>
      </c>
      <c r="X50" s="3">
        <f t="shared" si="9"/>
        <v>29</v>
      </c>
      <c r="Y50" s="4">
        <f>INDEX(Categories!$AH:$AH,MATCH(C50,Categories!$A:$A,0))</f>
        <v>51811.839122000005</v>
      </c>
      <c r="Z50" s="3">
        <f>IF(AND(D50="F",Q50&lt;Y50,INDEX(Categories!$AI:$AI,MATCH(C50,Categories!$A:$A,0))&gt;0),1,0)</f>
        <v>0</v>
      </c>
      <c r="AA50" s="4">
        <f t="shared" si="10"/>
        <v>0</v>
      </c>
      <c r="AB50" s="4">
        <f>IF(Z50=1,INDEX(Categories!$AI:$AI,MATCH(C50,Categories!$A:$A,0))*AA50/INDEX(Categories!$AJ:$AJ,MATCH(C50,Categories!$A:$A,0)),0)</f>
        <v>0</v>
      </c>
      <c r="AC50" s="4">
        <f t="shared" si="11"/>
        <v>0</v>
      </c>
      <c r="AD50" s="4">
        <f t="shared" si="12"/>
        <v>57638.34</v>
      </c>
      <c r="AE50" s="3">
        <f t="shared" si="13"/>
        <v>0</v>
      </c>
      <c r="AF50" s="3">
        <f t="shared" si="14"/>
        <v>66</v>
      </c>
      <c r="AG50" s="3">
        <f t="shared" si="15"/>
        <v>12</v>
      </c>
      <c r="AH50" s="3">
        <f t="shared" si="16"/>
        <v>1</v>
      </c>
      <c r="AI50" s="5">
        <f t="shared" si="17"/>
        <v>0.99205404475043024</v>
      </c>
      <c r="AJ50" s="3">
        <f>MATCH(AI50,Inputs!$B$31:$B$34,1)</f>
        <v>2</v>
      </c>
      <c r="AK50" s="5">
        <f>INDEX(Inputs!$C$21:$C$25,MATCH(F50,Inputs!$A$21:$A$25,0))</f>
        <v>0.95</v>
      </c>
      <c r="AL50" s="5">
        <f>INDEX(Inputs!$D$21:$D$25,MATCH(F50,Inputs!$A$21:$A$25,0))</f>
        <v>0</v>
      </c>
      <c r="AM50" s="4">
        <f t="shared" si="18"/>
        <v>55195</v>
      </c>
      <c r="AN50" s="4">
        <f t="shared" si="19"/>
        <v>0</v>
      </c>
      <c r="AO50" s="3">
        <f t="shared" si="20"/>
        <v>1</v>
      </c>
      <c r="AP50" s="4">
        <f t="shared" si="21"/>
        <v>17291.501999999997</v>
      </c>
      <c r="AQ50" s="4">
        <f t="shared" si="22"/>
        <v>0</v>
      </c>
      <c r="AR50" s="4">
        <f t="shared" si="23"/>
        <v>0</v>
      </c>
      <c r="AS50" s="3">
        <f t="shared" si="24"/>
        <v>0</v>
      </c>
      <c r="AT50" s="4">
        <f t="shared" si="25"/>
        <v>0</v>
      </c>
      <c r="AU50" s="4">
        <f t="shared" si="26"/>
        <v>10161.660000000003</v>
      </c>
      <c r="AV50" s="4">
        <f t="shared" si="27"/>
        <v>0</v>
      </c>
      <c r="AW50" s="4">
        <f t="shared" si="28"/>
        <v>0</v>
      </c>
      <c r="AX50" s="5">
        <f t="shared" si="29"/>
        <v>0</v>
      </c>
      <c r="AY50" s="4">
        <f t="shared" si="30"/>
        <v>57638.34</v>
      </c>
      <c r="AZ50" s="3">
        <f t="shared" si="31"/>
        <v>0</v>
      </c>
      <c r="BA50" s="4">
        <f t="shared" si="32"/>
        <v>61592.330123999993</v>
      </c>
      <c r="BB50" s="4">
        <f t="shared" si="33"/>
        <v>19684.057729190401</v>
      </c>
      <c r="BC50" s="4">
        <f t="shared" si="34"/>
        <v>61592.330123999993</v>
      </c>
      <c r="BD50" s="4">
        <f t="shared" si="35"/>
        <v>19684.057729190401</v>
      </c>
      <c r="BE50" s="4">
        <f t="shared" si="36"/>
        <v>61592.330123999993</v>
      </c>
      <c r="BF50" s="4">
        <f t="shared" si="37"/>
        <v>19684.057729190401</v>
      </c>
      <c r="BG50" s="4">
        <f t="shared" si="38"/>
        <v>0</v>
      </c>
      <c r="BH50" s="4">
        <f t="shared" si="39"/>
        <v>0</v>
      </c>
      <c r="BI50" s="4">
        <f t="shared" si="40"/>
        <v>0</v>
      </c>
      <c r="BJ50" s="4">
        <f t="shared" si="41"/>
        <v>0</v>
      </c>
      <c r="BK50" s="4">
        <f t="shared" si="42"/>
        <v>0</v>
      </c>
      <c r="BL50" s="4">
        <f t="shared" si="43"/>
        <v>0</v>
      </c>
      <c r="BM50" s="4">
        <f t="shared" si="44"/>
        <v>57638.34</v>
      </c>
      <c r="BN50" s="4">
        <f t="shared" si="45"/>
        <v>2305.5335999999998</v>
      </c>
      <c r="BO50" s="4">
        <f t="shared" si="46"/>
        <v>2305.5335999999998</v>
      </c>
      <c r="BP50" s="4">
        <f t="shared" si="47"/>
        <v>158.15960496</v>
      </c>
      <c r="BQ50" s="4">
        <f t="shared" si="48"/>
        <v>64056.02332896</v>
      </c>
      <c r="BR50" s="4">
        <f t="shared" si="49"/>
        <v>19707.709183958017</v>
      </c>
      <c r="BS50" s="4">
        <f t="shared" si="50"/>
        <v>23.651454767616087</v>
      </c>
      <c r="BT50" s="4">
        <f t="shared" si="51"/>
        <v>61592.330123999993</v>
      </c>
      <c r="BU50" s="4">
        <f t="shared" si="52"/>
        <v>61592.330123999993</v>
      </c>
      <c r="BV50" s="7">
        <f t="shared" si="53"/>
        <v>492738.64099199994</v>
      </c>
      <c r="BW50" s="7">
        <f t="shared" si="54"/>
        <v>338778.89450818888</v>
      </c>
    </row>
    <row r="51" spans="1:75" x14ac:dyDescent="0.3">
      <c r="A51" s="3">
        <f t="shared" si="0"/>
        <v>47</v>
      </c>
      <c r="B51" t="str">
        <f>INDEX(Employees!$A:$A,A51+1)</f>
        <v>E047</v>
      </c>
      <c r="C51" t="str">
        <f>INDEX(Employees!$A:$Z,MATCH(B51,Employees!$A:$A,0),MATCH("category",Employees!$1:$1,0))</f>
        <v>Operations</v>
      </c>
      <c r="D51" t="str">
        <f>INDEX(Employees!$A:$Z,MATCH(B51,Employees!$A:$A,0),MATCH("gender",Employees!$1:$1,0))</f>
        <v>M</v>
      </c>
      <c r="E51" s="3">
        <f>INDEX(Employees!$A:$Z,MATCH(B51,Employees!$A:$A,0),MATCH("grade",Employees!$1:$1,0))</f>
        <v>7</v>
      </c>
      <c r="F51" s="3">
        <f>INDEX(Employees!$A:$Z,MATCH(B51,Employees!$A:$A,0),MATCH("rating",Employees!$1:$1,0))</f>
        <v>5</v>
      </c>
      <c r="G51" s="22">
        <f>INDEX(Employees!$A:$Z,MATCH(B51,Employees!$A:$A,0),MATCH("hire_date",Employees!$1:$1,0))</f>
        <v>44433</v>
      </c>
      <c r="H51" s="22">
        <f>INDEX(Employees!$A:$Z,MATCH(B51,Employees!$A:$A,0),MATCH("last_change_date",Employees!$1:$1,0))</f>
        <v>46113</v>
      </c>
      <c r="I51" s="4">
        <f>INDEX(Employees!$A:$Z,MATCH(B51,Employees!$A:$A,0),MATCH("base_salary",Employees!$1:$1,0))</f>
        <v>52190.92</v>
      </c>
      <c r="J51" s="5">
        <f>INDEX(Employees!$A:$Z,MATCH(B51,Employees!$A:$A,0),MATCH("bonus_pct",Employees!$1:$1,0))/100</f>
        <v>7.22E-2</v>
      </c>
      <c r="K51" s="7">
        <f>INDEX(Employees!$A:$Z,MATCH(B51,Employees!$A:$A,0),MATCH("fte",Employees!$1:$1,0))</f>
        <v>0.6</v>
      </c>
      <c r="L51" s="3">
        <f>IF(ISNA(MATCH(C51&amp;"|"&amp;E51,Bands!$F:$F,0)),0,1)</f>
        <v>1</v>
      </c>
      <c r="M51" s="4">
        <f>INDEX(Bands!$C:$C,MATCH(C51&amp;"|"&amp;E51,Bands!$F:$F,0))</f>
        <v>42300</v>
      </c>
      <c r="N51" s="4">
        <f>INDEX(Bands!$D:$D,MATCH(C51&amp;"|"&amp;E51,Bands!$F:$F,0))</f>
        <v>50800</v>
      </c>
      <c r="O51" s="4">
        <f>INDEX(Bands!$E:$E,MATCH(C51&amp;"|"&amp;E51,Bands!$F:$F,0))</f>
        <v>59200</v>
      </c>
      <c r="P51" s="7">
        <f t="shared" si="1"/>
        <v>5.5989048596851472</v>
      </c>
      <c r="Q51" s="4">
        <f t="shared" si="2"/>
        <v>55959.104423999997</v>
      </c>
      <c r="R51" s="7">
        <f t="shared" si="3"/>
        <v>49</v>
      </c>
      <c r="S51" s="7">
        <f t="shared" si="4"/>
        <v>31.347735627805957</v>
      </c>
      <c r="T51" s="7">
        <f t="shared" si="5"/>
        <v>39.192334017796028</v>
      </c>
      <c r="U51" s="7">
        <f t="shared" si="6"/>
        <v>391713.73096799996</v>
      </c>
      <c r="V51" s="7">
        <f t="shared" si="7"/>
        <v>313309.70170316222</v>
      </c>
      <c r="W51" s="4">
        <f t="shared" si="8"/>
        <v>55959.1</v>
      </c>
      <c r="X51" s="3">
        <f t="shared" si="9"/>
        <v>24</v>
      </c>
      <c r="Y51" s="4">
        <f>INDEX(Categories!$AH:$AH,MATCH(C51,Categories!$A:$A,0))</f>
        <v>51811.839122000005</v>
      </c>
      <c r="Z51" s="3">
        <f>IF(AND(D51="F",Q51&lt;Y51,INDEX(Categories!$AI:$AI,MATCH(C51,Categories!$A:$A,0))&gt;0),1,0)</f>
        <v>0</v>
      </c>
      <c r="AA51" s="4">
        <f t="shared" si="10"/>
        <v>0</v>
      </c>
      <c r="AB51" s="4">
        <f>IF(Z51=1,INDEX(Categories!$AI:$AI,MATCH(C51,Categories!$A:$A,0))*AA51/INDEX(Categories!$AJ:$AJ,MATCH(C51,Categories!$A:$A,0)),0)</f>
        <v>0</v>
      </c>
      <c r="AC51" s="4">
        <f t="shared" si="11"/>
        <v>0</v>
      </c>
      <c r="AD51" s="4">
        <f t="shared" si="12"/>
        <v>52190.92</v>
      </c>
      <c r="AE51" s="3">
        <f t="shared" si="13"/>
        <v>0</v>
      </c>
      <c r="AF51" s="3">
        <f t="shared" si="14"/>
        <v>67</v>
      </c>
      <c r="AG51" s="3">
        <f t="shared" si="15"/>
        <v>12</v>
      </c>
      <c r="AH51" s="3">
        <f t="shared" si="16"/>
        <v>1</v>
      </c>
      <c r="AI51" s="5">
        <f t="shared" si="17"/>
        <v>1.02738031496063</v>
      </c>
      <c r="AJ51" s="3">
        <f>MATCH(AI51,Inputs!$B$31:$B$34,1)</f>
        <v>3</v>
      </c>
      <c r="AK51" s="5">
        <f>INDEX(Inputs!$C$21:$C$25,MATCH(F51,Inputs!$A$21:$A$25,0))</f>
        <v>1.1000000000000001</v>
      </c>
      <c r="AL51" s="5">
        <f>INDEX(Inputs!$D$21:$D$25,MATCH(F51,Inputs!$A$21:$A$25,0))</f>
        <v>0.02</v>
      </c>
      <c r="AM51" s="4">
        <f t="shared" si="18"/>
        <v>55880.000000000007</v>
      </c>
      <c r="AN51" s="4">
        <f t="shared" si="19"/>
        <v>3689.080000000009</v>
      </c>
      <c r="AO51" s="3">
        <f t="shared" si="20"/>
        <v>1</v>
      </c>
      <c r="AP51" s="4">
        <f t="shared" si="21"/>
        <v>15657.275999999998</v>
      </c>
      <c r="AQ51" s="4">
        <f t="shared" si="22"/>
        <v>1043.8183999999999</v>
      </c>
      <c r="AR51" s="4">
        <f t="shared" si="23"/>
        <v>3689.080000000009</v>
      </c>
      <c r="AS51" s="3">
        <f t="shared" si="24"/>
        <v>0</v>
      </c>
      <c r="AT51" s="4">
        <f t="shared" si="25"/>
        <v>3689.080000000009</v>
      </c>
      <c r="AU51" s="4">
        <f t="shared" si="26"/>
        <v>7009.0800000000017</v>
      </c>
      <c r="AV51" s="4">
        <f t="shared" si="27"/>
        <v>3689.080000000009</v>
      </c>
      <c r="AW51" s="4">
        <f t="shared" si="28"/>
        <v>3689.080000000009</v>
      </c>
      <c r="AX51" s="5">
        <f t="shared" si="29"/>
        <v>7.0684325932557024E-2</v>
      </c>
      <c r="AY51" s="4">
        <f t="shared" si="30"/>
        <v>55880.000000000007</v>
      </c>
      <c r="AZ51" s="3">
        <f t="shared" si="31"/>
        <v>0</v>
      </c>
      <c r="BA51" s="4">
        <f t="shared" si="32"/>
        <v>33575.462654399998</v>
      </c>
      <c r="BB51" s="4">
        <f t="shared" si="33"/>
        <v>10794.511243389599</v>
      </c>
      <c r="BC51" s="4">
        <f t="shared" si="34"/>
        <v>33575.462654399998</v>
      </c>
      <c r="BD51" s="4">
        <f t="shared" si="35"/>
        <v>10794.511243389599</v>
      </c>
      <c r="BE51" s="4">
        <f t="shared" si="36"/>
        <v>35948.721600000004</v>
      </c>
      <c r="BF51" s="4">
        <f t="shared" si="37"/>
        <v>11557.513994400002</v>
      </c>
      <c r="BG51" s="4">
        <f t="shared" si="38"/>
        <v>0</v>
      </c>
      <c r="BH51" s="4">
        <f t="shared" si="39"/>
        <v>0</v>
      </c>
      <c r="BI51" s="4">
        <f t="shared" si="40"/>
        <v>0</v>
      </c>
      <c r="BJ51" s="4">
        <f t="shared" si="41"/>
        <v>2213.4480000000053</v>
      </c>
      <c r="BK51" s="4">
        <f t="shared" si="42"/>
        <v>159.81094560000039</v>
      </c>
      <c r="BL51" s="4">
        <f t="shared" si="43"/>
        <v>763.00275101040279</v>
      </c>
      <c r="BM51" s="4">
        <f t="shared" si="44"/>
        <v>31314.551999999996</v>
      </c>
      <c r="BN51" s="4">
        <f t="shared" si="45"/>
        <v>2087.6367999999998</v>
      </c>
      <c r="BO51" s="4">
        <f t="shared" si="46"/>
        <v>1252.5820799999999</v>
      </c>
      <c r="BP51" s="4">
        <f t="shared" si="47"/>
        <v>90.436426175999983</v>
      </c>
      <c r="BQ51" s="4">
        <f t="shared" si="48"/>
        <v>34918.481160575997</v>
      </c>
      <c r="BR51" s="4">
        <f t="shared" si="49"/>
        <v>11226.291693125184</v>
      </c>
      <c r="BS51" s="4">
        <f t="shared" si="50"/>
        <v>431.78044973558463</v>
      </c>
      <c r="BT51" s="4">
        <f t="shared" si="51"/>
        <v>55959.104423999997</v>
      </c>
      <c r="BU51" s="4">
        <f t="shared" si="52"/>
        <v>59914.536000000007</v>
      </c>
      <c r="BV51" s="7">
        <f t="shared" si="53"/>
        <v>419401.75200000004</v>
      </c>
      <c r="BW51" s="7">
        <f t="shared" si="54"/>
        <v>335455.78677618073</v>
      </c>
    </row>
    <row r="52" spans="1:75" x14ac:dyDescent="0.3">
      <c r="A52" s="3">
        <f t="shared" si="0"/>
        <v>48</v>
      </c>
      <c r="B52" t="str">
        <f>INDEX(Employees!$A:$A,A52+1)</f>
        <v>E048</v>
      </c>
      <c r="C52" t="str">
        <f>INDEX(Employees!$A:$Z,MATCH(B52,Employees!$A:$A,0),MATCH("category",Employees!$1:$1,0))</f>
        <v>Operations</v>
      </c>
      <c r="D52" t="str">
        <f>INDEX(Employees!$A:$Z,MATCH(B52,Employees!$A:$A,0),MATCH("gender",Employees!$1:$1,0))</f>
        <v>M</v>
      </c>
      <c r="E52" s="3">
        <f>INDEX(Employees!$A:$Z,MATCH(B52,Employees!$A:$A,0),MATCH("grade",Employees!$1:$1,0))</f>
        <v>8</v>
      </c>
      <c r="F52" s="3">
        <f>INDEX(Employees!$A:$Z,MATCH(B52,Employees!$A:$A,0),MATCH("rating",Employees!$1:$1,0))</f>
        <v>3</v>
      </c>
      <c r="G52" s="22">
        <f>INDEX(Employees!$A:$Z,MATCH(B52,Employees!$A:$A,0),MATCH("hire_date",Employees!$1:$1,0))</f>
        <v>42935</v>
      </c>
      <c r="H52" s="22">
        <f>INDEX(Employees!$A:$Z,MATCH(B52,Employees!$A:$A,0),MATCH("last_change_date",Employees!$1:$1,0))</f>
        <v>46113</v>
      </c>
      <c r="I52" s="4">
        <f>INDEX(Employees!$A:$Z,MATCH(B52,Employees!$A:$A,0),MATCH("base_salary",Employees!$1:$1,0))</f>
        <v>60911.89</v>
      </c>
      <c r="J52" s="5">
        <f>INDEX(Employees!$A:$Z,MATCH(B52,Employees!$A:$A,0),MATCH("bonus_pct",Employees!$1:$1,0))/100</f>
        <v>6.1900000000000004E-2</v>
      </c>
      <c r="K52" s="7">
        <f>INDEX(Employees!$A:$Z,MATCH(B52,Employees!$A:$A,0),MATCH("fte",Employees!$1:$1,0))</f>
        <v>1</v>
      </c>
      <c r="L52" s="3">
        <f>IF(ISNA(MATCH(C52&amp;"|"&amp;E52,Bands!$F:$F,0)),0,1)</f>
        <v>1</v>
      </c>
      <c r="M52" s="4">
        <f>INDEX(Bands!$C:$C,MATCH(C52&amp;"|"&amp;E52,Bands!$F:$F,0))</f>
        <v>48400</v>
      </c>
      <c r="N52" s="4">
        <f>INDEX(Bands!$D:$D,MATCH(C52&amp;"|"&amp;E52,Bands!$F:$F,0))</f>
        <v>58100</v>
      </c>
      <c r="O52" s="4">
        <f>INDEX(Bands!$E:$E,MATCH(C52&amp;"|"&amp;E52,Bands!$F:$F,0))</f>
        <v>67800</v>
      </c>
      <c r="P52" s="7">
        <f t="shared" si="1"/>
        <v>9.7002053388090346</v>
      </c>
      <c r="Q52" s="4">
        <f t="shared" si="2"/>
        <v>64682.335991</v>
      </c>
      <c r="R52" s="7">
        <f t="shared" si="3"/>
        <v>64</v>
      </c>
      <c r="S52" s="7">
        <f t="shared" si="4"/>
        <v>94.093983615059301</v>
      </c>
      <c r="T52" s="7">
        <f t="shared" si="5"/>
        <v>77.601642710472277</v>
      </c>
      <c r="U52" s="7">
        <f t="shared" si="6"/>
        <v>517458.687928</v>
      </c>
      <c r="V52" s="7">
        <f t="shared" si="7"/>
        <v>627431.94090653793</v>
      </c>
      <c r="W52" s="4">
        <f t="shared" si="8"/>
        <v>64682.34</v>
      </c>
      <c r="X52" s="3">
        <f t="shared" si="9"/>
        <v>31</v>
      </c>
      <c r="Y52" s="4">
        <f>INDEX(Categories!$AH:$AH,MATCH(C52,Categories!$A:$A,0))</f>
        <v>51811.839122000005</v>
      </c>
      <c r="Z52" s="3">
        <f>IF(AND(D52="F",Q52&lt;Y52,INDEX(Categories!$AI:$AI,MATCH(C52,Categories!$A:$A,0))&gt;0),1,0)</f>
        <v>0</v>
      </c>
      <c r="AA52" s="4">
        <f t="shared" si="10"/>
        <v>0</v>
      </c>
      <c r="AB52" s="4">
        <f>IF(Z52=1,INDEX(Categories!$AI:$AI,MATCH(C52,Categories!$A:$A,0))*AA52/INDEX(Categories!$AJ:$AJ,MATCH(C52,Categories!$A:$A,0)),0)</f>
        <v>0</v>
      </c>
      <c r="AC52" s="4">
        <f t="shared" si="11"/>
        <v>0</v>
      </c>
      <c r="AD52" s="4">
        <f t="shared" si="12"/>
        <v>60911.89</v>
      </c>
      <c r="AE52" s="3">
        <f t="shared" si="13"/>
        <v>0</v>
      </c>
      <c r="AF52" s="3">
        <f t="shared" si="14"/>
        <v>116</v>
      </c>
      <c r="AG52" s="3">
        <f t="shared" si="15"/>
        <v>12</v>
      </c>
      <c r="AH52" s="3">
        <f t="shared" si="16"/>
        <v>1</v>
      </c>
      <c r="AI52" s="5">
        <f t="shared" si="17"/>
        <v>1.0483974182444062</v>
      </c>
      <c r="AJ52" s="3">
        <f>MATCH(AI52,Inputs!$B$31:$B$34,1)</f>
        <v>3</v>
      </c>
      <c r="AK52" s="5">
        <f>INDEX(Inputs!$C$21:$C$25,MATCH(F52,Inputs!$A$21:$A$25,0))</f>
        <v>1</v>
      </c>
      <c r="AL52" s="5">
        <f>INDEX(Inputs!$D$21:$D$25,MATCH(F52,Inputs!$A$21:$A$25,0))</f>
        <v>0</v>
      </c>
      <c r="AM52" s="4">
        <f t="shared" si="18"/>
        <v>58100</v>
      </c>
      <c r="AN52" s="4">
        <f t="shared" si="19"/>
        <v>0</v>
      </c>
      <c r="AO52" s="3">
        <f t="shared" si="20"/>
        <v>1</v>
      </c>
      <c r="AP52" s="4">
        <f t="shared" si="21"/>
        <v>18273.566999999999</v>
      </c>
      <c r="AQ52" s="4">
        <f t="shared" si="22"/>
        <v>0</v>
      </c>
      <c r="AR52" s="4">
        <f t="shared" si="23"/>
        <v>0</v>
      </c>
      <c r="AS52" s="3">
        <f t="shared" si="24"/>
        <v>0</v>
      </c>
      <c r="AT52" s="4">
        <f t="shared" si="25"/>
        <v>0</v>
      </c>
      <c r="AU52" s="4">
        <f t="shared" si="26"/>
        <v>6888.1100000000006</v>
      </c>
      <c r="AV52" s="4">
        <f t="shared" si="27"/>
        <v>0</v>
      </c>
      <c r="AW52" s="4">
        <f t="shared" si="28"/>
        <v>0</v>
      </c>
      <c r="AX52" s="5">
        <f t="shared" si="29"/>
        <v>0</v>
      </c>
      <c r="AY52" s="4">
        <f t="shared" si="30"/>
        <v>60911.89</v>
      </c>
      <c r="AZ52" s="3">
        <f t="shared" si="31"/>
        <v>0</v>
      </c>
      <c r="BA52" s="4">
        <f t="shared" si="32"/>
        <v>64682.335991</v>
      </c>
      <c r="BB52" s="4">
        <f t="shared" si="33"/>
        <v>19713.7217855136</v>
      </c>
      <c r="BC52" s="4">
        <f t="shared" si="34"/>
        <v>64682.335991</v>
      </c>
      <c r="BD52" s="4">
        <f t="shared" si="35"/>
        <v>19713.7217855136</v>
      </c>
      <c r="BE52" s="4">
        <f t="shared" si="36"/>
        <v>64682.335991</v>
      </c>
      <c r="BF52" s="4">
        <f t="shared" si="37"/>
        <v>19713.7217855136</v>
      </c>
      <c r="BG52" s="4">
        <f t="shared" si="38"/>
        <v>0</v>
      </c>
      <c r="BH52" s="4">
        <f t="shared" si="39"/>
        <v>0</v>
      </c>
      <c r="BI52" s="4">
        <f t="shared" si="40"/>
        <v>0</v>
      </c>
      <c r="BJ52" s="4">
        <f t="shared" si="41"/>
        <v>0</v>
      </c>
      <c r="BK52" s="4">
        <f t="shared" si="42"/>
        <v>0</v>
      </c>
      <c r="BL52" s="4">
        <f t="shared" si="43"/>
        <v>0</v>
      </c>
      <c r="BM52" s="4">
        <f t="shared" si="44"/>
        <v>60911.89</v>
      </c>
      <c r="BN52" s="4">
        <f t="shared" si="45"/>
        <v>2436.4756000000002</v>
      </c>
      <c r="BO52" s="4">
        <f t="shared" si="46"/>
        <v>2436.4756000000002</v>
      </c>
      <c r="BP52" s="4">
        <f t="shared" si="47"/>
        <v>150.81783964000002</v>
      </c>
      <c r="BQ52" s="4">
        <f t="shared" si="48"/>
        <v>67269.629430640009</v>
      </c>
      <c r="BR52" s="4">
        <f t="shared" si="49"/>
        <v>19738.559802534142</v>
      </c>
      <c r="BS52" s="4">
        <f t="shared" si="50"/>
        <v>24.838017020541884</v>
      </c>
      <c r="BT52" s="4">
        <f t="shared" si="51"/>
        <v>64682.335991</v>
      </c>
      <c r="BU52" s="4">
        <f t="shared" si="52"/>
        <v>64682.335991</v>
      </c>
      <c r="BV52" s="7">
        <f t="shared" si="53"/>
        <v>517458.687928</v>
      </c>
      <c r="BW52" s="7">
        <f t="shared" si="54"/>
        <v>627431.94090653793</v>
      </c>
    </row>
    <row r="53" spans="1:75" x14ac:dyDescent="0.3">
      <c r="A53" s="3">
        <f t="shared" si="0"/>
        <v>49</v>
      </c>
      <c r="B53" t="str">
        <f>INDEX(Employees!$A:$A,A53+1)</f>
        <v>E049</v>
      </c>
      <c r="C53" t="str">
        <f>INDEX(Employees!$A:$Z,MATCH(B53,Employees!$A:$A,0),MATCH("category",Employees!$1:$1,0))</f>
        <v>Operations</v>
      </c>
      <c r="D53" t="str">
        <f>INDEX(Employees!$A:$Z,MATCH(B53,Employees!$A:$A,0),MATCH("gender",Employees!$1:$1,0))</f>
        <v>M</v>
      </c>
      <c r="E53" s="3">
        <f>INDEX(Employees!$A:$Z,MATCH(B53,Employees!$A:$A,0),MATCH("grade",Employees!$1:$1,0))</f>
        <v>9</v>
      </c>
      <c r="F53" s="3">
        <f>INDEX(Employees!$A:$Z,MATCH(B53,Employees!$A:$A,0),MATCH("rating",Employees!$1:$1,0))</f>
        <v>2</v>
      </c>
      <c r="G53" s="22">
        <f>INDEX(Employees!$A:$Z,MATCH(B53,Employees!$A:$A,0),MATCH("hire_date",Employees!$1:$1,0))</f>
        <v>42862</v>
      </c>
      <c r="H53" s="22">
        <f>INDEX(Employees!$A:$Z,MATCH(B53,Employees!$A:$A,0),MATCH("last_change_date",Employees!$1:$1,0))</f>
        <v>46113</v>
      </c>
      <c r="I53" s="4">
        <f>INDEX(Employees!$A:$Z,MATCH(B53,Employees!$A:$A,0),MATCH("base_salary",Employees!$1:$1,0))</f>
        <v>71085.13</v>
      </c>
      <c r="J53" s="5">
        <f>INDEX(Employees!$A:$Z,MATCH(B53,Employees!$A:$A,0),MATCH("bonus_pct",Employees!$1:$1,0))/100</f>
        <v>8.5299999999999987E-2</v>
      </c>
      <c r="K53" s="7">
        <f>INDEX(Employees!$A:$Z,MATCH(B53,Employees!$A:$A,0),MATCH("fte",Employees!$1:$1,0))</f>
        <v>1</v>
      </c>
      <c r="L53" s="3">
        <f>IF(ISNA(MATCH(C53&amp;"|"&amp;E53,Bands!$F:$F,0)),0,1)</f>
        <v>1</v>
      </c>
      <c r="M53" s="4">
        <f>INDEX(Bands!$C:$C,MATCH(C53&amp;"|"&amp;E53,Bands!$F:$F,0))</f>
        <v>55300</v>
      </c>
      <c r="N53" s="4">
        <f>INDEX(Bands!$D:$D,MATCH(C53&amp;"|"&amp;E53,Bands!$F:$F,0))</f>
        <v>66400</v>
      </c>
      <c r="O53" s="4">
        <f>INDEX(Bands!$E:$E,MATCH(C53&amp;"|"&amp;E53,Bands!$F:$F,0))</f>
        <v>77400</v>
      </c>
      <c r="P53" s="7">
        <f t="shared" si="1"/>
        <v>9.9000684462696782</v>
      </c>
      <c r="Q53" s="4">
        <f t="shared" si="2"/>
        <v>77148.691588999995</v>
      </c>
      <c r="R53" s="7">
        <f t="shared" si="3"/>
        <v>81</v>
      </c>
      <c r="S53" s="7">
        <f t="shared" si="4"/>
        <v>98.011355240824514</v>
      </c>
      <c r="T53" s="7">
        <f t="shared" si="5"/>
        <v>89.100616016427097</v>
      </c>
      <c r="U53" s="7">
        <f t="shared" si="6"/>
        <v>694338.22430099989</v>
      </c>
      <c r="V53" s="7">
        <f t="shared" si="7"/>
        <v>763777.32727124973</v>
      </c>
      <c r="W53" s="4">
        <f t="shared" si="8"/>
        <v>77148.69</v>
      </c>
      <c r="X53" s="3">
        <f t="shared" si="9"/>
        <v>35</v>
      </c>
      <c r="Y53" s="4">
        <f>INDEX(Categories!$AH:$AH,MATCH(C53,Categories!$A:$A,0))</f>
        <v>51811.839122000005</v>
      </c>
      <c r="Z53" s="3">
        <f>IF(AND(D53="F",Q53&lt;Y53,INDEX(Categories!$AI:$AI,MATCH(C53,Categories!$A:$A,0))&gt;0),1,0)</f>
        <v>0</v>
      </c>
      <c r="AA53" s="4">
        <f t="shared" si="10"/>
        <v>0</v>
      </c>
      <c r="AB53" s="4">
        <f>IF(Z53=1,INDEX(Categories!$AI:$AI,MATCH(C53,Categories!$A:$A,0))*AA53/INDEX(Categories!$AJ:$AJ,MATCH(C53,Categories!$A:$A,0)),0)</f>
        <v>0</v>
      </c>
      <c r="AC53" s="4">
        <f t="shared" si="11"/>
        <v>0</v>
      </c>
      <c r="AD53" s="4">
        <f t="shared" si="12"/>
        <v>71085.13</v>
      </c>
      <c r="AE53" s="3">
        <f t="shared" si="13"/>
        <v>0</v>
      </c>
      <c r="AF53" s="3">
        <f t="shared" si="14"/>
        <v>118</v>
      </c>
      <c r="AG53" s="3">
        <f t="shared" si="15"/>
        <v>12</v>
      </c>
      <c r="AH53" s="3">
        <f t="shared" si="16"/>
        <v>1</v>
      </c>
      <c r="AI53" s="5">
        <f t="shared" si="17"/>
        <v>1.0705591867469879</v>
      </c>
      <c r="AJ53" s="3">
        <f>MATCH(AI53,Inputs!$B$31:$B$34,1)</f>
        <v>3</v>
      </c>
      <c r="AK53" s="5">
        <f>INDEX(Inputs!$C$21:$C$25,MATCH(F53,Inputs!$A$21:$A$25,0))</f>
        <v>0.95</v>
      </c>
      <c r="AL53" s="5">
        <f>INDEX(Inputs!$D$21:$D$25,MATCH(F53,Inputs!$A$21:$A$25,0))</f>
        <v>0</v>
      </c>
      <c r="AM53" s="4">
        <f t="shared" si="18"/>
        <v>63080</v>
      </c>
      <c r="AN53" s="4">
        <f t="shared" si="19"/>
        <v>0</v>
      </c>
      <c r="AO53" s="3">
        <f t="shared" si="20"/>
        <v>1</v>
      </c>
      <c r="AP53" s="4">
        <f t="shared" si="21"/>
        <v>21325.539000000001</v>
      </c>
      <c r="AQ53" s="4">
        <f t="shared" si="22"/>
        <v>0</v>
      </c>
      <c r="AR53" s="4">
        <f t="shared" si="23"/>
        <v>0</v>
      </c>
      <c r="AS53" s="3">
        <f t="shared" si="24"/>
        <v>0</v>
      </c>
      <c r="AT53" s="4">
        <f t="shared" si="25"/>
        <v>0</v>
      </c>
      <c r="AU53" s="4">
        <f t="shared" si="26"/>
        <v>6314.8699999999953</v>
      </c>
      <c r="AV53" s="4">
        <f t="shared" si="27"/>
        <v>0</v>
      </c>
      <c r="AW53" s="4">
        <f t="shared" si="28"/>
        <v>0</v>
      </c>
      <c r="AX53" s="5">
        <f t="shared" si="29"/>
        <v>0</v>
      </c>
      <c r="AY53" s="4">
        <f t="shared" si="30"/>
        <v>71085.13</v>
      </c>
      <c r="AZ53" s="3">
        <f t="shared" si="31"/>
        <v>0</v>
      </c>
      <c r="BA53" s="4">
        <f t="shared" si="32"/>
        <v>77148.691588999995</v>
      </c>
      <c r="BB53" s="4">
        <f t="shared" si="33"/>
        <v>19841.249080525598</v>
      </c>
      <c r="BC53" s="4">
        <f t="shared" si="34"/>
        <v>77148.691588999995</v>
      </c>
      <c r="BD53" s="4">
        <f t="shared" si="35"/>
        <v>19841.249080525598</v>
      </c>
      <c r="BE53" s="4">
        <f t="shared" si="36"/>
        <v>77148.691588999995</v>
      </c>
      <c r="BF53" s="4">
        <f t="shared" si="37"/>
        <v>19841.249080525598</v>
      </c>
      <c r="BG53" s="4">
        <f t="shared" si="38"/>
        <v>0</v>
      </c>
      <c r="BH53" s="4">
        <f t="shared" si="39"/>
        <v>0</v>
      </c>
      <c r="BI53" s="4">
        <f t="shared" si="40"/>
        <v>0</v>
      </c>
      <c r="BJ53" s="4">
        <f t="shared" si="41"/>
        <v>0</v>
      </c>
      <c r="BK53" s="4">
        <f t="shared" si="42"/>
        <v>0</v>
      </c>
      <c r="BL53" s="4">
        <f t="shared" si="43"/>
        <v>0</v>
      </c>
      <c r="BM53" s="4">
        <f t="shared" si="44"/>
        <v>71085.13</v>
      </c>
      <c r="BN53" s="4">
        <f t="shared" si="45"/>
        <v>2843.4052000000001</v>
      </c>
      <c r="BO53" s="4">
        <f t="shared" si="46"/>
        <v>2843.4052000000001</v>
      </c>
      <c r="BP53" s="4">
        <f t="shared" si="47"/>
        <v>242.54246355999999</v>
      </c>
      <c r="BQ53" s="4">
        <f t="shared" si="48"/>
        <v>80234.639252559995</v>
      </c>
      <c r="BR53" s="4">
        <f t="shared" si="49"/>
        <v>19873.342936226622</v>
      </c>
      <c r="BS53" s="4">
        <f t="shared" si="50"/>
        <v>32.093855701023131</v>
      </c>
      <c r="BT53" s="4">
        <f t="shared" si="51"/>
        <v>77148.691588999995</v>
      </c>
      <c r="BU53" s="4">
        <f t="shared" si="52"/>
        <v>77148.691588999995</v>
      </c>
      <c r="BV53" s="7">
        <f t="shared" si="53"/>
        <v>694338.22430099989</v>
      </c>
      <c r="BW53" s="7">
        <f t="shared" si="54"/>
        <v>763777.32727124973</v>
      </c>
    </row>
    <row r="54" spans="1:75" x14ac:dyDescent="0.3">
      <c r="A54" s="3">
        <f t="shared" si="0"/>
        <v>50</v>
      </c>
      <c r="B54" t="str">
        <f>INDEX(Employees!$A:$A,A54+1)</f>
        <v>E050</v>
      </c>
      <c r="C54" t="str">
        <f>INDEX(Employees!$A:$Z,MATCH(B54,Employees!$A:$A,0),MATCH("category",Employees!$1:$1,0))</f>
        <v>Operations</v>
      </c>
      <c r="D54" t="str">
        <f>INDEX(Employees!$A:$Z,MATCH(B54,Employees!$A:$A,0),MATCH("gender",Employees!$1:$1,0))</f>
        <v>M</v>
      </c>
      <c r="E54" s="3">
        <f>INDEX(Employees!$A:$Z,MATCH(B54,Employees!$A:$A,0),MATCH("grade",Employees!$1:$1,0))</f>
        <v>6</v>
      </c>
      <c r="F54" s="3">
        <f>INDEX(Employees!$A:$Z,MATCH(B54,Employees!$A:$A,0),MATCH("rating",Employees!$1:$1,0))</f>
        <v>3</v>
      </c>
      <c r="G54" s="22">
        <f>INDEX(Employees!$A:$Z,MATCH(B54,Employees!$A:$A,0),MATCH("hire_date",Employees!$1:$1,0))</f>
        <v>45017</v>
      </c>
      <c r="H54" s="22">
        <f>INDEX(Employees!$A:$Z,MATCH(B54,Employees!$A:$A,0),MATCH("last_change_date",Employees!$1:$1,0))</f>
        <v>46113</v>
      </c>
      <c r="I54" s="4">
        <f>INDEX(Employees!$A:$Z,MATCH(B54,Employees!$A:$A,0),MATCH("base_salary",Employees!$1:$1,0))</f>
        <v>32807.360000000001</v>
      </c>
      <c r="J54" s="5">
        <f>INDEX(Employees!$A:$Z,MATCH(B54,Employees!$A:$A,0),MATCH("bonus_pct",Employees!$1:$1,0))/100</f>
        <v>6.13E-2</v>
      </c>
      <c r="K54" s="7">
        <f>INDEX(Employees!$A:$Z,MATCH(B54,Employees!$A:$A,0),MATCH("fte",Employees!$1:$1,0))</f>
        <v>1</v>
      </c>
      <c r="L54" s="3">
        <f>IF(ISNA(MATCH(C54&amp;"|"&amp;E54,Bands!$F:$F,0)),0,1)</f>
        <v>1</v>
      </c>
      <c r="M54" s="4">
        <f>INDEX(Bands!$C:$C,MATCH(C54&amp;"|"&amp;E54,Bands!$F:$F,0))</f>
        <v>37000</v>
      </c>
      <c r="N54" s="4">
        <f>INDEX(Bands!$D:$D,MATCH(C54&amp;"|"&amp;E54,Bands!$F:$F,0))</f>
        <v>44400</v>
      </c>
      <c r="O54" s="4">
        <f>INDEX(Bands!$E:$E,MATCH(C54&amp;"|"&amp;E54,Bands!$F:$F,0))</f>
        <v>51800</v>
      </c>
      <c r="P54" s="7">
        <f t="shared" si="1"/>
        <v>4</v>
      </c>
      <c r="Q54" s="4">
        <f t="shared" si="2"/>
        <v>34818.451168</v>
      </c>
      <c r="R54" s="7">
        <f t="shared" si="3"/>
        <v>36</v>
      </c>
      <c r="S54" s="7">
        <f t="shared" si="4"/>
        <v>16</v>
      </c>
      <c r="T54" s="7">
        <f t="shared" si="5"/>
        <v>24</v>
      </c>
      <c r="U54" s="7">
        <f t="shared" si="6"/>
        <v>208910.707008</v>
      </c>
      <c r="V54" s="7">
        <f t="shared" si="7"/>
        <v>139273.804672</v>
      </c>
      <c r="W54" s="4">
        <f t="shared" si="8"/>
        <v>34818.449999999997</v>
      </c>
      <c r="X54" s="3">
        <f t="shared" si="9"/>
        <v>1</v>
      </c>
      <c r="Y54" s="4">
        <f>INDEX(Categories!$AH:$AH,MATCH(C54,Categories!$A:$A,0))</f>
        <v>51811.839122000005</v>
      </c>
      <c r="Z54" s="3">
        <f>IF(AND(D54="F",Q54&lt;Y54,INDEX(Categories!$AI:$AI,MATCH(C54,Categories!$A:$A,0))&gt;0),1,0)</f>
        <v>0</v>
      </c>
      <c r="AA54" s="4">
        <f t="shared" si="10"/>
        <v>0</v>
      </c>
      <c r="AB54" s="4">
        <f>IF(Z54=1,INDEX(Categories!$AI:$AI,MATCH(C54,Categories!$A:$A,0))*AA54/INDEX(Categories!$AJ:$AJ,MATCH(C54,Categories!$A:$A,0)),0)</f>
        <v>0</v>
      </c>
      <c r="AC54" s="4">
        <f t="shared" si="11"/>
        <v>0</v>
      </c>
      <c r="AD54" s="4">
        <f t="shared" si="12"/>
        <v>32807.360000000001</v>
      </c>
      <c r="AE54" s="3">
        <f t="shared" si="13"/>
        <v>0</v>
      </c>
      <c r="AF54" s="3">
        <f t="shared" si="14"/>
        <v>48</v>
      </c>
      <c r="AG54" s="3">
        <f t="shared" si="15"/>
        <v>12</v>
      </c>
      <c r="AH54" s="3">
        <f t="shared" si="16"/>
        <v>1</v>
      </c>
      <c r="AI54" s="5">
        <f t="shared" si="17"/>
        <v>0.73890450450450451</v>
      </c>
      <c r="AJ54" s="3">
        <f>MATCH(AI54,Inputs!$B$31:$B$34,1)</f>
        <v>1</v>
      </c>
      <c r="AK54" s="5">
        <f>INDEX(Inputs!$C$21:$C$25,MATCH(F54,Inputs!$A$21:$A$25,0))</f>
        <v>1</v>
      </c>
      <c r="AL54" s="5">
        <f>INDEX(Inputs!$D$21:$D$25,MATCH(F54,Inputs!$A$21:$A$25,0))</f>
        <v>0</v>
      </c>
      <c r="AM54" s="4">
        <f t="shared" si="18"/>
        <v>44400</v>
      </c>
      <c r="AN54" s="4">
        <f t="shared" si="19"/>
        <v>11592.64</v>
      </c>
      <c r="AO54" s="3">
        <f t="shared" si="20"/>
        <v>1</v>
      </c>
      <c r="AP54" s="4">
        <f t="shared" si="21"/>
        <v>9842.2080000000005</v>
      </c>
      <c r="AQ54" s="4">
        <f t="shared" si="22"/>
        <v>0</v>
      </c>
      <c r="AR54" s="4">
        <f t="shared" si="23"/>
        <v>9842.2080000000005</v>
      </c>
      <c r="AS54" s="3">
        <f t="shared" si="24"/>
        <v>0</v>
      </c>
      <c r="AT54" s="4">
        <f t="shared" si="25"/>
        <v>9842.2080000000005</v>
      </c>
      <c r="AU54" s="4">
        <f t="shared" si="26"/>
        <v>18992.64</v>
      </c>
      <c r="AV54" s="4">
        <f t="shared" si="27"/>
        <v>9842.2080000000005</v>
      </c>
      <c r="AW54" s="4">
        <f t="shared" si="28"/>
        <v>9842.2080000000005</v>
      </c>
      <c r="AX54" s="5">
        <f t="shared" si="29"/>
        <v>0.3</v>
      </c>
      <c r="AY54" s="4">
        <f t="shared" si="30"/>
        <v>42649.567999999999</v>
      </c>
      <c r="AZ54" s="3">
        <f t="shared" si="31"/>
        <v>0</v>
      </c>
      <c r="BA54" s="4">
        <f t="shared" si="32"/>
        <v>34818.451168</v>
      </c>
      <c r="BB54" s="4">
        <f t="shared" si="33"/>
        <v>11194.132050512</v>
      </c>
      <c r="BC54" s="4">
        <f t="shared" si="34"/>
        <v>34818.451168</v>
      </c>
      <c r="BD54" s="4">
        <f t="shared" si="35"/>
        <v>11194.132050512</v>
      </c>
      <c r="BE54" s="4">
        <f t="shared" si="36"/>
        <v>45263.986518399994</v>
      </c>
      <c r="BF54" s="4">
        <f t="shared" si="37"/>
        <v>14552.371665665598</v>
      </c>
      <c r="BG54" s="4">
        <f t="shared" si="38"/>
        <v>0</v>
      </c>
      <c r="BH54" s="4">
        <f t="shared" si="39"/>
        <v>0</v>
      </c>
      <c r="BI54" s="4">
        <f t="shared" si="40"/>
        <v>0</v>
      </c>
      <c r="BJ54" s="4">
        <f t="shared" si="41"/>
        <v>9842.2080000000005</v>
      </c>
      <c r="BK54" s="4">
        <f t="shared" si="42"/>
        <v>603.3273504</v>
      </c>
      <c r="BL54" s="4">
        <f t="shared" si="43"/>
        <v>3358.2396151535977</v>
      </c>
      <c r="BM54" s="4">
        <f t="shared" si="44"/>
        <v>32807.360000000001</v>
      </c>
      <c r="BN54" s="4">
        <f t="shared" si="45"/>
        <v>1312.2944</v>
      </c>
      <c r="BO54" s="4">
        <f t="shared" si="46"/>
        <v>1312.2944</v>
      </c>
      <c r="BP54" s="4">
        <f t="shared" si="47"/>
        <v>80.443646720000004</v>
      </c>
      <c r="BQ54" s="4">
        <f t="shared" si="48"/>
        <v>36211.189214719998</v>
      </c>
      <c r="BR54" s="4">
        <f t="shared" si="49"/>
        <v>11641.897332532479</v>
      </c>
      <c r="BS54" s="4">
        <f t="shared" si="50"/>
        <v>447.76528202047848</v>
      </c>
      <c r="BT54" s="4">
        <f t="shared" si="51"/>
        <v>34818.451168</v>
      </c>
      <c r="BU54" s="4">
        <f t="shared" si="52"/>
        <v>45263.986518399994</v>
      </c>
      <c r="BV54" s="7">
        <f t="shared" si="53"/>
        <v>271583.91911039996</v>
      </c>
      <c r="BW54" s="7">
        <f t="shared" si="54"/>
        <v>181055.94607359997</v>
      </c>
    </row>
    <row r="55" spans="1:75" x14ac:dyDescent="0.3">
      <c r="A55" s="3">
        <f t="shared" si="0"/>
        <v>51</v>
      </c>
      <c r="B55" t="str">
        <f>INDEX(Employees!$A:$A,A55+1)</f>
        <v>E051</v>
      </c>
      <c r="C55" t="str">
        <f>INDEX(Employees!$A:$Z,MATCH(B55,Employees!$A:$A,0),MATCH("category",Employees!$1:$1,0))</f>
        <v>Operations</v>
      </c>
      <c r="D55" t="str">
        <f>INDEX(Employees!$A:$Z,MATCH(B55,Employees!$A:$A,0),MATCH("gender",Employees!$1:$1,0))</f>
        <v>M</v>
      </c>
      <c r="E55" s="3">
        <f>INDEX(Employees!$A:$Z,MATCH(B55,Employees!$A:$A,0),MATCH("grade",Employees!$1:$1,0))</f>
        <v>6</v>
      </c>
      <c r="F55" s="3">
        <f>INDEX(Employees!$A:$Z,MATCH(B55,Employees!$A:$A,0),MATCH("rating",Employees!$1:$1,0))</f>
        <v>3</v>
      </c>
      <c r="G55" s="22">
        <f>INDEX(Employees!$A:$Z,MATCH(B55,Employees!$A:$A,0),MATCH("hire_date",Employees!$1:$1,0))</f>
        <v>44067</v>
      </c>
      <c r="H55" s="22">
        <f>INDEX(Employees!$A:$Z,MATCH(B55,Employees!$A:$A,0),MATCH("last_change_date",Employees!$1:$1,0))</f>
        <v>46113</v>
      </c>
      <c r="I55" s="4">
        <f>INDEX(Employees!$A:$Z,MATCH(B55,Employees!$A:$A,0),MATCH("base_salary",Employees!$1:$1,0))</f>
        <v>44771.96</v>
      </c>
      <c r="J55" s="5">
        <f>INDEX(Employees!$A:$Z,MATCH(B55,Employees!$A:$A,0),MATCH("bonus_pct",Employees!$1:$1,0))/100</f>
        <v>6.7099999999999993E-2</v>
      </c>
      <c r="K55" s="7">
        <f>INDEX(Employees!$A:$Z,MATCH(B55,Employees!$A:$A,0),MATCH("fte",Employees!$1:$1,0))</f>
        <v>1</v>
      </c>
      <c r="L55" s="3">
        <f>IF(ISNA(MATCH(C55&amp;"|"&amp;E55,Bands!$F:$F,0)),0,1)</f>
        <v>1</v>
      </c>
      <c r="M55" s="4">
        <f>INDEX(Bands!$C:$C,MATCH(C55&amp;"|"&amp;E55,Bands!$F:$F,0))</f>
        <v>37000</v>
      </c>
      <c r="N55" s="4">
        <f>INDEX(Bands!$D:$D,MATCH(C55&amp;"|"&amp;E55,Bands!$F:$F,0))</f>
        <v>44400</v>
      </c>
      <c r="O55" s="4">
        <f>INDEX(Bands!$E:$E,MATCH(C55&amp;"|"&amp;E55,Bands!$F:$F,0))</f>
        <v>51800</v>
      </c>
      <c r="P55" s="7">
        <f t="shared" si="1"/>
        <v>6.6009582477754964</v>
      </c>
      <c r="Q55" s="4">
        <f t="shared" si="2"/>
        <v>47776.158515999996</v>
      </c>
      <c r="R55" s="7">
        <f t="shared" si="3"/>
        <v>36</v>
      </c>
      <c r="S55" s="7">
        <f t="shared" si="4"/>
        <v>43.572649788875353</v>
      </c>
      <c r="T55" s="7">
        <f t="shared" si="5"/>
        <v>39.605749486652982</v>
      </c>
      <c r="U55" s="7">
        <f t="shared" si="6"/>
        <v>286656.95109599998</v>
      </c>
      <c r="V55" s="7">
        <f t="shared" si="7"/>
        <v>315368.42760321969</v>
      </c>
      <c r="W55" s="4">
        <f t="shared" si="8"/>
        <v>47776.160000000003</v>
      </c>
      <c r="X55" s="3">
        <f t="shared" si="9"/>
        <v>16</v>
      </c>
      <c r="Y55" s="4">
        <f>INDEX(Categories!$AH:$AH,MATCH(C55,Categories!$A:$A,0))</f>
        <v>51811.839122000005</v>
      </c>
      <c r="Z55" s="3">
        <f>IF(AND(D55="F",Q55&lt;Y55,INDEX(Categories!$AI:$AI,MATCH(C55,Categories!$A:$A,0))&gt;0),1,0)</f>
        <v>0</v>
      </c>
      <c r="AA55" s="4">
        <f t="shared" si="10"/>
        <v>0</v>
      </c>
      <c r="AB55" s="4">
        <f>IF(Z55=1,INDEX(Categories!$AI:$AI,MATCH(C55,Categories!$A:$A,0))*AA55/INDEX(Categories!$AJ:$AJ,MATCH(C55,Categories!$A:$A,0)),0)</f>
        <v>0</v>
      </c>
      <c r="AC55" s="4">
        <f t="shared" si="11"/>
        <v>0</v>
      </c>
      <c r="AD55" s="4">
        <f t="shared" si="12"/>
        <v>44771.96</v>
      </c>
      <c r="AE55" s="3">
        <f t="shared" si="13"/>
        <v>0</v>
      </c>
      <c r="AF55" s="3">
        <f t="shared" si="14"/>
        <v>79</v>
      </c>
      <c r="AG55" s="3">
        <f t="shared" si="15"/>
        <v>12</v>
      </c>
      <c r="AH55" s="3">
        <f t="shared" si="16"/>
        <v>1</v>
      </c>
      <c r="AI55" s="5">
        <f t="shared" si="17"/>
        <v>1.0083774774774774</v>
      </c>
      <c r="AJ55" s="3">
        <f>MATCH(AI55,Inputs!$B$31:$B$34,1)</f>
        <v>3</v>
      </c>
      <c r="AK55" s="5">
        <f>INDEX(Inputs!$C$21:$C$25,MATCH(F55,Inputs!$A$21:$A$25,0))</f>
        <v>1</v>
      </c>
      <c r="AL55" s="5">
        <f>INDEX(Inputs!$D$21:$D$25,MATCH(F55,Inputs!$A$21:$A$25,0))</f>
        <v>0</v>
      </c>
      <c r="AM55" s="4">
        <f t="shared" si="18"/>
        <v>44400</v>
      </c>
      <c r="AN55" s="4">
        <f t="shared" si="19"/>
        <v>0</v>
      </c>
      <c r="AO55" s="3">
        <f t="shared" si="20"/>
        <v>1</v>
      </c>
      <c r="AP55" s="4">
        <f t="shared" si="21"/>
        <v>13431.588</v>
      </c>
      <c r="AQ55" s="4">
        <f t="shared" si="22"/>
        <v>0</v>
      </c>
      <c r="AR55" s="4">
        <f t="shared" si="23"/>
        <v>0</v>
      </c>
      <c r="AS55" s="3">
        <f t="shared" si="24"/>
        <v>0</v>
      </c>
      <c r="AT55" s="4">
        <f t="shared" si="25"/>
        <v>0</v>
      </c>
      <c r="AU55" s="4">
        <f t="shared" si="26"/>
        <v>7028.0400000000009</v>
      </c>
      <c r="AV55" s="4">
        <f t="shared" si="27"/>
        <v>0</v>
      </c>
      <c r="AW55" s="4">
        <f t="shared" si="28"/>
        <v>0</v>
      </c>
      <c r="AX55" s="5">
        <f t="shared" si="29"/>
        <v>0</v>
      </c>
      <c r="AY55" s="4">
        <f t="shared" si="30"/>
        <v>44771.96</v>
      </c>
      <c r="AZ55" s="3">
        <f t="shared" si="31"/>
        <v>0</v>
      </c>
      <c r="BA55" s="4">
        <f t="shared" si="32"/>
        <v>47776.158515999996</v>
      </c>
      <c r="BB55" s="4">
        <f t="shared" si="33"/>
        <v>15360.034962893998</v>
      </c>
      <c r="BC55" s="4">
        <f t="shared" si="34"/>
        <v>47776.158515999996</v>
      </c>
      <c r="BD55" s="4">
        <f t="shared" si="35"/>
        <v>15360.034962893998</v>
      </c>
      <c r="BE55" s="4">
        <f t="shared" si="36"/>
        <v>47776.158515999996</v>
      </c>
      <c r="BF55" s="4">
        <f t="shared" si="37"/>
        <v>15360.034962893998</v>
      </c>
      <c r="BG55" s="4">
        <f t="shared" si="38"/>
        <v>0</v>
      </c>
      <c r="BH55" s="4">
        <f t="shared" si="39"/>
        <v>0</v>
      </c>
      <c r="BI55" s="4">
        <f t="shared" si="40"/>
        <v>0</v>
      </c>
      <c r="BJ55" s="4">
        <f t="shared" si="41"/>
        <v>0</v>
      </c>
      <c r="BK55" s="4">
        <f t="shared" si="42"/>
        <v>0</v>
      </c>
      <c r="BL55" s="4">
        <f t="shared" si="43"/>
        <v>0</v>
      </c>
      <c r="BM55" s="4">
        <f t="shared" si="44"/>
        <v>44771.96</v>
      </c>
      <c r="BN55" s="4">
        <f t="shared" si="45"/>
        <v>1790.8784000000001</v>
      </c>
      <c r="BO55" s="4">
        <f t="shared" si="46"/>
        <v>1790.8784000000001</v>
      </c>
      <c r="BP55" s="4">
        <f t="shared" si="47"/>
        <v>120.16794064</v>
      </c>
      <c r="BQ55" s="4">
        <f t="shared" si="48"/>
        <v>49687.204856639997</v>
      </c>
      <c r="BR55" s="4">
        <f t="shared" si="49"/>
        <v>15974.43636140976</v>
      </c>
      <c r="BS55" s="4">
        <f t="shared" si="50"/>
        <v>614.40139851576168</v>
      </c>
      <c r="BT55" s="4">
        <f t="shared" si="51"/>
        <v>47776.158515999996</v>
      </c>
      <c r="BU55" s="4">
        <f t="shared" si="52"/>
        <v>47776.158515999996</v>
      </c>
      <c r="BV55" s="7">
        <f t="shared" si="53"/>
        <v>286656.95109599998</v>
      </c>
      <c r="BW55" s="7">
        <f t="shared" si="54"/>
        <v>315368.42760321969</v>
      </c>
    </row>
    <row r="56" spans="1:75" x14ac:dyDescent="0.3">
      <c r="A56" s="3">
        <f t="shared" si="0"/>
        <v>52</v>
      </c>
      <c r="B56" t="str">
        <f>INDEX(Employees!$A:$A,A56+1)</f>
        <v>E052</v>
      </c>
      <c r="C56" t="str">
        <f>INDEX(Employees!$A:$Z,MATCH(B56,Employees!$A:$A,0),MATCH("category",Employees!$1:$1,0))</f>
        <v>Operations</v>
      </c>
      <c r="D56" t="str">
        <f>INDEX(Employees!$A:$Z,MATCH(B56,Employees!$A:$A,0),MATCH("gender",Employees!$1:$1,0))</f>
        <v>M</v>
      </c>
      <c r="E56" s="3">
        <f>INDEX(Employees!$A:$Z,MATCH(B56,Employees!$A:$A,0),MATCH("grade",Employees!$1:$1,0))</f>
        <v>7</v>
      </c>
      <c r="F56" s="3">
        <f>INDEX(Employees!$A:$Z,MATCH(B56,Employees!$A:$A,0),MATCH("rating",Employees!$1:$1,0))</f>
        <v>4</v>
      </c>
      <c r="G56" s="22">
        <f>INDEX(Employees!$A:$Z,MATCH(B56,Employees!$A:$A,0),MATCH("hire_date",Employees!$1:$1,0))</f>
        <v>44542</v>
      </c>
      <c r="H56" s="22">
        <f>INDEX(Employees!$A:$Z,MATCH(B56,Employees!$A:$A,0),MATCH("last_change_date",Employees!$1:$1,0))</f>
        <v>46113</v>
      </c>
      <c r="I56" s="4">
        <f>INDEX(Employees!$A:$Z,MATCH(B56,Employees!$A:$A,0),MATCH("base_salary",Employees!$1:$1,0))</f>
        <v>53501.15</v>
      </c>
      <c r="J56" s="5">
        <f>INDEX(Employees!$A:$Z,MATCH(B56,Employees!$A:$A,0),MATCH("bonus_pct",Employees!$1:$1,0))/100</f>
        <v>6.5500000000000003E-2</v>
      </c>
      <c r="K56" s="7">
        <f>INDEX(Employees!$A:$Z,MATCH(B56,Employees!$A:$A,0),MATCH("fte",Employees!$1:$1,0))</f>
        <v>1</v>
      </c>
      <c r="L56" s="3">
        <f>IF(ISNA(MATCH(C56&amp;"|"&amp;E56,Bands!$F:$F,0)),0,1)</f>
        <v>1</v>
      </c>
      <c r="M56" s="4">
        <f>INDEX(Bands!$C:$C,MATCH(C56&amp;"|"&amp;E56,Bands!$F:$F,0))</f>
        <v>42300</v>
      </c>
      <c r="N56" s="4">
        <f>INDEX(Bands!$D:$D,MATCH(C56&amp;"|"&amp;E56,Bands!$F:$F,0))</f>
        <v>50800</v>
      </c>
      <c r="O56" s="4">
        <f>INDEX(Bands!$E:$E,MATCH(C56&amp;"|"&amp;E56,Bands!$F:$F,0))</f>
        <v>59200</v>
      </c>
      <c r="P56" s="7">
        <f t="shared" si="1"/>
        <v>5.3004791238877482</v>
      </c>
      <c r="Q56" s="4">
        <f t="shared" si="2"/>
        <v>57005.475325000007</v>
      </c>
      <c r="R56" s="7">
        <f t="shared" si="3"/>
        <v>49</v>
      </c>
      <c r="S56" s="7">
        <f t="shared" si="4"/>
        <v>28.095078942769831</v>
      </c>
      <c r="T56" s="7">
        <f t="shared" si="5"/>
        <v>37.103353867214238</v>
      </c>
      <c r="U56" s="7">
        <f t="shared" si="6"/>
        <v>399038.32727500005</v>
      </c>
      <c r="V56" s="7">
        <f t="shared" si="7"/>
        <v>302156.3319074607</v>
      </c>
      <c r="W56" s="4">
        <f t="shared" si="8"/>
        <v>57005.48</v>
      </c>
      <c r="X56" s="3">
        <f t="shared" si="9"/>
        <v>25</v>
      </c>
      <c r="Y56" s="4">
        <f>INDEX(Categories!$AH:$AH,MATCH(C56,Categories!$A:$A,0))</f>
        <v>51811.839122000005</v>
      </c>
      <c r="Z56" s="3">
        <f>IF(AND(D56="F",Q56&lt;Y56,INDEX(Categories!$AI:$AI,MATCH(C56,Categories!$A:$A,0))&gt;0),1,0)</f>
        <v>0</v>
      </c>
      <c r="AA56" s="4">
        <f t="shared" si="10"/>
        <v>0</v>
      </c>
      <c r="AB56" s="4">
        <f>IF(Z56=1,INDEX(Categories!$AI:$AI,MATCH(C56,Categories!$A:$A,0))*AA56/INDEX(Categories!$AJ:$AJ,MATCH(C56,Categories!$A:$A,0)),0)</f>
        <v>0</v>
      </c>
      <c r="AC56" s="4">
        <f t="shared" si="11"/>
        <v>0</v>
      </c>
      <c r="AD56" s="4">
        <f t="shared" si="12"/>
        <v>53501.15</v>
      </c>
      <c r="AE56" s="3">
        <f t="shared" si="13"/>
        <v>0</v>
      </c>
      <c r="AF56" s="3">
        <f t="shared" si="14"/>
        <v>63</v>
      </c>
      <c r="AG56" s="3">
        <f t="shared" si="15"/>
        <v>12</v>
      </c>
      <c r="AH56" s="3">
        <f t="shared" si="16"/>
        <v>1</v>
      </c>
      <c r="AI56" s="5">
        <f t="shared" si="17"/>
        <v>1.0531722440944882</v>
      </c>
      <c r="AJ56" s="3">
        <f>MATCH(AI56,Inputs!$B$31:$B$34,1)</f>
        <v>3</v>
      </c>
      <c r="AK56" s="5">
        <f>INDEX(Inputs!$C$21:$C$25,MATCH(F56,Inputs!$A$21:$A$25,0))</f>
        <v>1.05</v>
      </c>
      <c r="AL56" s="5">
        <f>INDEX(Inputs!$D$21:$D$25,MATCH(F56,Inputs!$A$21:$A$25,0))</f>
        <v>0.01</v>
      </c>
      <c r="AM56" s="4">
        <f t="shared" si="18"/>
        <v>53340</v>
      </c>
      <c r="AN56" s="4">
        <f t="shared" si="19"/>
        <v>0</v>
      </c>
      <c r="AO56" s="3">
        <f t="shared" si="20"/>
        <v>1</v>
      </c>
      <c r="AP56" s="4">
        <f t="shared" si="21"/>
        <v>16050.344999999999</v>
      </c>
      <c r="AQ56" s="4">
        <f t="shared" si="22"/>
        <v>535.01150000000007</v>
      </c>
      <c r="AR56" s="4">
        <f t="shared" si="23"/>
        <v>535.01150000000007</v>
      </c>
      <c r="AS56" s="3">
        <f t="shared" si="24"/>
        <v>0</v>
      </c>
      <c r="AT56" s="4">
        <f t="shared" si="25"/>
        <v>535.01150000000007</v>
      </c>
      <c r="AU56" s="4">
        <f t="shared" si="26"/>
        <v>5698.8499999999985</v>
      </c>
      <c r="AV56" s="4">
        <f t="shared" si="27"/>
        <v>535.01150000000007</v>
      </c>
      <c r="AW56" s="4">
        <f t="shared" si="28"/>
        <v>535.01150000000007</v>
      </c>
      <c r="AX56" s="5">
        <f t="shared" si="29"/>
        <v>0.01</v>
      </c>
      <c r="AY56" s="4">
        <f t="shared" si="30"/>
        <v>54036.161500000002</v>
      </c>
      <c r="AZ56" s="3">
        <f t="shared" si="31"/>
        <v>0</v>
      </c>
      <c r="BA56" s="4">
        <f t="shared" si="32"/>
        <v>57005.475325000007</v>
      </c>
      <c r="BB56" s="4">
        <f t="shared" si="33"/>
        <v>18327.260316987504</v>
      </c>
      <c r="BC56" s="4">
        <f t="shared" si="34"/>
        <v>57005.475325000007</v>
      </c>
      <c r="BD56" s="4">
        <f t="shared" si="35"/>
        <v>18327.260316987504</v>
      </c>
      <c r="BE56" s="4">
        <f t="shared" si="36"/>
        <v>57575.530078250005</v>
      </c>
      <c r="BF56" s="4">
        <f t="shared" si="37"/>
        <v>18510.532920157377</v>
      </c>
      <c r="BG56" s="4">
        <f t="shared" si="38"/>
        <v>0</v>
      </c>
      <c r="BH56" s="4">
        <f t="shared" si="39"/>
        <v>0</v>
      </c>
      <c r="BI56" s="4">
        <f t="shared" si="40"/>
        <v>0</v>
      </c>
      <c r="BJ56" s="4">
        <f t="shared" si="41"/>
        <v>535.01150000000007</v>
      </c>
      <c r="BK56" s="4">
        <f t="shared" si="42"/>
        <v>35.043253250000006</v>
      </c>
      <c r="BL56" s="4">
        <f t="shared" si="43"/>
        <v>183.27260316987304</v>
      </c>
      <c r="BM56" s="4">
        <f t="shared" si="44"/>
        <v>53501.15</v>
      </c>
      <c r="BN56" s="4">
        <f t="shared" si="45"/>
        <v>2140.0460000000003</v>
      </c>
      <c r="BO56" s="4">
        <f t="shared" si="46"/>
        <v>2140.0460000000003</v>
      </c>
      <c r="BP56" s="4">
        <f t="shared" si="47"/>
        <v>140.17301300000003</v>
      </c>
      <c r="BQ56" s="4">
        <f t="shared" si="48"/>
        <v>59285.694338000008</v>
      </c>
      <c r="BR56" s="4">
        <f t="shared" si="49"/>
        <v>19060.350729667003</v>
      </c>
      <c r="BS56" s="4">
        <f t="shared" si="50"/>
        <v>733.09041267949942</v>
      </c>
      <c r="BT56" s="4">
        <f t="shared" si="51"/>
        <v>57005.475325000007</v>
      </c>
      <c r="BU56" s="4">
        <f t="shared" si="52"/>
        <v>57575.530078250005</v>
      </c>
      <c r="BV56" s="7">
        <f t="shared" si="53"/>
        <v>403028.71054775006</v>
      </c>
      <c r="BW56" s="7">
        <f t="shared" si="54"/>
        <v>305177.89522653527</v>
      </c>
    </row>
    <row r="57" spans="1:75" x14ac:dyDescent="0.3">
      <c r="A57" s="3">
        <f t="shared" si="0"/>
        <v>53</v>
      </c>
      <c r="B57" t="str">
        <f>INDEX(Employees!$A:$A,A57+1)</f>
        <v>E053</v>
      </c>
      <c r="C57" t="str">
        <f>INDEX(Employees!$A:$Z,MATCH(B57,Employees!$A:$A,0),MATCH("category",Employees!$1:$1,0))</f>
        <v>Operations</v>
      </c>
      <c r="D57" t="str">
        <f>INDEX(Employees!$A:$Z,MATCH(B57,Employees!$A:$A,0),MATCH("gender",Employees!$1:$1,0))</f>
        <v>M</v>
      </c>
      <c r="E57" s="3">
        <f>INDEX(Employees!$A:$Z,MATCH(B57,Employees!$A:$A,0),MATCH("grade",Employees!$1:$1,0))</f>
        <v>5</v>
      </c>
      <c r="F57" s="3">
        <f>INDEX(Employees!$A:$Z,MATCH(B57,Employees!$A:$A,0),MATCH("rating",Employees!$1:$1,0))</f>
        <v>4</v>
      </c>
      <c r="G57" s="22">
        <f>INDEX(Employees!$A:$Z,MATCH(B57,Employees!$A:$A,0),MATCH("hire_date",Employees!$1:$1,0))</f>
        <v>44834</v>
      </c>
      <c r="H57" s="22">
        <f>INDEX(Employees!$A:$Z,MATCH(B57,Employees!$A:$A,0),MATCH("last_change_date",Employees!$1:$1,0))</f>
        <v>46113</v>
      </c>
      <c r="I57" s="4">
        <f>INDEX(Employees!$A:$Z,MATCH(B57,Employees!$A:$A,0),MATCH("base_salary",Employees!$1:$1,0))</f>
        <v>38320.370000000003</v>
      </c>
      <c r="J57" s="5">
        <f>INDEX(Employees!$A:$Z,MATCH(B57,Employees!$A:$A,0),MATCH("bonus_pct",Employees!$1:$1,0))/100</f>
        <v>7.8100000000000003E-2</v>
      </c>
      <c r="K57" s="7">
        <f>INDEX(Employees!$A:$Z,MATCH(B57,Employees!$A:$A,0),MATCH("fte",Employees!$1:$1,0))</f>
        <v>1</v>
      </c>
      <c r="L57" s="3">
        <f>IF(ISNA(MATCH(C57&amp;"|"&amp;E57,Bands!$F:$F,0)),0,1)</f>
        <v>1</v>
      </c>
      <c r="M57" s="4">
        <f>INDEX(Bands!$C:$C,MATCH(C57&amp;"|"&amp;E57,Bands!$F:$F,0))</f>
        <v>33700</v>
      </c>
      <c r="N57" s="4">
        <f>INDEX(Bands!$D:$D,MATCH(C57&amp;"|"&amp;E57,Bands!$F:$F,0))</f>
        <v>38800</v>
      </c>
      <c r="O57" s="4">
        <f>INDEX(Bands!$E:$E,MATCH(C57&amp;"|"&amp;E57,Bands!$F:$F,0))</f>
        <v>43800</v>
      </c>
      <c r="P57" s="7">
        <f t="shared" si="1"/>
        <v>4.5010266940451746</v>
      </c>
      <c r="Q57" s="4">
        <f t="shared" si="2"/>
        <v>41313.190897000008</v>
      </c>
      <c r="R57" s="7">
        <f t="shared" si="3"/>
        <v>25</v>
      </c>
      <c r="S57" s="7">
        <f t="shared" si="4"/>
        <v>20.259241300507234</v>
      </c>
      <c r="T57" s="7">
        <f t="shared" si="5"/>
        <v>22.505133470225871</v>
      </c>
      <c r="U57" s="7">
        <f t="shared" si="6"/>
        <v>206565.95448500005</v>
      </c>
      <c r="V57" s="7">
        <f t="shared" si="7"/>
        <v>185951.77504358115</v>
      </c>
      <c r="W57" s="4">
        <f t="shared" si="8"/>
        <v>41313.19</v>
      </c>
      <c r="X57" s="3">
        <f t="shared" si="9"/>
        <v>4</v>
      </c>
      <c r="Y57" s="4">
        <f>INDEX(Categories!$AH:$AH,MATCH(C57,Categories!$A:$A,0))</f>
        <v>51811.839122000005</v>
      </c>
      <c r="Z57" s="3">
        <f>IF(AND(D57="F",Q57&lt;Y57,INDEX(Categories!$AI:$AI,MATCH(C57,Categories!$A:$A,0))&gt;0),1,0)</f>
        <v>0</v>
      </c>
      <c r="AA57" s="4">
        <f t="shared" si="10"/>
        <v>0</v>
      </c>
      <c r="AB57" s="4">
        <f>IF(Z57=1,INDEX(Categories!$AI:$AI,MATCH(C57,Categories!$A:$A,0))*AA57/INDEX(Categories!$AJ:$AJ,MATCH(C57,Categories!$A:$A,0)),0)</f>
        <v>0</v>
      </c>
      <c r="AC57" s="4">
        <f t="shared" si="11"/>
        <v>0</v>
      </c>
      <c r="AD57" s="4">
        <f t="shared" si="12"/>
        <v>38320.370000000003</v>
      </c>
      <c r="AE57" s="3">
        <f t="shared" si="13"/>
        <v>0</v>
      </c>
      <c r="AF57" s="3">
        <f t="shared" si="14"/>
        <v>54</v>
      </c>
      <c r="AG57" s="3">
        <f t="shared" si="15"/>
        <v>12</v>
      </c>
      <c r="AH57" s="3">
        <f t="shared" si="16"/>
        <v>1</v>
      </c>
      <c r="AI57" s="5">
        <f t="shared" si="17"/>
        <v>0.98763840206185571</v>
      </c>
      <c r="AJ57" s="3">
        <f>MATCH(AI57,Inputs!$B$31:$B$34,1)</f>
        <v>2</v>
      </c>
      <c r="AK57" s="5">
        <f>INDEX(Inputs!$C$21:$C$25,MATCH(F57,Inputs!$A$21:$A$25,0))</f>
        <v>1.05</v>
      </c>
      <c r="AL57" s="5">
        <f>INDEX(Inputs!$D$21:$D$25,MATCH(F57,Inputs!$A$21:$A$25,0))</f>
        <v>0.01</v>
      </c>
      <c r="AM57" s="4">
        <f t="shared" si="18"/>
        <v>40740</v>
      </c>
      <c r="AN57" s="4">
        <f t="shared" si="19"/>
        <v>2419.6299999999974</v>
      </c>
      <c r="AO57" s="3">
        <f t="shared" si="20"/>
        <v>1</v>
      </c>
      <c r="AP57" s="4">
        <f t="shared" si="21"/>
        <v>11496.111000000001</v>
      </c>
      <c r="AQ57" s="4">
        <f t="shared" si="22"/>
        <v>383.20370000000003</v>
      </c>
      <c r="AR57" s="4">
        <f t="shared" si="23"/>
        <v>2419.6299999999974</v>
      </c>
      <c r="AS57" s="3">
        <f t="shared" si="24"/>
        <v>0</v>
      </c>
      <c r="AT57" s="4">
        <f t="shared" si="25"/>
        <v>2419.6299999999974</v>
      </c>
      <c r="AU57" s="4">
        <f t="shared" si="26"/>
        <v>5479.6299999999974</v>
      </c>
      <c r="AV57" s="4">
        <f t="shared" si="27"/>
        <v>2419.6299999999974</v>
      </c>
      <c r="AW57" s="4">
        <f t="shared" si="28"/>
        <v>2419.6299999999974</v>
      </c>
      <c r="AX57" s="5">
        <f t="shared" si="29"/>
        <v>6.3142135631780102E-2</v>
      </c>
      <c r="AY57" s="4">
        <f t="shared" si="30"/>
        <v>40740</v>
      </c>
      <c r="AZ57" s="3">
        <f t="shared" si="31"/>
        <v>0</v>
      </c>
      <c r="BA57" s="4">
        <f t="shared" si="32"/>
        <v>41313.190897000008</v>
      </c>
      <c r="BB57" s="4">
        <f t="shared" si="33"/>
        <v>13282.190873385503</v>
      </c>
      <c r="BC57" s="4">
        <f t="shared" si="34"/>
        <v>41313.190897000008</v>
      </c>
      <c r="BD57" s="4">
        <f t="shared" si="35"/>
        <v>13282.190873385503</v>
      </c>
      <c r="BE57" s="4">
        <f t="shared" si="36"/>
        <v>43921.794000000002</v>
      </c>
      <c r="BF57" s="4">
        <f t="shared" si="37"/>
        <v>14120.856771000001</v>
      </c>
      <c r="BG57" s="4">
        <f t="shared" si="38"/>
        <v>0</v>
      </c>
      <c r="BH57" s="4">
        <f t="shared" si="39"/>
        <v>0</v>
      </c>
      <c r="BI57" s="4">
        <f t="shared" si="40"/>
        <v>0</v>
      </c>
      <c r="BJ57" s="4">
        <f t="shared" si="41"/>
        <v>2419.6299999999974</v>
      </c>
      <c r="BK57" s="4">
        <f t="shared" si="42"/>
        <v>188.97310299999981</v>
      </c>
      <c r="BL57" s="4">
        <f t="shared" si="43"/>
        <v>838.66589761449723</v>
      </c>
      <c r="BM57" s="4">
        <f t="shared" si="44"/>
        <v>38320.370000000003</v>
      </c>
      <c r="BN57" s="4">
        <f t="shared" si="45"/>
        <v>1532.8148000000001</v>
      </c>
      <c r="BO57" s="4">
        <f t="shared" si="46"/>
        <v>1532.8148000000001</v>
      </c>
      <c r="BP57" s="4">
        <f t="shared" si="47"/>
        <v>119.71283588000001</v>
      </c>
      <c r="BQ57" s="4">
        <f t="shared" si="48"/>
        <v>42965.718532880004</v>
      </c>
      <c r="BR57" s="4">
        <f t="shared" si="49"/>
        <v>13813.478508320921</v>
      </c>
      <c r="BS57" s="4">
        <f t="shared" si="50"/>
        <v>531.28763493541737</v>
      </c>
      <c r="BT57" s="4">
        <f t="shared" si="51"/>
        <v>41313.190897000008</v>
      </c>
      <c r="BU57" s="4">
        <f t="shared" si="52"/>
        <v>43921.794000000002</v>
      </c>
      <c r="BV57" s="7">
        <f t="shared" si="53"/>
        <v>219608.97</v>
      </c>
      <c r="BW57" s="7">
        <f t="shared" si="54"/>
        <v>197693.16724435319</v>
      </c>
    </row>
    <row r="58" spans="1:75" x14ac:dyDescent="0.3">
      <c r="A58" s="3">
        <f t="shared" si="0"/>
        <v>54</v>
      </c>
      <c r="B58" t="str">
        <f>INDEX(Employees!$A:$A,A58+1)</f>
        <v>E054</v>
      </c>
      <c r="C58" t="str">
        <f>INDEX(Employees!$A:$Z,MATCH(B58,Employees!$A:$A,0),MATCH("category",Employees!$1:$1,0))</f>
        <v>Operations</v>
      </c>
      <c r="D58" t="str">
        <f>INDEX(Employees!$A:$Z,MATCH(B58,Employees!$A:$A,0),MATCH("gender",Employees!$1:$1,0))</f>
        <v>F</v>
      </c>
      <c r="E58" s="3">
        <f>INDEX(Employees!$A:$Z,MATCH(B58,Employees!$A:$A,0),MATCH("grade",Employees!$1:$1,0))</f>
        <v>6</v>
      </c>
      <c r="F58" s="3">
        <f>INDEX(Employees!$A:$Z,MATCH(B58,Employees!$A:$A,0),MATCH("rating",Employees!$1:$1,0))</f>
        <v>2</v>
      </c>
      <c r="G58" s="22">
        <f>INDEX(Employees!$A:$Z,MATCH(B58,Employees!$A:$A,0),MATCH("hire_date",Employees!$1:$1,0))</f>
        <v>45638</v>
      </c>
      <c r="H58" s="22">
        <f>INDEX(Employees!$A:$Z,MATCH(B58,Employees!$A:$A,0),MATCH("last_change_date",Employees!$1:$1,0))</f>
        <v>46113</v>
      </c>
      <c r="I58" s="4">
        <f>INDEX(Employees!$A:$Z,MATCH(B58,Employees!$A:$A,0),MATCH("base_salary",Employees!$1:$1,0))</f>
        <v>41946.6</v>
      </c>
      <c r="J58" s="5">
        <f>INDEX(Employees!$A:$Z,MATCH(B58,Employees!$A:$A,0),MATCH("bonus_pct",Employees!$1:$1,0))/100</f>
        <v>8.3000000000000004E-2</v>
      </c>
      <c r="K58" s="7">
        <f>INDEX(Employees!$A:$Z,MATCH(B58,Employees!$A:$A,0),MATCH("fte",Employees!$1:$1,0))</f>
        <v>1</v>
      </c>
      <c r="L58" s="3">
        <f>IF(ISNA(MATCH(C58&amp;"|"&amp;E58,Bands!$F:$F,0)),0,1)</f>
        <v>1</v>
      </c>
      <c r="M58" s="4">
        <f>INDEX(Bands!$C:$C,MATCH(C58&amp;"|"&amp;E58,Bands!$F:$F,0))</f>
        <v>37000</v>
      </c>
      <c r="N58" s="4">
        <f>INDEX(Bands!$D:$D,MATCH(C58&amp;"|"&amp;E58,Bands!$F:$F,0))</f>
        <v>44400</v>
      </c>
      <c r="O58" s="4">
        <f>INDEX(Bands!$E:$E,MATCH(C58&amp;"|"&amp;E58,Bands!$F:$F,0))</f>
        <v>51800</v>
      </c>
      <c r="P58" s="7">
        <f t="shared" si="1"/>
        <v>2.299794661190965</v>
      </c>
      <c r="Q58" s="4">
        <f t="shared" si="2"/>
        <v>45428.167799999996</v>
      </c>
      <c r="R58" s="7">
        <f t="shared" si="3"/>
        <v>36</v>
      </c>
      <c r="S58" s="7">
        <f t="shared" si="4"/>
        <v>5.289055483642465</v>
      </c>
      <c r="T58" s="7">
        <f t="shared" si="5"/>
        <v>13.798767967145789</v>
      </c>
      <c r="U58" s="7">
        <f t="shared" si="6"/>
        <v>272569.00679999997</v>
      </c>
      <c r="V58" s="7">
        <f t="shared" si="7"/>
        <v>104475.4577741273</v>
      </c>
      <c r="W58" s="4">
        <f t="shared" si="8"/>
        <v>45428.17</v>
      </c>
      <c r="X58" s="3">
        <f t="shared" si="9"/>
        <v>13</v>
      </c>
      <c r="Y58" s="4">
        <f>INDEX(Categories!$AH:$AH,MATCH(C58,Categories!$A:$A,0))</f>
        <v>51811.839122000005</v>
      </c>
      <c r="Z58" s="3">
        <f>IF(AND(D58="F",Q58&lt;Y58,INDEX(Categories!$AI:$AI,MATCH(C58,Categories!$A:$A,0))&gt;0),1,0)</f>
        <v>1</v>
      </c>
      <c r="AA58" s="4">
        <f t="shared" si="10"/>
        <v>6383.6713220000092</v>
      </c>
      <c r="AB58" s="4">
        <f>IF(Z58=1,INDEX(Categories!$AI:$AI,MATCH(C58,Categories!$A:$A,0))*AA58/INDEX(Categories!$AJ:$AJ,MATCH(C58,Categories!$A:$A,0)),0)</f>
        <v>502.48408555912471</v>
      </c>
      <c r="AC58" s="4">
        <f t="shared" si="11"/>
        <v>463.97422489300527</v>
      </c>
      <c r="AD58" s="4">
        <f t="shared" si="12"/>
        <v>42410.574224893004</v>
      </c>
      <c r="AE58" s="3">
        <f t="shared" si="13"/>
        <v>0</v>
      </c>
      <c r="AF58" s="3">
        <f t="shared" si="14"/>
        <v>27</v>
      </c>
      <c r="AG58" s="3">
        <f t="shared" si="15"/>
        <v>12</v>
      </c>
      <c r="AH58" s="3">
        <f t="shared" si="16"/>
        <v>1</v>
      </c>
      <c r="AI58" s="5">
        <f t="shared" si="17"/>
        <v>0.95519311317326583</v>
      </c>
      <c r="AJ58" s="3">
        <f>MATCH(AI58,Inputs!$B$31:$B$34,1)</f>
        <v>2</v>
      </c>
      <c r="AK58" s="5">
        <f>INDEX(Inputs!$C$21:$C$25,MATCH(F58,Inputs!$A$21:$A$25,0))</f>
        <v>0.95</v>
      </c>
      <c r="AL58" s="5">
        <f>INDEX(Inputs!$D$21:$D$25,MATCH(F58,Inputs!$A$21:$A$25,0))</f>
        <v>0</v>
      </c>
      <c r="AM58" s="4">
        <f t="shared" si="18"/>
        <v>42180</v>
      </c>
      <c r="AN58" s="4">
        <f t="shared" si="19"/>
        <v>0</v>
      </c>
      <c r="AO58" s="3">
        <f t="shared" si="20"/>
        <v>1</v>
      </c>
      <c r="AP58" s="4">
        <f t="shared" si="21"/>
        <v>12723.1722674679</v>
      </c>
      <c r="AQ58" s="4">
        <f t="shared" si="22"/>
        <v>0</v>
      </c>
      <c r="AR58" s="4">
        <f t="shared" si="23"/>
        <v>0</v>
      </c>
      <c r="AS58" s="3">
        <f t="shared" si="24"/>
        <v>0</v>
      </c>
      <c r="AT58" s="4">
        <f t="shared" si="25"/>
        <v>0</v>
      </c>
      <c r="AU58" s="4">
        <f t="shared" si="26"/>
        <v>9389.4257751069963</v>
      </c>
      <c r="AV58" s="4">
        <f t="shared" si="27"/>
        <v>0</v>
      </c>
      <c r="AW58" s="4">
        <f t="shared" si="28"/>
        <v>0</v>
      </c>
      <c r="AX58" s="5">
        <f t="shared" si="29"/>
        <v>0</v>
      </c>
      <c r="AY58" s="4">
        <f t="shared" si="30"/>
        <v>42410.574224893004</v>
      </c>
      <c r="AZ58" s="3">
        <f t="shared" si="31"/>
        <v>0</v>
      </c>
      <c r="BA58" s="4">
        <f t="shared" si="32"/>
        <v>45428.167799999996</v>
      </c>
      <c r="BB58" s="4">
        <f t="shared" si="33"/>
        <v>14605.155947699999</v>
      </c>
      <c r="BC58" s="4">
        <f t="shared" si="34"/>
        <v>45930.65188555912</v>
      </c>
      <c r="BD58" s="4">
        <f t="shared" si="35"/>
        <v>14766.704581207257</v>
      </c>
      <c r="BE58" s="4">
        <f t="shared" si="36"/>
        <v>45930.65188555912</v>
      </c>
      <c r="BF58" s="4">
        <f t="shared" si="37"/>
        <v>14766.704581207257</v>
      </c>
      <c r="BG58" s="4">
        <f t="shared" si="38"/>
        <v>463.97422489300527</v>
      </c>
      <c r="BH58" s="4">
        <f t="shared" si="39"/>
        <v>38.509860666119437</v>
      </c>
      <c r="BI58" s="4">
        <f t="shared" si="40"/>
        <v>161.54863350725827</v>
      </c>
      <c r="BJ58" s="4">
        <f t="shared" si="41"/>
        <v>0</v>
      </c>
      <c r="BK58" s="4">
        <f t="shared" si="42"/>
        <v>0</v>
      </c>
      <c r="BL58" s="4">
        <f t="shared" si="43"/>
        <v>0</v>
      </c>
      <c r="BM58" s="4">
        <f t="shared" si="44"/>
        <v>42410.574224893004</v>
      </c>
      <c r="BN58" s="4">
        <f t="shared" si="45"/>
        <v>1696.4229689957201</v>
      </c>
      <c r="BO58" s="4">
        <f t="shared" si="46"/>
        <v>1696.4229689957201</v>
      </c>
      <c r="BP58" s="4">
        <f t="shared" si="47"/>
        <v>140.80310642664477</v>
      </c>
      <c r="BQ58" s="4">
        <f t="shared" si="48"/>
        <v>47767.877960981488</v>
      </c>
      <c r="BR58" s="4">
        <f t="shared" si="49"/>
        <v>15357.372764455549</v>
      </c>
      <c r="BS58" s="4">
        <f t="shared" si="50"/>
        <v>590.66818324829183</v>
      </c>
      <c r="BT58" s="4">
        <f t="shared" si="51"/>
        <v>45930.65188555912</v>
      </c>
      <c r="BU58" s="4">
        <f t="shared" si="52"/>
        <v>45930.65188555912</v>
      </c>
      <c r="BV58" s="7">
        <f t="shared" si="53"/>
        <v>275583.91131335474</v>
      </c>
      <c r="BW58" s="7">
        <f t="shared" si="54"/>
        <v>105631.06799142959</v>
      </c>
    </row>
    <row r="59" spans="1:75" x14ac:dyDescent="0.3">
      <c r="A59" s="3">
        <f t="shared" si="0"/>
        <v>55</v>
      </c>
      <c r="B59" t="str">
        <f>INDEX(Employees!$A:$A,A59+1)</f>
        <v>E055</v>
      </c>
      <c r="C59" t="str">
        <f>INDEX(Employees!$A:$Z,MATCH(B59,Employees!$A:$A,0),MATCH("category",Employees!$1:$1,0))</f>
        <v>Operations</v>
      </c>
      <c r="D59" t="str">
        <f>INDEX(Employees!$A:$Z,MATCH(B59,Employees!$A:$A,0),MATCH("gender",Employees!$1:$1,0))</f>
        <v>F</v>
      </c>
      <c r="E59" s="3">
        <f>INDEX(Employees!$A:$Z,MATCH(B59,Employees!$A:$A,0),MATCH("grade",Employees!$1:$1,0))</f>
        <v>7</v>
      </c>
      <c r="F59" s="3">
        <f>INDEX(Employees!$A:$Z,MATCH(B59,Employees!$A:$A,0),MATCH("rating",Employees!$1:$1,0))</f>
        <v>3</v>
      </c>
      <c r="G59" s="22">
        <f>INDEX(Employees!$A:$Z,MATCH(B59,Employees!$A:$A,0),MATCH("hire_date",Employees!$1:$1,0))</f>
        <v>44323</v>
      </c>
      <c r="H59" s="22">
        <f>INDEX(Employees!$A:$Z,MATCH(B59,Employees!$A:$A,0),MATCH("last_change_date",Employees!$1:$1,0))</f>
        <v>46113</v>
      </c>
      <c r="I59" s="4">
        <f>INDEX(Employees!$A:$Z,MATCH(B59,Employees!$A:$A,0),MATCH("base_salary",Employees!$1:$1,0))</f>
        <v>53206</v>
      </c>
      <c r="J59" s="5">
        <f>INDEX(Employees!$A:$Z,MATCH(B59,Employees!$A:$A,0),MATCH("bonus_pct",Employees!$1:$1,0))/100</f>
        <v>7.3300000000000004E-2</v>
      </c>
      <c r="K59" s="7">
        <f>INDEX(Employees!$A:$Z,MATCH(B59,Employees!$A:$A,0),MATCH("fte",Employees!$1:$1,0))</f>
        <v>1</v>
      </c>
      <c r="L59" s="3">
        <f>IF(ISNA(MATCH(C59&amp;"|"&amp;E59,Bands!$F:$F,0)),0,1)</f>
        <v>1</v>
      </c>
      <c r="M59" s="4">
        <f>INDEX(Bands!$C:$C,MATCH(C59&amp;"|"&amp;E59,Bands!$F:$F,0))</f>
        <v>42300</v>
      </c>
      <c r="N59" s="4">
        <f>INDEX(Bands!$D:$D,MATCH(C59&amp;"|"&amp;E59,Bands!$F:$F,0))</f>
        <v>50800</v>
      </c>
      <c r="O59" s="4">
        <f>INDEX(Bands!$E:$E,MATCH(C59&amp;"|"&amp;E59,Bands!$F:$F,0))</f>
        <v>59200</v>
      </c>
      <c r="P59" s="7">
        <f t="shared" si="1"/>
        <v>5.9000684462696782</v>
      </c>
      <c r="Q59" s="4">
        <f t="shared" si="2"/>
        <v>57105.999799999998</v>
      </c>
      <c r="R59" s="7">
        <f t="shared" si="3"/>
        <v>49</v>
      </c>
      <c r="S59" s="7">
        <f t="shared" si="4"/>
        <v>34.810807670667096</v>
      </c>
      <c r="T59" s="7">
        <f t="shared" si="5"/>
        <v>41.300479123887747</v>
      </c>
      <c r="U59" s="7">
        <f t="shared" si="6"/>
        <v>399741.99859999999</v>
      </c>
      <c r="V59" s="7">
        <f t="shared" si="7"/>
        <v>336929.30751266255</v>
      </c>
      <c r="W59" s="4">
        <f t="shared" si="8"/>
        <v>57106</v>
      </c>
      <c r="X59" s="3">
        <f t="shared" si="9"/>
        <v>26</v>
      </c>
      <c r="Y59" s="4">
        <f>INDEX(Categories!$AH:$AH,MATCH(C59,Categories!$A:$A,0))</f>
        <v>51811.839122000005</v>
      </c>
      <c r="Z59" s="3">
        <f>IF(AND(D59="F",Q59&lt;Y59,INDEX(Categories!$AI:$AI,MATCH(C59,Categories!$A:$A,0))&gt;0),1,0)</f>
        <v>0</v>
      </c>
      <c r="AA59" s="4">
        <f t="shared" si="10"/>
        <v>0</v>
      </c>
      <c r="AB59" s="4">
        <f>IF(Z59=1,INDEX(Categories!$AI:$AI,MATCH(C59,Categories!$A:$A,0))*AA59/INDEX(Categories!$AJ:$AJ,MATCH(C59,Categories!$A:$A,0)),0)</f>
        <v>0</v>
      </c>
      <c r="AC59" s="4">
        <f t="shared" si="11"/>
        <v>0</v>
      </c>
      <c r="AD59" s="4">
        <f t="shared" si="12"/>
        <v>53206</v>
      </c>
      <c r="AE59" s="3">
        <f t="shared" si="13"/>
        <v>0</v>
      </c>
      <c r="AF59" s="3">
        <f t="shared" si="14"/>
        <v>70</v>
      </c>
      <c r="AG59" s="3">
        <f t="shared" si="15"/>
        <v>12</v>
      </c>
      <c r="AH59" s="3">
        <f t="shared" si="16"/>
        <v>1</v>
      </c>
      <c r="AI59" s="5">
        <f t="shared" si="17"/>
        <v>1.0473622047244096</v>
      </c>
      <c r="AJ59" s="3">
        <f>MATCH(AI59,Inputs!$B$31:$B$34,1)</f>
        <v>3</v>
      </c>
      <c r="AK59" s="5">
        <f>INDEX(Inputs!$C$21:$C$25,MATCH(F59,Inputs!$A$21:$A$25,0))</f>
        <v>1</v>
      </c>
      <c r="AL59" s="5">
        <f>INDEX(Inputs!$D$21:$D$25,MATCH(F59,Inputs!$A$21:$A$25,0))</f>
        <v>0</v>
      </c>
      <c r="AM59" s="4">
        <f t="shared" si="18"/>
        <v>50800</v>
      </c>
      <c r="AN59" s="4">
        <f t="shared" si="19"/>
        <v>0</v>
      </c>
      <c r="AO59" s="3">
        <f t="shared" si="20"/>
        <v>1</v>
      </c>
      <c r="AP59" s="4">
        <f t="shared" si="21"/>
        <v>15961.8</v>
      </c>
      <c r="AQ59" s="4">
        <f t="shared" si="22"/>
        <v>0</v>
      </c>
      <c r="AR59" s="4">
        <f t="shared" si="23"/>
        <v>0</v>
      </c>
      <c r="AS59" s="3">
        <f t="shared" si="24"/>
        <v>0</v>
      </c>
      <c r="AT59" s="4">
        <f t="shared" si="25"/>
        <v>0</v>
      </c>
      <c r="AU59" s="4">
        <f t="shared" si="26"/>
        <v>5994</v>
      </c>
      <c r="AV59" s="4">
        <f t="shared" si="27"/>
        <v>0</v>
      </c>
      <c r="AW59" s="4">
        <f t="shared" si="28"/>
        <v>0</v>
      </c>
      <c r="AX59" s="5">
        <f t="shared" si="29"/>
        <v>0</v>
      </c>
      <c r="AY59" s="4">
        <f t="shared" si="30"/>
        <v>53206</v>
      </c>
      <c r="AZ59" s="3">
        <f t="shared" si="31"/>
        <v>0</v>
      </c>
      <c r="BA59" s="4">
        <f t="shared" si="32"/>
        <v>57105.999799999998</v>
      </c>
      <c r="BB59" s="4">
        <f t="shared" si="33"/>
        <v>18359.578935699999</v>
      </c>
      <c r="BC59" s="4">
        <f t="shared" si="34"/>
        <v>57105.999799999998</v>
      </c>
      <c r="BD59" s="4">
        <f t="shared" si="35"/>
        <v>18359.578935699999</v>
      </c>
      <c r="BE59" s="4">
        <f t="shared" si="36"/>
        <v>57105.999799999998</v>
      </c>
      <c r="BF59" s="4">
        <f t="shared" si="37"/>
        <v>18359.578935699999</v>
      </c>
      <c r="BG59" s="4">
        <f t="shared" si="38"/>
        <v>0</v>
      </c>
      <c r="BH59" s="4">
        <f t="shared" si="39"/>
        <v>0</v>
      </c>
      <c r="BI59" s="4">
        <f t="shared" si="40"/>
        <v>0</v>
      </c>
      <c r="BJ59" s="4">
        <f t="shared" si="41"/>
        <v>0</v>
      </c>
      <c r="BK59" s="4">
        <f t="shared" si="42"/>
        <v>0</v>
      </c>
      <c r="BL59" s="4">
        <f t="shared" si="43"/>
        <v>0</v>
      </c>
      <c r="BM59" s="4">
        <f t="shared" si="44"/>
        <v>53206</v>
      </c>
      <c r="BN59" s="4">
        <f t="shared" si="45"/>
        <v>2128.2400000000002</v>
      </c>
      <c r="BO59" s="4">
        <f t="shared" si="46"/>
        <v>2128.2400000000002</v>
      </c>
      <c r="BP59" s="4">
        <f t="shared" si="47"/>
        <v>155.99999200000002</v>
      </c>
      <c r="BQ59" s="4">
        <f t="shared" si="48"/>
        <v>59390.239791999993</v>
      </c>
      <c r="BR59" s="4">
        <f t="shared" si="49"/>
        <v>19093.962093127997</v>
      </c>
      <c r="BS59" s="4">
        <f t="shared" si="50"/>
        <v>734.3831574279975</v>
      </c>
      <c r="BT59" s="4">
        <f t="shared" si="51"/>
        <v>57105.999799999998</v>
      </c>
      <c r="BU59" s="4">
        <f t="shared" si="52"/>
        <v>57105.999799999998</v>
      </c>
      <c r="BV59" s="7">
        <f t="shared" si="53"/>
        <v>399741.99859999999</v>
      </c>
      <c r="BW59" s="7">
        <f t="shared" si="54"/>
        <v>336929.30751266255</v>
      </c>
    </row>
    <row r="60" spans="1:75" x14ac:dyDescent="0.3">
      <c r="A60" s="3">
        <f t="shared" si="0"/>
        <v>56</v>
      </c>
      <c r="B60" t="str">
        <f>INDEX(Employees!$A:$A,A60+1)</f>
        <v>E056</v>
      </c>
      <c r="C60" t="str">
        <f>INDEX(Employees!$A:$Z,MATCH(B60,Employees!$A:$A,0),MATCH("category",Employees!$1:$1,0))</f>
        <v>Operations</v>
      </c>
      <c r="D60" t="str">
        <f>INDEX(Employees!$A:$Z,MATCH(B60,Employees!$A:$A,0),MATCH("gender",Employees!$1:$1,0))</f>
        <v>F</v>
      </c>
      <c r="E60" s="3">
        <f>INDEX(Employees!$A:$Z,MATCH(B60,Employees!$A:$A,0),MATCH("grade",Employees!$1:$1,0))</f>
        <v>5</v>
      </c>
      <c r="F60" s="3">
        <f>INDEX(Employees!$A:$Z,MATCH(B60,Employees!$A:$A,0),MATCH("rating",Employees!$1:$1,0))</f>
        <v>3</v>
      </c>
      <c r="G60" s="22">
        <f>INDEX(Employees!$A:$Z,MATCH(B60,Employees!$A:$A,0),MATCH("hire_date",Employees!$1:$1,0))</f>
        <v>45382</v>
      </c>
      <c r="H60" s="22">
        <f>INDEX(Employees!$A:$Z,MATCH(B60,Employees!$A:$A,0),MATCH("last_change_date",Employees!$1:$1,0))</f>
        <v>46113</v>
      </c>
      <c r="I60" s="4">
        <f>INDEX(Employees!$A:$Z,MATCH(B60,Employees!$A:$A,0),MATCH("base_salary",Employees!$1:$1,0))</f>
        <v>40728.370000000003</v>
      </c>
      <c r="J60" s="5">
        <f>INDEX(Employees!$A:$Z,MATCH(B60,Employees!$A:$A,0),MATCH("bonus_pct",Employees!$1:$1,0))/100</f>
        <v>9.11E-2</v>
      </c>
      <c r="K60" s="7">
        <f>INDEX(Employees!$A:$Z,MATCH(B60,Employees!$A:$A,0),MATCH("fte",Employees!$1:$1,0))</f>
        <v>1</v>
      </c>
      <c r="L60" s="3">
        <f>IF(ISNA(MATCH(C60&amp;"|"&amp;E60,Bands!$F:$F,0)),0,1)</f>
        <v>1</v>
      </c>
      <c r="M60" s="4">
        <f>INDEX(Bands!$C:$C,MATCH(C60&amp;"|"&amp;E60,Bands!$F:$F,0))</f>
        <v>33700</v>
      </c>
      <c r="N60" s="4">
        <f>INDEX(Bands!$D:$D,MATCH(C60&amp;"|"&amp;E60,Bands!$F:$F,0))</f>
        <v>38800</v>
      </c>
      <c r="O60" s="4">
        <f>INDEX(Bands!$E:$E,MATCH(C60&amp;"|"&amp;E60,Bands!$F:$F,0))</f>
        <v>43800</v>
      </c>
      <c r="P60" s="7">
        <f t="shared" si="1"/>
        <v>3.0006844626967832</v>
      </c>
      <c r="Q60" s="4">
        <f t="shared" si="2"/>
        <v>44438.724506999999</v>
      </c>
      <c r="R60" s="7">
        <f t="shared" si="3"/>
        <v>25</v>
      </c>
      <c r="S60" s="7">
        <f t="shared" si="4"/>
        <v>9.004107244669882</v>
      </c>
      <c r="T60" s="7">
        <f t="shared" si="5"/>
        <v>15.003422313483917</v>
      </c>
      <c r="U60" s="7">
        <f t="shared" si="6"/>
        <v>222193.622535</v>
      </c>
      <c r="V60" s="7">
        <f t="shared" si="7"/>
        <v>133346.59017021768</v>
      </c>
      <c r="W60" s="4">
        <f t="shared" si="8"/>
        <v>44438.720000000001</v>
      </c>
      <c r="X60" s="3">
        <f t="shared" si="9"/>
        <v>11</v>
      </c>
      <c r="Y60" s="4">
        <f>INDEX(Categories!$AH:$AH,MATCH(C60,Categories!$A:$A,0))</f>
        <v>51811.839122000005</v>
      </c>
      <c r="Z60" s="3">
        <f>IF(AND(D60="F",Q60&lt;Y60,INDEX(Categories!$AI:$AI,MATCH(C60,Categories!$A:$A,0))&gt;0),1,0)</f>
        <v>1</v>
      </c>
      <c r="AA60" s="4">
        <f t="shared" si="10"/>
        <v>7373.1146150000059</v>
      </c>
      <c r="AB60" s="4">
        <f>IF(Z60=1,INDEX(Categories!$AI:$AI,MATCH(C60,Categories!$A:$A,0))*AA60/INDEX(Categories!$AJ:$AJ,MATCH(C60,Categories!$A:$A,0)),0)</f>
        <v>580.36709099868835</v>
      </c>
      <c r="AC60" s="4">
        <f t="shared" si="11"/>
        <v>531.91008248436287</v>
      </c>
      <c r="AD60" s="4">
        <f t="shared" si="12"/>
        <v>41260.280082484365</v>
      </c>
      <c r="AE60" s="3">
        <f t="shared" si="13"/>
        <v>0</v>
      </c>
      <c r="AF60" s="3">
        <f t="shared" si="14"/>
        <v>36</v>
      </c>
      <c r="AG60" s="3">
        <f t="shared" si="15"/>
        <v>12</v>
      </c>
      <c r="AH60" s="3">
        <f t="shared" si="16"/>
        <v>1</v>
      </c>
      <c r="AI60" s="5">
        <f t="shared" si="17"/>
        <v>1.0634092804764013</v>
      </c>
      <c r="AJ60" s="3">
        <f>MATCH(AI60,Inputs!$B$31:$B$34,1)</f>
        <v>3</v>
      </c>
      <c r="AK60" s="5">
        <f>INDEX(Inputs!$C$21:$C$25,MATCH(F60,Inputs!$A$21:$A$25,0))</f>
        <v>1</v>
      </c>
      <c r="AL60" s="5">
        <f>INDEX(Inputs!$D$21:$D$25,MATCH(F60,Inputs!$A$21:$A$25,0))</f>
        <v>0</v>
      </c>
      <c r="AM60" s="4">
        <f t="shared" si="18"/>
        <v>38800</v>
      </c>
      <c r="AN60" s="4">
        <f t="shared" si="19"/>
        <v>0</v>
      </c>
      <c r="AO60" s="3">
        <f t="shared" si="20"/>
        <v>1</v>
      </c>
      <c r="AP60" s="4">
        <f t="shared" si="21"/>
        <v>12378.084024745309</v>
      </c>
      <c r="AQ60" s="4">
        <f t="shared" si="22"/>
        <v>0</v>
      </c>
      <c r="AR60" s="4">
        <f t="shared" si="23"/>
        <v>0</v>
      </c>
      <c r="AS60" s="3">
        <f t="shared" si="24"/>
        <v>0</v>
      </c>
      <c r="AT60" s="4">
        <f t="shared" si="25"/>
        <v>0</v>
      </c>
      <c r="AU60" s="4">
        <f t="shared" si="26"/>
        <v>2539.7199175156347</v>
      </c>
      <c r="AV60" s="4">
        <f t="shared" si="27"/>
        <v>0</v>
      </c>
      <c r="AW60" s="4">
        <f t="shared" si="28"/>
        <v>0</v>
      </c>
      <c r="AX60" s="5">
        <f t="shared" si="29"/>
        <v>0</v>
      </c>
      <c r="AY60" s="4">
        <f t="shared" si="30"/>
        <v>41260.280082484365</v>
      </c>
      <c r="AZ60" s="3">
        <f t="shared" si="31"/>
        <v>0</v>
      </c>
      <c r="BA60" s="4">
        <f t="shared" si="32"/>
        <v>44438.724506999999</v>
      </c>
      <c r="BB60" s="4">
        <f t="shared" si="33"/>
        <v>14287.049929000501</v>
      </c>
      <c r="BC60" s="4">
        <f t="shared" si="34"/>
        <v>45019.091597998689</v>
      </c>
      <c r="BD60" s="4">
        <f t="shared" si="35"/>
        <v>14473.637948756579</v>
      </c>
      <c r="BE60" s="4">
        <f t="shared" si="36"/>
        <v>45019.091597998689</v>
      </c>
      <c r="BF60" s="4">
        <f t="shared" si="37"/>
        <v>14473.637948756579</v>
      </c>
      <c r="BG60" s="4">
        <f t="shared" si="38"/>
        <v>531.91008248436287</v>
      </c>
      <c r="BH60" s="4">
        <f t="shared" si="39"/>
        <v>48.457008514325459</v>
      </c>
      <c r="BI60" s="4">
        <f t="shared" si="40"/>
        <v>186.58801975607821</v>
      </c>
      <c r="BJ60" s="4">
        <f t="shared" si="41"/>
        <v>0</v>
      </c>
      <c r="BK60" s="4">
        <f t="shared" si="42"/>
        <v>0</v>
      </c>
      <c r="BL60" s="4">
        <f t="shared" si="43"/>
        <v>0</v>
      </c>
      <c r="BM60" s="4">
        <f t="shared" si="44"/>
        <v>41260.280082484365</v>
      </c>
      <c r="BN60" s="4">
        <f t="shared" si="45"/>
        <v>1650.4112032993746</v>
      </c>
      <c r="BO60" s="4">
        <f t="shared" si="46"/>
        <v>1650.4112032993746</v>
      </c>
      <c r="BP60" s="4">
        <f t="shared" si="47"/>
        <v>150.35246062057303</v>
      </c>
      <c r="BQ60" s="4">
        <f t="shared" si="48"/>
        <v>46819.855261918638</v>
      </c>
      <c r="BR60" s="4">
        <f t="shared" si="49"/>
        <v>15052.583466706843</v>
      </c>
      <c r="BS60" s="4">
        <f t="shared" si="50"/>
        <v>578.94551795026382</v>
      </c>
      <c r="BT60" s="4">
        <f t="shared" si="51"/>
        <v>45019.091597998689</v>
      </c>
      <c r="BU60" s="4">
        <f t="shared" si="52"/>
        <v>45019.091597998689</v>
      </c>
      <c r="BV60" s="7">
        <f t="shared" si="53"/>
        <v>225095.45798999345</v>
      </c>
      <c r="BW60" s="7">
        <f t="shared" si="54"/>
        <v>135088.08868283796</v>
      </c>
    </row>
    <row r="61" spans="1:75" x14ac:dyDescent="0.3">
      <c r="A61" s="3">
        <f t="shared" si="0"/>
        <v>57</v>
      </c>
      <c r="B61" t="str">
        <f>INDEX(Employees!$A:$A,A61+1)</f>
        <v>E057</v>
      </c>
      <c r="C61" t="str">
        <f>INDEX(Employees!$A:$Z,MATCH(B61,Employees!$A:$A,0),MATCH("category",Employees!$1:$1,0))</f>
        <v>Operations</v>
      </c>
      <c r="D61" t="str">
        <f>INDEX(Employees!$A:$Z,MATCH(B61,Employees!$A:$A,0),MATCH("gender",Employees!$1:$1,0))</f>
        <v>M</v>
      </c>
      <c r="E61" s="3">
        <f>INDEX(Employees!$A:$Z,MATCH(B61,Employees!$A:$A,0),MATCH("grade",Employees!$1:$1,0))</f>
        <v>6</v>
      </c>
      <c r="F61" s="3">
        <f>INDEX(Employees!$A:$Z,MATCH(B61,Employees!$A:$A,0),MATCH("rating",Employees!$1:$1,0))</f>
        <v>3</v>
      </c>
      <c r="G61" s="22">
        <f>INDEX(Employees!$A:$Z,MATCH(B61,Employees!$A:$A,0),MATCH("hire_date",Employees!$1:$1,0))</f>
        <v>44140</v>
      </c>
      <c r="H61" s="22">
        <f>INDEX(Employees!$A:$Z,MATCH(B61,Employees!$A:$A,0),MATCH("last_change_date",Employees!$1:$1,0))</f>
        <v>46113</v>
      </c>
      <c r="I61" s="4">
        <f>INDEX(Employees!$A:$Z,MATCH(B61,Employees!$A:$A,0),MATCH("base_salary",Employees!$1:$1,0))</f>
        <v>48013.42</v>
      </c>
      <c r="J61" s="5">
        <f>INDEX(Employees!$A:$Z,MATCH(B61,Employees!$A:$A,0),MATCH("bonus_pct",Employees!$1:$1,0))/100</f>
        <v>7.980000000000001E-2</v>
      </c>
      <c r="K61" s="7">
        <f>INDEX(Employees!$A:$Z,MATCH(B61,Employees!$A:$A,0),MATCH("fte",Employees!$1:$1,0))</f>
        <v>1</v>
      </c>
      <c r="L61" s="3">
        <f>IF(ISNA(MATCH(C61&amp;"|"&amp;E61,Bands!$F:$F,0)),0,1)</f>
        <v>1</v>
      </c>
      <c r="M61" s="4">
        <f>INDEX(Bands!$C:$C,MATCH(C61&amp;"|"&amp;E61,Bands!$F:$F,0))</f>
        <v>37000</v>
      </c>
      <c r="N61" s="4">
        <f>INDEX(Bands!$D:$D,MATCH(C61&amp;"|"&amp;E61,Bands!$F:$F,0))</f>
        <v>44400</v>
      </c>
      <c r="O61" s="4">
        <f>INDEX(Bands!$E:$E,MATCH(C61&amp;"|"&amp;E61,Bands!$F:$F,0))</f>
        <v>51800</v>
      </c>
      <c r="P61" s="7">
        <f t="shared" si="1"/>
        <v>6.4010951403148528</v>
      </c>
      <c r="Q61" s="4">
        <f t="shared" si="2"/>
        <v>51844.890916000004</v>
      </c>
      <c r="R61" s="7">
        <f t="shared" si="3"/>
        <v>36</v>
      </c>
      <c r="S61" s="7">
        <f t="shared" si="4"/>
        <v>40.974018995362428</v>
      </c>
      <c r="T61" s="7">
        <f t="shared" si="5"/>
        <v>38.406570841889121</v>
      </c>
      <c r="U61" s="7">
        <f t="shared" si="6"/>
        <v>311069.34549600002</v>
      </c>
      <c r="V61" s="7">
        <f t="shared" si="7"/>
        <v>331864.07929256128</v>
      </c>
      <c r="W61" s="4">
        <f t="shared" si="8"/>
        <v>51844.89</v>
      </c>
      <c r="X61" s="3">
        <f t="shared" si="9"/>
        <v>20</v>
      </c>
      <c r="Y61" s="4">
        <f>INDEX(Categories!$AH:$AH,MATCH(C61,Categories!$A:$A,0))</f>
        <v>51811.839122000005</v>
      </c>
      <c r="Z61" s="3">
        <f>IF(AND(D61="F",Q61&lt;Y61,INDEX(Categories!$AI:$AI,MATCH(C61,Categories!$A:$A,0))&gt;0),1,0)</f>
        <v>0</v>
      </c>
      <c r="AA61" s="4">
        <f t="shared" si="10"/>
        <v>0</v>
      </c>
      <c r="AB61" s="4">
        <f>IF(Z61=1,INDEX(Categories!$AI:$AI,MATCH(C61,Categories!$A:$A,0))*AA61/INDEX(Categories!$AJ:$AJ,MATCH(C61,Categories!$A:$A,0)),0)</f>
        <v>0</v>
      </c>
      <c r="AC61" s="4">
        <f t="shared" si="11"/>
        <v>0</v>
      </c>
      <c r="AD61" s="4">
        <f t="shared" si="12"/>
        <v>48013.42</v>
      </c>
      <c r="AE61" s="3">
        <f t="shared" si="13"/>
        <v>0</v>
      </c>
      <c r="AF61" s="3">
        <f t="shared" si="14"/>
        <v>76</v>
      </c>
      <c r="AG61" s="3">
        <f t="shared" si="15"/>
        <v>12</v>
      </c>
      <c r="AH61" s="3">
        <f t="shared" si="16"/>
        <v>1</v>
      </c>
      <c r="AI61" s="5">
        <f t="shared" si="17"/>
        <v>1.0813833333333334</v>
      </c>
      <c r="AJ61" s="3">
        <f>MATCH(AI61,Inputs!$B$31:$B$34,1)</f>
        <v>3</v>
      </c>
      <c r="AK61" s="5">
        <f>INDEX(Inputs!$C$21:$C$25,MATCH(F61,Inputs!$A$21:$A$25,0))</f>
        <v>1</v>
      </c>
      <c r="AL61" s="5">
        <f>INDEX(Inputs!$D$21:$D$25,MATCH(F61,Inputs!$A$21:$A$25,0))</f>
        <v>0</v>
      </c>
      <c r="AM61" s="4">
        <f t="shared" si="18"/>
        <v>44400</v>
      </c>
      <c r="AN61" s="4">
        <f t="shared" si="19"/>
        <v>0</v>
      </c>
      <c r="AO61" s="3">
        <f t="shared" si="20"/>
        <v>1</v>
      </c>
      <c r="AP61" s="4">
        <f t="shared" si="21"/>
        <v>14404.026</v>
      </c>
      <c r="AQ61" s="4">
        <f t="shared" si="22"/>
        <v>0</v>
      </c>
      <c r="AR61" s="4">
        <f t="shared" si="23"/>
        <v>0</v>
      </c>
      <c r="AS61" s="3">
        <f t="shared" si="24"/>
        <v>0</v>
      </c>
      <c r="AT61" s="4">
        <f t="shared" si="25"/>
        <v>0</v>
      </c>
      <c r="AU61" s="4">
        <f t="shared" si="26"/>
        <v>3786.5800000000017</v>
      </c>
      <c r="AV61" s="4">
        <f t="shared" si="27"/>
        <v>0</v>
      </c>
      <c r="AW61" s="4">
        <f t="shared" si="28"/>
        <v>0</v>
      </c>
      <c r="AX61" s="5">
        <f t="shared" si="29"/>
        <v>0</v>
      </c>
      <c r="AY61" s="4">
        <f t="shared" si="30"/>
        <v>48013.42</v>
      </c>
      <c r="AZ61" s="3">
        <f t="shared" si="31"/>
        <v>0</v>
      </c>
      <c r="BA61" s="4">
        <f t="shared" si="32"/>
        <v>51844.890916000004</v>
      </c>
      <c r="BB61" s="4">
        <f t="shared" si="33"/>
        <v>16668.132429494002</v>
      </c>
      <c r="BC61" s="4">
        <f t="shared" si="34"/>
        <v>51844.890916000004</v>
      </c>
      <c r="BD61" s="4">
        <f t="shared" si="35"/>
        <v>16668.132429494002</v>
      </c>
      <c r="BE61" s="4">
        <f t="shared" si="36"/>
        <v>51844.890916000004</v>
      </c>
      <c r="BF61" s="4">
        <f t="shared" si="37"/>
        <v>16668.132429494002</v>
      </c>
      <c r="BG61" s="4">
        <f t="shared" si="38"/>
        <v>0</v>
      </c>
      <c r="BH61" s="4">
        <f t="shared" si="39"/>
        <v>0</v>
      </c>
      <c r="BI61" s="4">
        <f t="shared" si="40"/>
        <v>0</v>
      </c>
      <c r="BJ61" s="4">
        <f t="shared" si="41"/>
        <v>0</v>
      </c>
      <c r="BK61" s="4">
        <f t="shared" si="42"/>
        <v>0</v>
      </c>
      <c r="BL61" s="4">
        <f t="shared" si="43"/>
        <v>0</v>
      </c>
      <c r="BM61" s="4">
        <f t="shared" si="44"/>
        <v>48013.42</v>
      </c>
      <c r="BN61" s="4">
        <f t="shared" si="45"/>
        <v>1920.5367999999999</v>
      </c>
      <c r="BO61" s="4">
        <f t="shared" si="46"/>
        <v>1920.5367999999999</v>
      </c>
      <c r="BP61" s="4">
        <f t="shared" si="47"/>
        <v>153.25883664</v>
      </c>
      <c r="BQ61" s="4">
        <f t="shared" si="48"/>
        <v>53918.686552640007</v>
      </c>
      <c r="BR61" s="4">
        <f t="shared" si="49"/>
        <v>17334.857726673763</v>
      </c>
      <c r="BS61" s="4">
        <f t="shared" si="50"/>
        <v>666.72529717976067</v>
      </c>
      <c r="BT61" s="4">
        <f t="shared" si="51"/>
        <v>51844.890916000004</v>
      </c>
      <c r="BU61" s="4">
        <f t="shared" si="52"/>
        <v>51844.890916000004</v>
      </c>
      <c r="BV61" s="7">
        <f t="shared" si="53"/>
        <v>311069.34549600002</v>
      </c>
      <c r="BW61" s="7">
        <f t="shared" si="54"/>
        <v>331864.07929256128</v>
      </c>
    </row>
    <row r="62" spans="1:75" x14ac:dyDescent="0.3">
      <c r="A62" s="3">
        <f t="shared" si="0"/>
        <v>58</v>
      </c>
      <c r="B62" t="str">
        <f>INDEX(Employees!$A:$A,A62+1)</f>
        <v>E058</v>
      </c>
      <c r="C62" t="str">
        <f>INDEX(Employees!$A:$Z,MATCH(B62,Employees!$A:$A,0),MATCH("category",Employees!$1:$1,0))</f>
        <v>Operations</v>
      </c>
      <c r="D62" t="str">
        <f>INDEX(Employees!$A:$Z,MATCH(B62,Employees!$A:$A,0),MATCH("gender",Employees!$1:$1,0))</f>
        <v>M</v>
      </c>
      <c r="E62" s="3">
        <f>INDEX(Employees!$A:$Z,MATCH(B62,Employees!$A:$A,0),MATCH("grade",Employees!$1:$1,0))</f>
        <v>8</v>
      </c>
      <c r="F62" s="3">
        <f>INDEX(Employees!$A:$Z,MATCH(B62,Employees!$A:$A,0),MATCH("rating",Employees!$1:$1,0))</f>
        <v>3</v>
      </c>
      <c r="G62" s="22">
        <f>INDEX(Employees!$A:$Z,MATCH(B62,Employees!$A:$A,0),MATCH("hire_date",Employees!$1:$1,0))</f>
        <v>42862</v>
      </c>
      <c r="H62" s="22">
        <f>INDEX(Employees!$A:$Z,MATCH(B62,Employees!$A:$A,0),MATCH("last_change_date",Employees!$1:$1,0))</f>
        <v>46113</v>
      </c>
      <c r="I62" s="4">
        <f>INDEX(Employees!$A:$Z,MATCH(B62,Employees!$A:$A,0),MATCH("base_salary",Employees!$1:$1,0))</f>
        <v>60320.95</v>
      </c>
      <c r="J62" s="5">
        <f>INDEX(Employees!$A:$Z,MATCH(B62,Employees!$A:$A,0),MATCH("bonus_pct",Employees!$1:$1,0))/100</f>
        <v>8.3699999999999997E-2</v>
      </c>
      <c r="K62" s="7">
        <f>INDEX(Employees!$A:$Z,MATCH(B62,Employees!$A:$A,0),MATCH("fte",Employees!$1:$1,0))</f>
        <v>0.8</v>
      </c>
      <c r="L62" s="3">
        <f>IF(ISNA(MATCH(C62&amp;"|"&amp;E62,Bands!$F:$F,0)),0,1)</f>
        <v>1</v>
      </c>
      <c r="M62" s="4">
        <f>INDEX(Bands!$C:$C,MATCH(C62&amp;"|"&amp;E62,Bands!$F:$F,0))</f>
        <v>48400</v>
      </c>
      <c r="N62" s="4">
        <f>INDEX(Bands!$D:$D,MATCH(C62&amp;"|"&amp;E62,Bands!$F:$F,0))</f>
        <v>58100</v>
      </c>
      <c r="O62" s="4">
        <f>INDEX(Bands!$E:$E,MATCH(C62&amp;"|"&amp;E62,Bands!$F:$F,0))</f>
        <v>67800</v>
      </c>
      <c r="P62" s="7">
        <f t="shared" si="1"/>
        <v>9.9000684462696782</v>
      </c>
      <c r="Q62" s="4">
        <f t="shared" si="2"/>
        <v>65369.813514999987</v>
      </c>
      <c r="R62" s="7">
        <f t="shared" si="3"/>
        <v>64</v>
      </c>
      <c r="S62" s="7">
        <f t="shared" si="4"/>
        <v>98.011355240824514</v>
      </c>
      <c r="T62" s="7">
        <f t="shared" si="5"/>
        <v>79.200547570157426</v>
      </c>
      <c r="U62" s="7">
        <f t="shared" si="6"/>
        <v>522958.5081199999</v>
      </c>
      <c r="V62" s="7">
        <f t="shared" si="7"/>
        <v>647165.62811838451</v>
      </c>
      <c r="W62" s="4">
        <f t="shared" si="8"/>
        <v>65369.81</v>
      </c>
      <c r="X62" s="3">
        <f t="shared" si="9"/>
        <v>33</v>
      </c>
      <c r="Y62" s="4">
        <f>INDEX(Categories!$AH:$AH,MATCH(C62,Categories!$A:$A,0))</f>
        <v>51811.839122000005</v>
      </c>
      <c r="Z62" s="3">
        <f>IF(AND(D62="F",Q62&lt;Y62,INDEX(Categories!$AI:$AI,MATCH(C62,Categories!$A:$A,0))&gt;0),1,0)</f>
        <v>0</v>
      </c>
      <c r="AA62" s="4">
        <f t="shared" si="10"/>
        <v>0</v>
      </c>
      <c r="AB62" s="4">
        <f>IF(Z62=1,INDEX(Categories!$AI:$AI,MATCH(C62,Categories!$A:$A,0))*AA62/INDEX(Categories!$AJ:$AJ,MATCH(C62,Categories!$A:$A,0)),0)</f>
        <v>0</v>
      </c>
      <c r="AC62" s="4">
        <f t="shared" si="11"/>
        <v>0</v>
      </c>
      <c r="AD62" s="4">
        <f t="shared" si="12"/>
        <v>60320.95</v>
      </c>
      <c r="AE62" s="3">
        <f t="shared" si="13"/>
        <v>0</v>
      </c>
      <c r="AF62" s="3">
        <f t="shared" si="14"/>
        <v>118</v>
      </c>
      <c r="AG62" s="3">
        <f t="shared" si="15"/>
        <v>12</v>
      </c>
      <c r="AH62" s="3">
        <f t="shared" si="16"/>
        <v>1</v>
      </c>
      <c r="AI62" s="5">
        <f t="shared" si="17"/>
        <v>1.0382263339070568</v>
      </c>
      <c r="AJ62" s="3">
        <f>MATCH(AI62,Inputs!$B$31:$B$34,1)</f>
        <v>3</v>
      </c>
      <c r="AK62" s="5">
        <f>INDEX(Inputs!$C$21:$C$25,MATCH(F62,Inputs!$A$21:$A$25,0))</f>
        <v>1</v>
      </c>
      <c r="AL62" s="5">
        <f>INDEX(Inputs!$D$21:$D$25,MATCH(F62,Inputs!$A$21:$A$25,0))</f>
        <v>0</v>
      </c>
      <c r="AM62" s="4">
        <f t="shared" si="18"/>
        <v>58100</v>
      </c>
      <c r="AN62" s="4">
        <f t="shared" si="19"/>
        <v>0</v>
      </c>
      <c r="AO62" s="3">
        <f t="shared" si="20"/>
        <v>1</v>
      </c>
      <c r="AP62" s="4">
        <f t="shared" si="21"/>
        <v>18096.285</v>
      </c>
      <c r="AQ62" s="4">
        <f t="shared" si="22"/>
        <v>0</v>
      </c>
      <c r="AR62" s="4">
        <f t="shared" si="23"/>
        <v>0</v>
      </c>
      <c r="AS62" s="3">
        <f t="shared" si="24"/>
        <v>0</v>
      </c>
      <c r="AT62" s="4">
        <f t="shared" si="25"/>
        <v>0</v>
      </c>
      <c r="AU62" s="4">
        <f t="shared" si="26"/>
        <v>7479.0500000000029</v>
      </c>
      <c r="AV62" s="4">
        <f t="shared" si="27"/>
        <v>0</v>
      </c>
      <c r="AW62" s="4">
        <f t="shared" si="28"/>
        <v>0</v>
      </c>
      <c r="AX62" s="5">
        <f t="shared" si="29"/>
        <v>0</v>
      </c>
      <c r="AY62" s="4">
        <f t="shared" si="30"/>
        <v>60320.95</v>
      </c>
      <c r="AZ62" s="3">
        <f t="shared" si="31"/>
        <v>0</v>
      </c>
      <c r="BA62" s="4">
        <f t="shared" si="32"/>
        <v>52295.85081199999</v>
      </c>
      <c r="BB62" s="4">
        <f t="shared" si="33"/>
        <v>16813.116036057996</v>
      </c>
      <c r="BC62" s="4">
        <f t="shared" si="34"/>
        <v>52295.85081199999</v>
      </c>
      <c r="BD62" s="4">
        <f t="shared" si="35"/>
        <v>16813.116036057996</v>
      </c>
      <c r="BE62" s="4">
        <f t="shared" si="36"/>
        <v>52295.85081199999</v>
      </c>
      <c r="BF62" s="4">
        <f t="shared" si="37"/>
        <v>16813.116036057996</v>
      </c>
      <c r="BG62" s="4">
        <f t="shared" si="38"/>
        <v>0</v>
      </c>
      <c r="BH62" s="4">
        <f t="shared" si="39"/>
        <v>0</v>
      </c>
      <c r="BI62" s="4">
        <f t="shared" si="40"/>
        <v>0</v>
      </c>
      <c r="BJ62" s="4">
        <f t="shared" si="41"/>
        <v>0</v>
      </c>
      <c r="BK62" s="4">
        <f t="shared" si="42"/>
        <v>0</v>
      </c>
      <c r="BL62" s="4">
        <f t="shared" si="43"/>
        <v>0</v>
      </c>
      <c r="BM62" s="4">
        <f t="shared" si="44"/>
        <v>48256.76</v>
      </c>
      <c r="BN62" s="4">
        <f t="shared" si="45"/>
        <v>2412.8379999999997</v>
      </c>
      <c r="BO62" s="4">
        <f t="shared" si="46"/>
        <v>1930.2703999999999</v>
      </c>
      <c r="BP62" s="4">
        <f t="shared" si="47"/>
        <v>161.56363248</v>
      </c>
      <c r="BQ62" s="4">
        <f t="shared" si="48"/>
        <v>54387.684844479991</v>
      </c>
      <c r="BR62" s="4">
        <f t="shared" si="49"/>
        <v>17485.640677500316</v>
      </c>
      <c r="BS62" s="4">
        <f t="shared" si="50"/>
        <v>672.52464144231999</v>
      </c>
      <c r="BT62" s="4">
        <f t="shared" si="51"/>
        <v>65369.813514999987</v>
      </c>
      <c r="BU62" s="4">
        <f t="shared" si="52"/>
        <v>65369.813514999987</v>
      </c>
      <c r="BV62" s="7">
        <f t="shared" si="53"/>
        <v>522958.5081199999</v>
      </c>
      <c r="BW62" s="7">
        <f t="shared" si="54"/>
        <v>647165.62811838451</v>
      </c>
    </row>
    <row r="63" spans="1:75" x14ac:dyDescent="0.3">
      <c r="A63" s="3">
        <f t="shared" si="0"/>
        <v>59</v>
      </c>
      <c r="B63" t="str">
        <f>INDEX(Employees!$A:$A,A63+1)</f>
        <v>E059</v>
      </c>
      <c r="C63" t="str">
        <f>INDEX(Employees!$A:$Z,MATCH(B63,Employees!$A:$A,0),MATCH("category",Employees!$1:$1,0))</f>
        <v>Operations</v>
      </c>
      <c r="D63" t="str">
        <f>INDEX(Employees!$A:$Z,MATCH(B63,Employees!$A:$A,0),MATCH("gender",Employees!$1:$1,0))</f>
        <v>F</v>
      </c>
      <c r="E63" s="3">
        <f>INDEX(Employees!$A:$Z,MATCH(B63,Employees!$A:$A,0),MATCH("grade",Employees!$1:$1,0))</f>
        <v>8</v>
      </c>
      <c r="F63" s="3">
        <f>INDEX(Employees!$A:$Z,MATCH(B63,Employees!$A:$A,0),MATCH("rating",Employees!$1:$1,0))</f>
        <v>4</v>
      </c>
      <c r="G63" s="22">
        <f>INDEX(Employees!$A:$Z,MATCH(B63,Employees!$A:$A,0),MATCH("hire_date",Employees!$1:$1,0))</f>
        <v>43154</v>
      </c>
      <c r="H63" s="22">
        <f>INDEX(Employees!$A:$Z,MATCH(B63,Employees!$A:$A,0),MATCH("last_change_date",Employees!$1:$1,0))</f>
        <v>46113</v>
      </c>
      <c r="I63" s="4">
        <f>INDEX(Employees!$A:$Z,MATCH(B63,Employees!$A:$A,0),MATCH("base_salary",Employees!$1:$1,0))</f>
        <v>58379.25</v>
      </c>
      <c r="J63" s="5">
        <f>INDEX(Employees!$A:$Z,MATCH(B63,Employees!$A:$A,0),MATCH("bonus_pct",Employees!$1:$1,0))/100</f>
        <v>6.2E-2</v>
      </c>
      <c r="K63" s="7">
        <f>INDEX(Employees!$A:$Z,MATCH(B63,Employees!$A:$A,0),MATCH("fte",Employees!$1:$1,0))</f>
        <v>1</v>
      </c>
      <c r="L63" s="3">
        <f>IF(ISNA(MATCH(C63&amp;"|"&amp;E63,Bands!$F:$F,0)),0,1)</f>
        <v>1</v>
      </c>
      <c r="M63" s="4">
        <f>INDEX(Bands!$C:$C,MATCH(C63&amp;"|"&amp;E63,Bands!$F:$F,0))</f>
        <v>48400</v>
      </c>
      <c r="N63" s="4">
        <f>INDEX(Bands!$D:$D,MATCH(C63&amp;"|"&amp;E63,Bands!$F:$F,0))</f>
        <v>58100</v>
      </c>
      <c r="O63" s="4">
        <f>INDEX(Bands!$E:$E,MATCH(C63&amp;"|"&amp;E63,Bands!$F:$F,0))</f>
        <v>67800</v>
      </c>
      <c r="P63" s="7">
        <f t="shared" si="1"/>
        <v>9.1006160164271055</v>
      </c>
      <c r="Q63" s="4">
        <f t="shared" si="2"/>
        <v>61998.763500000001</v>
      </c>
      <c r="R63" s="7">
        <f t="shared" si="3"/>
        <v>64</v>
      </c>
      <c r="S63" s="7">
        <f t="shared" si="4"/>
        <v>82.82121187844956</v>
      </c>
      <c r="T63" s="7">
        <f t="shared" si="5"/>
        <v>72.804928131416844</v>
      </c>
      <c r="U63" s="7">
        <f t="shared" si="6"/>
        <v>495990.10800000001</v>
      </c>
      <c r="V63" s="7">
        <f t="shared" si="7"/>
        <v>564226.94010677619</v>
      </c>
      <c r="W63" s="4">
        <f t="shared" si="8"/>
        <v>61998.76</v>
      </c>
      <c r="X63" s="3">
        <f t="shared" si="9"/>
        <v>30</v>
      </c>
      <c r="Y63" s="4">
        <f>INDEX(Categories!$AH:$AH,MATCH(C63,Categories!$A:$A,0))</f>
        <v>51811.839122000005</v>
      </c>
      <c r="Z63" s="3">
        <f>IF(AND(D63="F",Q63&lt;Y63,INDEX(Categories!$AI:$AI,MATCH(C63,Categories!$A:$A,0))&gt;0),1,0)</f>
        <v>0</v>
      </c>
      <c r="AA63" s="4">
        <f t="shared" si="10"/>
        <v>0</v>
      </c>
      <c r="AB63" s="4">
        <f>IF(Z63=1,INDEX(Categories!$AI:$AI,MATCH(C63,Categories!$A:$A,0))*AA63/INDEX(Categories!$AJ:$AJ,MATCH(C63,Categories!$A:$A,0)),0)</f>
        <v>0</v>
      </c>
      <c r="AC63" s="4">
        <f t="shared" si="11"/>
        <v>0</v>
      </c>
      <c r="AD63" s="4">
        <f t="shared" si="12"/>
        <v>58379.25</v>
      </c>
      <c r="AE63" s="3">
        <f t="shared" si="13"/>
        <v>0</v>
      </c>
      <c r="AF63" s="3">
        <f t="shared" si="14"/>
        <v>109</v>
      </c>
      <c r="AG63" s="3">
        <f t="shared" si="15"/>
        <v>12</v>
      </c>
      <c r="AH63" s="3">
        <f t="shared" si="16"/>
        <v>1</v>
      </c>
      <c r="AI63" s="5">
        <f t="shared" si="17"/>
        <v>1.0048063683304647</v>
      </c>
      <c r="AJ63" s="3">
        <f>MATCH(AI63,Inputs!$B$31:$B$34,1)</f>
        <v>3</v>
      </c>
      <c r="AK63" s="5">
        <f>INDEX(Inputs!$C$21:$C$25,MATCH(F63,Inputs!$A$21:$A$25,0))</f>
        <v>1.05</v>
      </c>
      <c r="AL63" s="5">
        <f>INDEX(Inputs!$D$21:$D$25,MATCH(F63,Inputs!$A$21:$A$25,0))</f>
        <v>0.01</v>
      </c>
      <c r="AM63" s="4">
        <f t="shared" si="18"/>
        <v>61005</v>
      </c>
      <c r="AN63" s="4">
        <f t="shared" si="19"/>
        <v>2625.75</v>
      </c>
      <c r="AO63" s="3">
        <f t="shared" si="20"/>
        <v>1</v>
      </c>
      <c r="AP63" s="4">
        <f t="shared" si="21"/>
        <v>17513.774999999998</v>
      </c>
      <c r="AQ63" s="4">
        <f t="shared" si="22"/>
        <v>583.79250000000002</v>
      </c>
      <c r="AR63" s="4">
        <f t="shared" si="23"/>
        <v>2625.75</v>
      </c>
      <c r="AS63" s="3">
        <f t="shared" si="24"/>
        <v>0</v>
      </c>
      <c r="AT63" s="4">
        <f t="shared" si="25"/>
        <v>2625.75</v>
      </c>
      <c r="AU63" s="4">
        <f t="shared" si="26"/>
        <v>9420.75</v>
      </c>
      <c r="AV63" s="4">
        <f t="shared" si="27"/>
        <v>2625.75</v>
      </c>
      <c r="AW63" s="4">
        <f t="shared" si="28"/>
        <v>2625.75</v>
      </c>
      <c r="AX63" s="5">
        <f t="shared" si="29"/>
        <v>4.4977453461632344E-2</v>
      </c>
      <c r="AY63" s="4">
        <f t="shared" si="30"/>
        <v>61005</v>
      </c>
      <c r="AZ63" s="3">
        <f t="shared" si="31"/>
        <v>0</v>
      </c>
      <c r="BA63" s="4">
        <f t="shared" si="32"/>
        <v>61998.763500000001</v>
      </c>
      <c r="BB63" s="4">
        <f t="shared" si="33"/>
        <v>19687.959489599998</v>
      </c>
      <c r="BC63" s="4">
        <f t="shared" si="34"/>
        <v>61998.763500000001</v>
      </c>
      <c r="BD63" s="4">
        <f t="shared" si="35"/>
        <v>19687.959489599998</v>
      </c>
      <c r="BE63" s="4">
        <f t="shared" si="36"/>
        <v>64787.310000000005</v>
      </c>
      <c r="BF63" s="4">
        <f t="shared" si="37"/>
        <v>19714.729535999999</v>
      </c>
      <c r="BG63" s="4">
        <f t="shared" si="38"/>
        <v>0</v>
      </c>
      <c r="BH63" s="4">
        <f t="shared" si="39"/>
        <v>0</v>
      </c>
      <c r="BI63" s="4">
        <f t="shared" si="40"/>
        <v>0</v>
      </c>
      <c r="BJ63" s="4">
        <f t="shared" si="41"/>
        <v>2625.75</v>
      </c>
      <c r="BK63" s="4">
        <f t="shared" si="42"/>
        <v>162.79650000000001</v>
      </c>
      <c r="BL63" s="4">
        <f t="shared" si="43"/>
        <v>26.770046400000865</v>
      </c>
      <c r="BM63" s="4">
        <f t="shared" si="44"/>
        <v>58379.25</v>
      </c>
      <c r="BN63" s="4">
        <f t="shared" si="45"/>
        <v>2335.17</v>
      </c>
      <c r="BO63" s="4">
        <f t="shared" si="46"/>
        <v>2335.17</v>
      </c>
      <c r="BP63" s="4">
        <f t="shared" si="47"/>
        <v>144.78054</v>
      </c>
      <c r="BQ63" s="4">
        <f t="shared" si="48"/>
        <v>64478.714039999999</v>
      </c>
      <c r="BR63" s="4">
        <f t="shared" si="49"/>
        <v>19711.767014784</v>
      </c>
      <c r="BS63" s="4">
        <f t="shared" si="50"/>
        <v>23.807525184001861</v>
      </c>
      <c r="BT63" s="4">
        <f t="shared" si="51"/>
        <v>61998.763500000001</v>
      </c>
      <c r="BU63" s="4">
        <f t="shared" si="52"/>
        <v>64787.310000000005</v>
      </c>
      <c r="BV63" s="7">
        <f t="shared" si="53"/>
        <v>518298.48000000004</v>
      </c>
      <c r="BW63" s="7">
        <f t="shared" si="54"/>
        <v>589604.43104722805</v>
      </c>
    </row>
    <row r="64" spans="1:75" x14ac:dyDescent="0.3">
      <c r="A64" s="3">
        <f t="shared" si="0"/>
        <v>60</v>
      </c>
      <c r="B64" t="str">
        <f>INDEX(Employees!$A:$A,A64+1)</f>
        <v>E060</v>
      </c>
      <c r="C64" t="str">
        <f>INDEX(Employees!$A:$Z,MATCH(B64,Employees!$A:$A,0),MATCH("category",Employees!$1:$1,0))</f>
        <v>Operations</v>
      </c>
      <c r="D64" t="str">
        <f>INDEX(Employees!$A:$Z,MATCH(B64,Employees!$A:$A,0),MATCH("gender",Employees!$1:$1,0))</f>
        <v>F</v>
      </c>
      <c r="E64" s="3">
        <f>INDEX(Employees!$A:$Z,MATCH(B64,Employees!$A:$A,0),MATCH("grade",Employees!$1:$1,0))</f>
        <v>5</v>
      </c>
      <c r="F64" s="3">
        <f>INDEX(Employees!$A:$Z,MATCH(B64,Employees!$A:$A,0),MATCH("rating",Employees!$1:$1,0))</f>
        <v>3</v>
      </c>
      <c r="G64" s="22">
        <f>INDEX(Employees!$A:$Z,MATCH(B64,Employees!$A:$A,0),MATCH("hire_date",Employees!$1:$1,0))</f>
        <v>45894</v>
      </c>
      <c r="H64" s="22">
        <f>INDEX(Employees!$A:$Z,MATCH(B64,Employees!$A:$A,0),MATCH("last_change_date",Employees!$1:$1,0))</f>
        <v>46113</v>
      </c>
      <c r="I64" s="4">
        <f>INDEX(Employees!$A:$Z,MATCH(B64,Employees!$A:$A,0),MATCH("base_salary",Employees!$1:$1,0))</f>
        <v>41313.31</v>
      </c>
      <c r="J64" s="5">
        <f>INDEX(Employees!$A:$Z,MATCH(B64,Employees!$A:$A,0),MATCH("bonus_pct",Employees!$1:$1,0))/100</f>
        <v>8.3900000000000002E-2</v>
      </c>
      <c r="K64" s="7">
        <f>INDEX(Employees!$A:$Z,MATCH(B64,Employees!$A:$A,0),MATCH("fte",Employees!$1:$1,0))</f>
        <v>1</v>
      </c>
      <c r="L64" s="3">
        <f>IF(ISNA(MATCH(C64&amp;"|"&amp;E64,Bands!$F:$F,0)),0,1)</f>
        <v>1</v>
      </c>
      <c r="M64" s="4">
        <f>INDEX(Bands!$C:$C,MATCH(C64&amp;"|"&amp;E64,Bands!$F:$F,0))</f>
        <v>33700</v>
      </c>
      <c r="N64" s="4">
        <f>INDEX(Bands!$D:$D,MATCH(C64&amp;"|"&amp;E64,Bands!$F:$F,0))</f>
        <v>38800</v>
      </c>
      <c r="O64" s="4">
        <f>INDEX(Bands!$E:$E,MATCH(C64&amp;"|"&amp;E64,Bands!$F:$F,0))</f>
        <v>43800</v>
      </c>
      <c r="P64" s="7">
        <f t="shared" si="1"/>
        <v>1.5989048596851472</v>
      </c>
      <c r="Q64" s="4">
        <f t="shared" si="2"/>
        <v>44779.496708999999</v>
      </c>
      <c r="R64" s="7">
        <f t="shared" si="3"/>
        <v>25</v>
      </c>
      <c r="S64" s="7">
        <f t="shared" si="4"/>
        <v>2.5564967503247802</v>
      </c>
      <c r="T64" s="7">
        <f t="shared" si="5"/>
        <v>7.9945242984257359</v>
      </c>
      <c r="U64" s="7">
        <f t="shared" si="6"/>
        <v>223897.483545</v>
      </c>
      <c r="V64" s="7">
        <f t="shared" si="7"/>
        <v>71598.154902275157</v>
      </c>
      <c r="W64" s="4">
        <f t="shared" si="8"/>
        <v>44779.5</v>
      </c>
      <c r="X64" s="3">
        <f t="shared" si="9"/>
        <v>12</v>
      </c>
      <c r="Y64" s="4">
        <f>INDEX(Categories!$AH:$AH,MATCH(C64,Categories!$A:$A,0))</f>
        <v>51811.839122000005</v>
      </c>
      <c r="Z64" s="3">
        <f>IF(AND(D64="F",Q64&lt;Y64,INDEX(Categories!$AI:$AI,MATCH(C64,Categories!$A:$A,0))&gt;0),1,0)</f>
        <v>1</v>
      </c>
      <c r="AA64" s="4">
        <f t="shared" si="10"/>
        <v>7032.3424130000058</v>
      </c>
      <c r="AB64" s="4">
        <f>IF(Z64=1,INDEX(Categories!$AI:$AI,MATCH(C64,Categories!$A:$A,0))*AA64/INDEX(Categories!$AJ:$AJ,MATCH(C64,Categories!$A:$A,0)),0)</f>
        <v>553.54355957472205</v>
      </c>
      <c r="AC64" s="4">
        <f t="shared" si="11"/>
        <v>510.69615238926286</v>
      </c>
      <c r="AD64" s="4">
        <f t="shared" si="12"/>
        <v>41824.006152389258</v>
      </c>
      <c r="AE64" s="3">
        <f t="shared" si="13"/>
        <v>0</v>
      </c>
      <c r="AF64" s="3">
        <f t="shared" si="14"/>
        <v>19</v>
      </c>
      <c r="AG64" s="3">
        <f t="shared" si="15"/>
        <v>12</v>
      </c>
      <c r="AH64" s="3">
        <f t="shared" si="16"/>
        <v>1</v>
      </c>
      <c r="AI64" s="5">
        <f t="shared" si="17"/>
        <v>1.0779383028966303</v>
      </c>
      <c r="AJ64" s="3">
        <f>MATCH(AI64,Inputs!$B$31:$B$34,1)</f>
        <v>3</v>
      </c>
      <c r="AK64" s="5">
        <f>INDEX(Inputs!$C$21:$C$25,MATCH(F64,Inputs!$A$21:$A$25,0))</f>
        <v>1</v>
      </c>
      <c r="AL64" s="5">
        <f>INDEX(Inputs!$D$21:$D$25,MATCH(F64,Inputs!$A$21:$A$25,0))</f>
        <v>0</v>
      </c>
      <c r="AM64" s="4">
        <f t="shared" si="18"/>
        <v>38800</v>
      </c>
      <c r="AN64" s="4">
        <f t="shared" si="19"/>
        <v>0</v>
      </c>
      <c r="AO64" s="3">
        <f t="shared" si="20"/>
        <v>1</v>
      </c>
      <c r="AP64" s="4">
        <f t="shared" si="21"/>
        <v>12547.201845716778</v>
      </c>
      <c r="AQ64" s="4">
        <f t="shared" si="22"/>
        <v>0</v>
      </c>
      <c r="AR64" s="4">
        <f t="shared" si="23"/>
        <v>0</v>
      </c>
      <c r="AS64" s="3">
        <f t="shared" si="24"/>
        <v>0</v>
      </c>
      <c r="AT64" s="4">
        <f t="shared" si="25"/>
        <v>0</v>
      </c>
      <c r="AU64" s="4">
        <f t="shared" si="26"/>
        <v>1975.9938476107418</v>
      </c>
      <c r="AV64" s="4">
        <f t="shared" si="27"/>
        <v>0</v>
      </c>
      <c r="AW64" s="4">
        <f t="shared" si="28"/>
        <v>0</v>
      </c>
      <c r="AX64" s="5">
        <f t="shared" si="29"/>
        <v>0</v>
      </c>
      <c r="AY64" s="4">
        <f t="shared" si="30"/>
        <v>41824.006152389258</v>
      </c>
      <c r="AZ64" s="3">
        <f t="shared" si="31"/>
        <v>0</v>
      </c>
      <c r="BA64" s="4">
        <f t="shared" si="32"/>
        <v>44779.496708999999</v>
      </c>
      <c r="BB64" s="4">
        <f t="shared" si="33"/>
        <v>14396.6081919435</v>
      </c>
      <c r="BC64" s="4">
        <f t="shared" si="34"/>
        <v>45333.040268574718</v>
      </c>
      <c r="BD64" s="4">
        <f t="shared" si="35"/>
        <v>14574.572446346772</v>
      </c>
      <c r="BE64" s="4">
        <f t="shared" si="36"/>
        <v>45333.040268574718</v>
      </c>
      <c r="BF64" s="4">
        <f t="shared" si="37"/>
        <v>14574.572446346772</v>
      </c>
      <c r="BG64" s="4">
        <f t="shared" si="38"/>
        <v>510.69615238926286</v>
      </c>
      <c r="BH64" s="4">
        <f t="shared" si="39"/>
        <v>42.847407185459154</v>
      </c>
      <c r="BI64" s="4">
        <f t="shared" si="40"/>
        <v>177.96425440327221</v>
      </c>
      <c r="BJ64" s="4">
        <f t="shared" si="41"/>
        <v>0</v>
      </c>
      <c r="BK64" s="4">
        <f t="shared" si="42"/>
        <v>0</v>
      </c>
      <c r="BL64" s="4">
        <f t="shared" si="43"/>
        <v>0</v>
      </c>
      <c r="BM64" s="4">
        <f t="shared" si="44"/>
        <v>41824.006152389258</v>
      </c>
      <c r="BN64" s="4">
        <f t="shared" si="45"/>
        <v>1672.9602460955703</v>
      </c>
      <c r="BO64" s="4">
        <f t="shared" si="46"/>
        <v>1672.9602460955703</v>
      </c>
      <c r="BP64" s="4">
        <f t="shared" si="47"/>
        <v>140.36136464741836</v>
      </c>
      <c r="BQ64" s="4">
        <f t="shared" si="48"/>
        <v>47146.361879317708</v>
      </c>
      <c r="BR64" s="4">
        <f t="shared" si="49"/>
        <v>15157.555344200644</v>
      </c>
      <c r="BS64" s="4">
        <f t="shared" si="50"/>
        <v>582.98289785387169</v>
      </c>
      <c r="BT64" s="4">
        <f t="shared" si="51"/>
        <v>45333.040268574718</v>
      </c>
      <c r="BU64" s="4">
        <f t="shared" si="52"/>
        <v>45333.040268574718</v>
      </c>
      <c r="BV64" s="7">
        <f t="shared" si="53"/>
        <v>226665.2013428736</v>
      </c>
      <c r="BW64" s="7">
        <f t="shared" si="54"/>
        <v>72483.218389726579</v>
      </c>
    </row>
    <row r="65" spans="1:75" x14ac:dyDescent="0.3">
      <c r="A65" s="3">
        <f t="shared" si="0"/>
        <v>61</v>
      </c>
      <c r="B65" t="str">
        <f>INDEX(Employees!$A:$A,A65+1)</f>
        <v>E061</v>
      </c>
      <c r="C65" t="str">
        <f>INDEX(Employees!$A:$Z,MATCH(B65,Employees!$A:$A,0),MATCH("category",Employees!$1:$1,0))</f>
        <v>Operations</v>
      </c>
      <c r="D65" t="str">
        <f>INDEX(Employees!$A:$Z,MATCH(B65,Employees!$A:$A,0),MATCH("gender",Employees!$1:$1,0))</f>
        <v>F</v>
      </c>
      <c r="E65" s="3">
        <f>INDEX(Employees!$A:$Z,MATCH(B65,Employees!$A:$A,0),MATCH("grade",Employees!$1:$1,0))</f>
        <v>5</v>
      </c>
      <c r="F65" s="3">
        <f>INDEX(Employees!$A:$Z,MATCH(B65,Employees!$A:$A,0),MATCH("rating",Employees!$1:$1,0))</f>
        <v>3</v>
      </c>
      <c r="G65" s="22">
        <f>INDEX(Employees!$A:$Z,MATCH(B65,Employees!$A:$A,0),MATCH("hire_date",Employees!$1:$1,0))</f>
        <v>44944</v>
      </c>
      <c r="H65" s="22">
        <f>INDEX(Employees!$A:$Z,MATCH(B65,Employees!$A:$A,0),MATCH("last_change_date",Employees!$1:$1,0))</f>
        <v>46113</v>
      </c>
      <c r="I65" s="4">
        <f>INDEX(Employees!$A:$Z,MATCH(B65,Employees!$A:$A,0),MATCH("base_salary",Employees!$1:$1,0))</f>
        <v>37979.07</v>
      </c>
      <c r="J65" s="5">
        <f>INDEX(Employees!$A:$Z,MATCH(B65,Employees!$A:$A,0),MATCH("bonus_pct",Employees!$1:$1,0))/100</f>
        <v>9.4399999999999998E-2</v>
      </c>
      <c r="K65" s="7">
        <f>INDEX(Employees!$A:$Z,MATCH(B65,Employees!$A:$A,0),MATCH("fte",Employees!$1:$1,0))</f>
        <v>1</v>
      </c>
      <c r="L65" s="3">
        <f>IF(ISNA(MATCH(C65&amp;"|"&amp;E65,Bands!$F:$F,0)),0,1)</f>
        <v>1</v>
      </c>
      <c r="M65" s="4">
        <f>INDEX(Bands!$C:$C,MATCH(C65&amp;"|"&amp;E65,Bands!$F:$F,0))</f>
        <v>33700</v>
      </c>
      <c r="N65" s="4">
        <f>INDEX(Bands!$D:$D,MATCH(C65&amp;"|"&amp;E65,Bands!$F:$F,0))</f>
        <v>38800</v>
      </c>
      <c r="O65" s="4">
        <f>INDEX(Bands!$E:$E,MATCH(C65&amp;"|"&amp;E65,Bands!$F:$F,0))</f>
        <v>43800</v>
      </c>
      <c r="P65" s="7">
        <f t="shared" si="1"/>
        <v>4.1998631074606436</v>
      </c>
      <c r="Q65" s="4">
        <f t="shared" si="2"/>
        <v>41564.294207999999</v>
      </c>
      <c r="R65" s="7">
        <f t="shared" si="3"/>
        <v>25</v>
      </c>
      <c r="S65" s="7">
        <f t="shared" si="4"/>
        <v>17.638850121408975</v>
      </c>
      <c r="T65" s="7">
        <f t="shared" si="5"/>
        <v>20.999315537303218</v>
      </c>
      <c r="U65" s="7">
        <f t="shared" si="6"/>
        <v>207821.47104</v>
      </c>
      <c r="V65" s="7">
        <f t="shared" si="7"/>
        <v>174564.34583181932</v>
      </c>
      <c r="W65" s="4">
        <f t="shared" si="8"/>
        <v>41564.29</v>
      </c>
      <c r="X65" s="3">
        <f t="shared" si="9"/>
        <v>7</v>
      </c>
      <c r="Y65" s="4">
        <f>INDEX(Categories!$AH:$AH,MATCH(C65,Categories!$A:$A,0))</f>
        <v>51811.839122000005</v>
      </c>
      <c r="Z65" s="3">
        <f>IF(AND(D65="F",Q65&lt;Y65,INDEX(Categories!$AI:$AI,MATCH(C65,Categories!$A:$A,0))&gt;0),1,0)</f>
        <v>1</v>
      </c>
      <c r="AA65" s="4">
        <f t="shared" si="10"/>
        <v>10247.544914000006</v>
      </c>
      <c r="AB65" s="4">
        <f>IF(Z65=1,INDEX(Categories!$AI:$AI,MATCH(C65,Categories!$A:$A,0))*AA65/INDEX(Categories!$AJ:$AJ,MATCH(C65,Categories!$A:$A,0)),0)</f>
        <v>806.62489899685113</v>
      </c>
      <c r="AC65" s="4">
        <f t="shared" si="11"/>
        <v>737.04760507753213</v>
      </c>
      <c r="AD65" s="4">
        <f t="shared" si="12"/>
        <v>38716.117605077532</v>
      </c>
      <c r="AE65" s="3">
        <f t="shared" si="13"/>
        <v>0</v>
      </c>
      <c r="AF65" s="3">
        <f t="shared" si="14"/>
        <v>50</v>
      </c>
      <c r="AG65" s="3">
        <f t="shared" si="15"/>
        <v>12</v>
      </c>
      <c r="AH65" s="3">
        <f t="shared" si="16"/>
        <v>1</v>
      </c>
      <c r="AI65" s="5">
        <f t="shared" si="17"/>
        <v>0.99783808260509099</v>
      </c>
      <c r="AJ65" s="3">
        <f>MATCH(AI65,Inputs!$B$31:$B$34,1)</f>
        <v>2</v>
      </c>
      <c r="AK65" s="5">
        <f>INDEX(Inputs!$C$21:$C$25,MATCH(F65,Inputs!$A$21:$A$25,0))</f>
        <v>1</v>
      </c>
      <c r="AL65" s="5">
        <f>INDEX(Inputs!$D$21:$D$25,MATCH(F65,Inputs!$A$21:$A$25,0))</f>
        <v>0</v>
      </c>
      <c r="AM65" s="4">
        <f t="shared" si="18"/>
        <v>38800</v>
      </c>
      <c r="AN65" s="4">
        <f t="shared" si="19"/>
        <v>83.882394922467938</v>
      </c>
      <c r="AO65" s="3">
        <f t="shared" si="20"/>
        <v>1</v>
      </c>
      <c r="AP65" s="4">
        <f t="shared" si="21"/>
        <v>11614.835281523259</v>
      </c>
      <c r="AQ65" s="4">
        <f t="shared" si="22"/>
        <v>0</v>
      </c>
      <c r="AR65" s="4">
        <f t="shared" si="23"/>
        <v>83.882394922467938</v>
      </c>
      <c r="AS65" s="3">
        <f t="shared" si="24"/>
        <v>0</v>
      </c>
      <c r="AT65" s="4">
        <f t="shared" si="25"/>
        <v>83.882394922467938</v>
      </c>
      <c r="AU65" s="4">
        <f t="shared" si="26"/>
        <v>5083.8823949224679</v>
      </c>
      <c r="AV65" s="4">
        <f t="shared" si="27"/>
        <v>83.882394922467938</v>
      </c>
      <c r="AW65" s="4">
        <f t="shared" si="28"/>
        <v>83.882394922467938</v>
      </c>
      <c r="AX65" s="5">
        <f t="shared" si="29"/>
        <v>2.1666014081811484E-3</v>
      </c>
      <c r="AY65" s="4">
        <f t="shared" si="30"/>
        <v>38800</v>
      </c>
      <c r="AZ65" s="3">
        <f t="shared" si="31"/>
        <v>0</v>
      </c>
      <c r="BA65" s="4">
        <f t="shared" si="32"/>
        <v>41564.294207999999</v>
      </c>
      <c r="BB65" s="4">
        <f t="shared" si="33"/>
        <v>13362.920587872</v>
      </c>
      <c r="BC65" s="4">
        <f t="shared" si="34"/>
        <v>42370.919106996851</v>
      </c>
      <c r="BD65" s="4">
        <f t="shared" si="35"/>
        <v>13622.250492899488</v>
      </c>
      <c r="BE65" s="4">
        <f t="shared" si="36"/>
        <v>42462.720000000001</v>
      </c>
      <c r="BF65" s="4">
        <f t="shared" si="37"/>
        <v>13651.76448</v>
      </c>
      <c r="BG65" s="4">
        <f t="shared" si="38"/>
        <v>737.04760507753213</v>
      </c>
      <c r="BH65" s="4">
        <f t="shared" si="39"/>
        <v>69.577293919319033</v>
      </c>
      <c r="BI65" s="4">
        <f t="shared" si="40"/>
        <v>259.32990502748726</v>
      </c>
      <c r="BJ65" s="4">
        <f t="shared" si="41"/>
        <v>83.882394922467938</v>
      </c>
      <c r="BK65" s="4">
        <f t="shared" si="42"/>
        <v>7.9184980806809735</v>
      </c>
      <c r="BL65" s="4">
        <f t="shared" si="43"/>
        <v>29.513987100512168</v>
      </c>
      <c r="BM65" s="4">
        <f t="shared" si="44"/>
        <v>38716.117605077532</v>
      </c>
      <c r="BN65" s="4">
        <f t="shared" si="45"/>
        <v>1548.6447042031014</v>
      </c>
      <c r="BO65" s="4">
        <f t="shared" si="46"/>
        <v>1548.6447042031014</v>
      </c>
      <c r="BP65" s="4">
        <f t="shared" si="47"/>
        <v>146.19206007677278</v>
      </c>
      <c r="BQ65" s="4">
        <f t="shared" si="48"/>
        <v>44065.755871276728</v>
      </c>
      <c r="BR65" s="4">
        <f t="shared" si="49"/>
        <v>14167.140512615468</v>
      </c>
      <c r="BS65" s="4">
        <f t="shared" si="50"/>
        <v>544.89001971598009</v>
      </c>
      <c r="BT65" s="4">
        <f t="shared" si="51"/>
        <v>42370.919106996851</v>
      </c>
      <c r="BU65" s="4">
        <f t="shared" si="52"/>
        <v>42462.720000000001</v>
      </c>
      <c r="BV65" s="7">
        <f t="shared" si="53"/>
        <v>212313.60000000001</v>
      </c>
      <c r="BW65" s="7">
        <f t="shared" si="54"/>
        <v>178337.61117043122</v>
      </c>
    </row>
    <row r="66" spans="1:75" x14ac:dyDescent="0.3">
      <c r="A66" s="3">
        <f t="shared" si="0"/>
        <v>62</v>
      </c>
      <c r="B66" t="str">
        <f>INDEX(Employees!$A:$A,A66+1)</f>
        <v>E062</v>
      </c>
      <c r="C66" t="str">
        <f>INDEX(Employees!$A:$Z,MATCH(B66,Employees!$A:$A,0),MATCH("category",Employees!$1:$1,0))</f>
        <v>Operations</v>
      </c>
      <c r="D66" t="str">
        <f>INDEX(Employees!$A:$Z,MATCH(B66,Employees!$A:$A,0),MATCH("gender",Employees!$1:$1,0))</f>
        <v>F</v>
      </c>
      <c r="E66" s="3">
        <f>INDEX(Employees!$A:$Z,MATCH(B66,Employees!$A:$A,0),MATCH("grade",Employees!$1:$1,0))</f>
        <v>6</v>
      </c>
      <c r="F66" s="3">
        <f>INDEX(Employees!$A:$Z,MATCH(B66,Employees!$A:$A,0),MATCH("rating",Employees!$1:$1,0))</f>
        <v>4</v>
      </c>
      <c r="G66" s="22">
        <f>INDEX(Employees!$A:$Z,MATCH(B66,Employees!$A:$A,0),MATCH("hire_date",Employees!$1:$1,0))</f>
        <v>43666</v>
      </c>
      <c r="H66" s="22">
        <f>INDEX(Employees!$A:$Z,MATCH(B66,Employees!$A:$A,0),MATCH("last_change_date",Employees!$1:$1,0))</f>
        <v>46113</v>
      </c>
      <c r="I66" s="4">
        <f>INDEX(Employees!$A:$Z,MATCH(B66,Employees!$A:$A,0),MATCH("base_salary",Employees!$1:$1,0))</f>
        <v>48199.92</v>
      </c>
      <c r="J66" s="5">
        <f>INDEX(Employees!$A:$Z,MATCH(B66,Employees!$A:$A,0),MATCH("bonus_pct",Employees!$1:$1,0))/100</f>
        <v>9.3299999999999994E-2</v>
      </c>
      <c r="K66" s="7">
        <f>INDEX(Employees!$A:$Z,MATCH(B66,Employees!$A:$A,0),MATCH("fte",Employees!$1:$1,0))</f>
        <v>1</v>
      </c>
      <c r="L66" s="3">
        <f>IF(ISNA(MATCH(C66&amp;"|"&amp;E66,Bands!$F:$F,0)),0,1)</f>
        <v>1</v>
      </c>
      <c r="M66" s="4">
        <f>INDEX(Bands!$C:$C,MATCH(C66&amp;"|"&amp;E66,Bands!$F:$F,0))</f>
        <v>37000</v>
      </c>
      <c r="N66" s="4">
        <f>INDEX(Bands!$D:$D,MATCH(C66&amp;"|"&amp;E66,Bands!$F:$F,0))</f>
        <v>44400</v>
      </c>
      <c r="O66" s="4">
        <f>INDEX(Bands!$E:$E,MATCH(C66&amp;"|"&amp;E66,Bands!$F:$F,0))</f>
        <v>51800</v>
      </c>
      <c r="P66" s="7">
        <f t="shared" si="1"/>
        <v>7.698836413415469</v>
      </c>
      <c r="Q66" s="4">
        <f t="shared" si="2"/>
        <v>52696.972535999994</v>
      </c>
      <c r="R66" s="7">
        <f t="shared" si="3"/>
        <v>36</v>
      </c>
      <c r="S66" s="7">
        <f t="shared" si="4"/>
        <v>59.272082120531962</v>
      </c>
      <c r="T66" s="7">
        <f t="shared" si="5"/>
        <v>46.19301848049281</v>
      </c>
      <c r="U66" s="7">
        <f t="shared" si="6"/>
        <v>316181.83521599998</v>
      </c>
      <c r="V66" s="7">
        <f t="shared" si="7"/>
        <v>405705.37103691167</v>
      </c>
      <c r="W66" s="4">
        <f t="shared" si="8"/>
        <v>52696.97</v>
      </c>
      <c r="X66" s="3">
        <f t="shared" si="9"/>
        <v>21</v>
      </c>
      <c r="Y66" s="4">
        <f>INDEX(Categories!$AH:$AH,MATCH(C66,Categories!$A:$A,0))</f>
        <v>51811.839122000005</v>
      </c>
      <c r="Z66" s="3">
        <f>IF(AND(D66="F",Q66&lt;Y66,INDEX(Categories!$AI:$AI,MATCH(C66,Categories!$A:$A,0))&gt;0),1,0)</f>
        <v>0</v>
      </c>
      <c r="AA66" s="4">
        <f t="shared" si="10"/>
        <v>0</v>
      </c>
      <c r="AB66" s="4">
        <f>IF(Z66=1,INDEX(Categories!$AI:$AI,MATCH(C66,Categories!$A:$A,0))*AA66/INDEX(Categories!$AJ:$AJ,MATCH(C66,Categories!$A:$A,0)),0)</f>
        <v>0</v>
      </c>
      <c r="AC66" s="4">
        <f t="shared" si="11"/>
        <v>0</v>
      </c>
      <c r="AD66" s="4">
        <f t="shared" si="12"/>
        <v>48199.92</v>
      </c>
      <c r="AE66" s="3">
        <f t="shared" si="13"/>
        <v>0</v>
      </c>
      <c r="AF66" s="3">
        <f t="shared" si="14"/>
        <v>92</v>
      </c>
      <c r="AG66" s="3">
        <f t="shared" si="15"/>
        <v>12</v>
      </c>
      <c r="AH66" s="3">
        <f t="shared" si="16"/>
        <v>1</v>
      </c>
      <c r="AI66" s="5">
        <f t="shared" si="17"/>
        <v>1.0855837837837838</v>
      </c>
      <c r="AJ66" s="3">
        <f>MATCH(AI66,Inputs!$B$31:$B$34,1)</f>
        <v>3</v>
      </c>
      <c r="AK66" s="5">
        <f>INDEX(Inputs!$C$21:$C$25,MATCH(F66,Inputs!$A$21:$A$25,0))</f>
        <v>1.05</v>
      </c>
      <c r="AL66" s="5">
        <f>INDEX(Inputs!$D$21:$D$25,MATCH(F66,Inputs!$A$21:$A$25,0))</f>
        <v>0.01</v>
      </c>
      <c r="AM66" s="4">
        <f t="shared" si="18"/>
        <v>46620</v>
      </c>
      <c r="AN66" s="4">
        <f t="shared" si="19"/>
        <v>0</v>
      </c>
      <c r="AO66" s="3">
        <f t="shared" si="20"/>
        <v>1</v>
      </c>
      <c r="AP66" s="4">
        <f t="shared" si="21"/>
        <v>14459.975999999999</v>
      </c>
      <c r="AQ66" s="4">
        <f t="shared" si="22"/>
        <v>481.99919999999997</v>
      </c>
      <c r="AR66" s="4">
        <f t="shared" si="23"/>
        <v>481.99919999999997</v>
      </c>
      <c r="AS66" s="3">
        <f t="shared" si="24"/>
        <v>0</v>
      </c>
      <c r="AT66" s="4">
        <f t="shared" si="25"/>
        <v>481.99919999999997</v>
      </c>
      <c r="AU66" s="4">
        <f t="shared" si="26"/>
        <v>3600.0800000000017</v>
      </c>
      <c r="AV66" s="4">
        <f t="shared" si="27"/>
        <v>481.99919999999997</v>
      </c>
      <c r="AW66" s="4">
        <f t="shared" si="28"/>
        <v>481.99919999999997</v>
      </c>
      <c r="AX66" s="5">
        <f t="shared" si="29"/>
        <v>0.01</v>
      </c>
      <c r="AY66" s="4">
        <f t="shared" si="30"/>
        <v>48681.919199999997</v>
      </c>
      <c r="AZ66" s="3">
        <f t="shared" si="31"/>
        <v>0</v>
      </c>
      <c r="BA66" s="4">
        <f t="shared" si="32"/>
        <v>52696.972535999994</v>
      </c>
      <c r="BB66" s="4">
        <f t="shared" si="33"/>
        <v>16942.076670323997</v>
      </c>
      <c r="BC66" s="4">
        <f t="shared" si="34"/>
        <v>52696.972535999994</v>
      </c>
      <c r="BD66" s="4">
        <f t="shared" si="35"/>
        <v>16942.076670323997</v>
      </c>
      <c r="BE66" s="4">
        <f t="shared" si="36"/>
        <v>53223.942261359996</v>
      </c>
      <c r="BF66" s="4">
        <f t="shared" si="37"/>
        <v>17111.497437027239</v>
      </c>
      <c r="BG66" s="4">
        <f t="shared" si="38"/>
        <v>0</v>
      </c>
      <c r="BH66" s="4">
        <f t="shared" si="39"/>
        <v>0</v>
      </c>
      <c r="BI66" s="4">
        <f t="shared" si="40"/>
        <v>0</v>
      </c>
      <c r="BJ66" s="4">
        <f t="shared" si="41"/>
        <v>481.99919999999997</v>
      </c>
      <c r="BK66" s="4">
        <f t="shared" si="42"/>
        <v>44.970525359999996</v>
      </c>
      <c r="BL66" s="4">
        <f t="shared" si="43"/>
        <v>169.42076670324241</v>
      </c>
      <c r="BM66" s="4">
        <f t="shared" si="44"/>
        <v>48199.92</v>
      </c>
      <c r="BN66" s="4">
        <f t="shared" si="45"/>
        <v>1927.9967999999999</v>
      </c>
      <c r="BO66" s="4">
        <f t="shared" si="46"/>
        <v>1927.9967999999999</v>
      </c>
      <c r="BP66" s="4">
        <f t="shared" si="47"/>
        <v>179.88210143999999</v>
      </c>
      <c r="BQ66" s="4">
        <f t="shared" si="48"/>
        <v>54804.851437439997</v>
      </c>
      <c r="BR66" s="4">
        <f t="shared" si="49"/>
        <v>17619.759737136959</v>
      </c>
      <c r="BS66" s="4">
        <f t="shared" si="50"/>
        <v>677.68306681296235</v>
      </c>
      <c r="BT66" s="4">
        <f t="shared" si="51"/>
        <v>52696.972535999994</v>
      </c>
      <c r="BU66" s="4">
        <f t="shared" si="52"/>
        <v>53223.942261359996</v>
      </c>
      <c r="BV66" s="7">
        <f t="shared" si="53"/>
        <v>319343.65356815996</v>
      </c>
      <c r="BW66" s="7">
        <f t="shared" si="54"/>
        <v>409762.42474728078</v>
      </c>
    </row>
    <row r="67" spans="1:75" x14ac:dyDescent="0.3">
      <c r="A67" s="3">
        <f t="shared" si="0"/>
        <v>63</v>
      </c>
      <c r="B67" t="str">
        <f>INDEX(Employees!$A:$A,A67+1)</f>
        <v>E063</v>
      </c>
      <c r="C67" t="str">
        <f>INDEX(Employees!$A:$Z,MATCH(B67,Employees!$A:$A,0),MATCH("category",Employees!$1:$1,0))</f>
        <v>Operations</v>
      </c>
      <c r="D67" t="str">
        <f>INDEX(Employees!$A:$Z,MATCH(B67,Employees!$A:$A,0),MATCH("gender",Employees!$1:$1,0))</f>
        <v>F</v>
      </c>
      <c r="E67" s="3">
        <f>INDEX(Employees!$A:$Z,MATCH(B67,Employees!$A:$A,0),MATCH("grade",Employees!$1:$1,0))</f>
        <v>5</v>
      </c>
      <c r="F67" s="3">
        <f>INDEX(Employees!$A:$Z,MATCH(B67,Employees!$A:$A,0),MATCH("rating",Employees!$1:$1,0))</f>
        <v>2</v>
      </c>
      <c r="G67" s="22">
        <f>INDEX(Employees!$A:$Z,MATCH(B67,Employees!$A:$A,0),MATCH("hire_date",Employees!$1:$1,0))</f>
        <v>45711</v>
      </c>
      <c r="H67" s="22">
        <f>INDEX(Employees!$A:$Z,MATCH(B67,Employees!$A:$A,0),MATCH("last_change_date",Employees!$1:$1,0))</f>
        <v>46113</v>
      </c>
      <c r="I67" s="4">
        <f>INDEX(Employees!$A:$Z,MATCH(B67,Employees!$A:$A,0),MATCH("base_salary",Employees!$1:$1,0))</f>
        <v>37058.730000000003</v>
      </c>
      <c r="J67" s="5">
        <f>INDEX(Employees!$A:$Z,MATCH(B67,Employees!$A:$A,0),MATCH("bonus_pct",Employees!$1:$1,0))/100</f>
        <v>9.9900000000000003E-2</v>
      </c>
      <c r="K67" s="7">
        <f>INDEX(Employees!$A:$Z,MATCH(B67,Employees!$A:$A,0),MATCH("fte",Employees!$1:$1,0))</f>
        <v>1</v>
      </c>
      <c r="L67" s="3">
        <f>IF(ISNA(MATCH(C67&amp;"|"&amp;E67,Bands!$F:$F,0)),0,1)</f>
        <v>1</v>
      </c>
      <c r="M67" s="4">
        <f>INDEX(Bands!$C:$C,MATCH(C67&amp;"|"&amp;E67,Bands!$F:$F,0))</f>
        <v>33700</v>
      </c>
      <c r="N67" s="4">
        <f>INDEX(Bands!$D:$D,MATCH(C67&amp;"|"&amp;E67,Bands!$F:$F,0))</f>
        <v>38800</v>
      </c>
      <c r="O67" s="4">
        <f>INDEX(Bands!$E:$E,MATCH(C67&amp;"|"&amp;E67,Bands!$F:$F,0))</f>
        <v>43800</v>
      </c>
      <c r="P67" s="7">
        <f t="shared" si="1"/>
        <v>2.0999315537303218</v>
      </c>
      <c r="Q67" s="4">
        <f t="shared" si="2"/>
        <v>40760.897127000004</v>
      </c>
      <c r="R67" s="7">
        <f t="shared" si="3"/>
        <v>25</v>
      </c>
      <c r="S67" s="7">
        <f t="shared" si="4"/>
        <v>4.4097125303522438</v>
      </c>
      <c r="T67" s="7">
        <f t="shared" si="5"/>
        <v>10.499657768651609</v>
      </c>
      <c r="U67" s="7">
        <f t="shared" si="6"/>
        <v>203804.48563500002</v>
      </c>
      <c r="V67" s="7">
        <f t="shared" si="7"/>
        <v>85595.094035342932</v>
      </c>
      <c r="W67" s="4">
        <f t="shared" si="8"/>
        <v>40760.9</v>
      </c>
      <c r="X67" s="3">
        <f t="shared" si="9"/>
        <v>3</v>
      </c>
      <c r="Y67" s="4">
        <f>INDEX(Categories!$AH:$AH,MATCH(C67,Categories!$A:$A,0))</f>
        <v>51811.839122000005</v>
      </c>
      <c r="Z67" s="3">
        <f>IF(AND(D67="F",Q67&lt;Y67,INDEX(Categories!$AI:$AI,MATCH(C67,Categories!$A:$A,0))&gt;0),1,0)</f>
        <v>1</v>
      </c>
      <c r="AA67" s="4">
        <f t="shared" si="10"/>
        <v>11050.941995000001</v>
      </c>
      <c r="AB67" s="4">
        <f>IF(Z67=1,INDEX(Categories!$AI:$AI,MATCH(C67,Categories!$A:$A,0))*AA67/INDEX(Categories!$AJ:$AJ,MATCH(C67,Categories!$A:$A,0)),0)</f>
        <v>869.86346928412513</v>
      </c>
      <c r="AC67" s="4">
        <f t="shared" si="11"/>
        <v>790.85686815540055</v>
      </c>
      <c r="AD67" s="4">
        <f t="shared" si="12"/>
        <v>37849.586868155406</v>
      </c>
      <c r="AE67" s="3">
        <f t="shared" si="13"/>
        <v>0</v>
      </c>
      <c r="AF67" s="3">
        <f t="shared" si="14"/>
        <v>25</v>
      </c>
      <c r="AG67" s="3">
        <f t="shared" si="15"/>
        <v>12</v>
      </c>
      <c r="AH67" s="3">
        <f t="shared" si="16"/>
        <v>1</v>
      </c>
      <c r="AI67" s="5">
        <f t="shared" si="17"/>
        <v>0.9755048161895723</v>
      </c>
      <c r="AJ67" s="3">
        <f>MATCH(AI67,Inputs!$B$31:$B$34,1)</f>
        <v>2</v>
      </c>
      <c r="AK67" s="5">
        <f>INDEX(Inputs!$C$21:$C$25,MATCH(F67,Inputs!$A$21:$A$25,0))</f>
        <v>0.95</v>
      </c>
      <c r="AL67" s="5">
        <f>INDEX(Inputs!$D$21:$D$25,MATCH(F67,Inputs!$A$21:$A$25,0))</f>
        <v>0</v>
      </c>
      <c r="AM67" s="4">
        <f t="shared" si="18"/>
        <v>36860</v>
      </c>
      <c r="AN67" s="4">
        <f t="shared" si="19"/>
        <v>0</v>
      </c>
      <c r="AO67" s="3">
        <f t="shared" si="20"/>
        <v>1</v>
      </c>
      <c r="AP67" s="4">
        <f t="shared" si="21"/>
        <v>11354.876060446621</v>
      </c>
      <c r="AQ67" s="4">
        <f t="shared" si="22"/>
        <v>0</v>
      </c>
      <c r="AR67" s="4">
        <f t="shared" si="23"/>
        <v>0</v>
      </c>
      <c r="AS67" s="3">
        <f t="shared" si="24"/>
        <v>0</v>
      </c>
      <c r="AT67" s="4">
        <f t="shared" si="25"/>
        <v>0</v>
      </c>
      <c r="AU67" s="4">
        <f t="shared" si="26"/>
        <v>5950.4131318445943</v>
      </c>
      <c r="AV67" s="4">
        <f t="shared" si="27"/>
        <v>0</v>
      </c>
      <c r="AW67" s="4">
        <f t="shared" si="28"/>
        <v>0</v>
      </c>
      <c r="AX67" s="5">
        <f t="shared" si="29"/>
        <v>0</v>
      </c>
      <c r="AY67" s="4">
        <f t="shared" si="30"/>
        <v>37849.586868155406</v>
      </c>
      <c r="AZ67" s="3">
        <f t="shared" si="31"/>
        <v>0</v>
      </c>
      <c r="BA67" s="4">
        <f t="shared" si="32"/>
        <v>40760.897127000004</v>
      </c>
      <c r="BB67" s="4">
        <f t="shared" si="33"/>
        <v>13104.628426330502</v>
      </c>
      <c r="BC67" s="4">
        <f t="shared" si="34"/>
        <v>41630.760596284133</v>
      </c>
      <c r="BD67" s="4">
        <f t="shared" si="35"/>
        <v>13384.28953170535</v>
      </c>
      <c r="BE67" s="4">
        <f t="shared" si="36"/>
        <v>41630.760596284133</v>
      </c>
      <c r="BF67" s="4">
        <f t="shared" si="37"/>
        <v>13384.28953170535</v>
      </c>
      <c r="BG67" s="4">
        <f t="shared" si="38"/>
        <v>790.85686815540055</v>
      </c>
      <c r="BH67" s="4">
        <f t="shared" si="39"/>
        <v>79.006601128724512</v>
      </c>
      <c r="BI67" s="4">
        <f t="shared" si="40"/>
        <v>279.66110537484747</v>
      </c>
      <c r="BJ67" s="4">
        <f t="shared" si="41"/>
        <v>0</v>
      </c>
      <c r="BK67" s="4">
        <f t="shared" si="42"/>
        <v>0</v>
      </c>
      <c r="BL67" s="4">
        <f t="shared" si="43"/>
        <v>0</v>
      </c>
      <c r="BM67" s="4">
        <f t="shared" si="44"/>
        <v>37849.586868155406</v>
      </c>
      <c r="BN67" s="4">
        <f t="shared" si="45"/>
        <v>1513.9834747262162</v>
      </c>
      <c r="BO67" s="4">
        <f t="shared" si="46"/>
        <v>1513.9834747262162</v>
      </c>
      <c r="BP67" s="4">
        <f t="shared" si="47"/>
        <v>151.246949125149</v>
      </c>
      <c r="BQ67" s="4">
        <f t="shared" si="48"/>
        <v>43295.991020135494</v>
      </c>
      <c r="BR67" s="4">
        <f t="shared" si="49"/>
        <v>13919.661112973561</v>
      </c>
      <c r="BS67" s="4">
        <f t="shared" si="50"/>
        <v>535.37158126821123</v>
      </c>
      <c r="BT67" s="4">
        <f t="shared" si="51"/>
        <v>41630.760596284133</v>
      </c>
      <c r="BU67" s="4">
        <f t="shared" si="52"/>
        <v>41630.760596284133</v>
      </c>
      <c r="BV67" s="7">
        <f t="shared" si="53"/>
        <v>208153.80298142065</v>
      </c>
      <c r="BW67" s="7">
        <f t="shared" si="54"/>
        <v>87421.747781929997</v>
      </c>
    </row>
    <row r="68" spans="1:75" x14ac:dyDescent="0.3">
      <c r="A68" s="3">
        <f t="shared" si="0"/>
        <v>64</v>
      </c>
      <c r="B68" t="str">
        <f>INDEX(Employees!$A:$A,A68+1)</f>
        <v>E064</v>
      </c>
      <c r="C68" t="str">
        <f>INDEX(Employees!$A:$Z,MATCH(B68,Employees!$A:$A,0),MATCH("category",Employees!$1:$1,0))</f>
        <v>Operations</v>
      </c>
      <c r="D68" t="str">
        <f>INDEX(Employees!$A:$Z,MATCH(B68,Employees!$A:$A,0),MATCH("gender",Employees!$1:$1,0))</f>
        <v>M</v>
      </c>
      <c r="E68" s="3">
        <f>INDEX(Employees!$A:$Z,MATCH(B68,Employees!$A:$A,0),MATCH("grade",Employees!$1:$1,0))</f>
        <v>5</v>
      </c>
      <c r="F68" s="3">
        <f>INDEX(Employees!$A:$Z,MATCH(B68,Employees!$A:$A,0),MATCH("rating",Employees!$1:$1,0))</f>
        <v>3</v>
      </c>
      <c r="G68" s="22">
        <f>INDEX(Employees!$A:$Z,MATCH(B68,Employees!$A:$A,0),MATCH("hire_date",Employees!$1:$1,0))</f>
        <v>46300</v>
      </c>
      <c r="H68" s="22">
        <f>INDEX(Employees!$A:$Z,MATCH(B68,Employees!$A:$A,0),MATCH("last_change_date",Employees!$1:$1,0))</f>
        <v>46300</v>
      </c>
      <c r="I68" s="4">
        <f>INDEX(Employees!$A:$Z,MATCH(B68,Employees!$A:$A,0),MATCH("base_salary",Employees!$1:$1,0))</f>
        <v>38696.519999999997</v>
      </c>
      <c r="J68" s="5">
        <f>INDEX(Employees!$A:$Z,MATCH(B68,Employees!$A:$A,0),MATCH("bonus_pct",Employees!$1:$1,0))/100</f>
        <v>7.9699999999999993E-2</v>
      </c>
      <c r="K68" s="7">
        <f>INDEX(Employees!$A:$Z,MATCH(B68,Employees!$A:$A,0),MATCH("fte",Employees!$1:$1,0))</f>
        <v>1</v>
      </c>
      <c r="L68" s="3">
        <f>IF(ISNA(MATCH(C68&amp;"|"&amp;E68,Bands!$F:$F,0)),0,1)</f>
        <v>1</v>
      </c>
      <c r="M68" s="4">
        <f>INDEX(Bands!$C:$C,MATCH(C68&amp;"|"&amp;E68,Bands!$F:$F,0))</f>
        <v>33700</v>
      </c>
      <c r="N68" s="4">
        <f>INDEX(Bands!$D:$D,MATCH(C68&amp;"|"&amp;E68,Bands!$F:$F,0))</f>
        <v>38800</v>
      </c>
      <c r="O68" s="4">
        <f>INDEX(Bands!$E:$E,MATCH(C68&amp;"|"&amp;E68,Bands!$F:$F,0))</f>
        <v>43800</v>
      </c>
      <c r="P68" s="7">
        <f t="shared" si="1"/>
        <v>0.48733744010951402</v>
      </c>
      <c r="Q68" s="4">
        <f t="shared" si="2"/>
        <v>41780.63264399999</v>
      </c>
      <c r="R68" s="7">
        <f t="shared" si="3"/>
        <v>25</v>
      </c>
      <c r="S68" s="7">
        <f t="shared" si="4"/>
        <v>0.23749778053249415</v>
      </c>
      <c r="T68" s="7">
        <f t="shared" si="5"/>
        <v>2.4366872005475702</v>
      </c>
      <c r="U68" s="7">
        <f t="shared" si="6"/>
        <v>208903.16321999996</v>
      </c>
      <c r="V68" s="7">
        <f t="shared" si="7"/>
        <v>20361.266558882951</v>
      </c>
      <c r="W68" s="4">
        <f t="shared" si="8"/>
        <v>41780.629999999997</v>
      </c>
      <c r="X68" s="3">
        <f t="shared" si="9"/>
        <v>8</v>
      </c>
      <c r="Y68" s="4">
        <f>INDEX(Categories!$AH:$AH,MATCH(C68,Categories!$A:$A,0))</f>
        <v>51811.839122000005</v>
      </c>
      <c r="Z68" s="3">
        <f>IF(AND(D68="F",Q68&lt;Y68,INDEX(Categories!$AI:$AI,MATCH(C68,Categories!$A:$A,0))&gt;0),1,0)</f>
        <v>0</v>
      </c>
      <c r="AA68" s="4">
        <f t="shared" si="10"/>
        <v>0</v>
      </c>
      <c r="AB68" s="4">
        <f>IF(Z68=1,INDEX(Categories!$AI:$AI,MATCH(C68,Categories!$A:$A,0))*AA68/INDEX(Categories!$AJ:$AJ,MATCH(C68,Categories!$A:$A,0)),0)</f>
        <v>0</v>
      </c>
      <c r="AC68" s="4">
        <f t="shared" si="11"/>
        <v>0</v>
      </c>
      <c r="AD68" s="4">
        <f t="shared" si="12"/>
        <v>38696.519999999997</v>
      </c>
      <c r="AE68" s="3">
        <f t="shared" si="13"/>
        <v>0</v>
      </c>
      <c r="AF68" s="3">
        <f t="shared" si="14"/>
        <v>5</v>
      </c>
      <c r="AG68" s="3">
        <f t="shared" si="15"/>
        <v>5</v>
      </c>
      <c r="AH68" s="3">
        <f t="shared" si="16"/>
        <v>0</v>
      </c>
      <c r="AI68" s="5">
        <f t="shared" si="17"/>
        <v>0.99733298969072159</v>
      </c>
      <c r="AJ68" s="3">
        <f>MATCH(AI68,Inputs!$B$31:$B$34,1)</f>
        <v>2</v>
      </c>
      <c r="AK68" s="5">
        <f>INDEX(Inputs!$C$21:$C$25,MATCH(F68,Inputs!$A$21:$A$25,0))</f>
        <v>1</v>
      </c>
      <c r="AL68" s="5">
        <f>INDEX(Inputs!$D$21:$D$25,MATCH(F68,Inputs!$A$21:$A$25,0))</f>
        <v>0</v>
      </c>
      <c r="AM68" s="4">
        <f t="shared" si="18"/>
        <v>38800</v>
      </c>
      <c r="AN68" s="4">
        <f t="shared" si="19"/>
        <v>103.4800000000032</v>
      </c>
      <c r="AO68" s="3">
        <f t="shared" si="20"/>
        <v>1</v>
      </c>
      <c r="AP68" s="4">
        <f t="shared" si="21"/>
        <v>11608.955999999998</v>
      </c>
      <c r="AQ68" s="4">
        <f t="shared" si="22"/>
        <v>0</v>
      </c>
      <c r="AR68" s="4">
        <f t="shared" si="23"/>
        <v>103.4800000000032</v>
      </c>
      <c r="AS68" s="3">
        <f t="shared" si="24"/>
        <v>0</v>
      </c>
      <c r="AT68" s="4">
        <f t="shared" si="25"/>
        <v>103.4800000000032</v>
      </c>
      <c r="AU68" s="4">
        <f t="shared" si="26"/>
        <v>5103.4800000000032</v>
      </c>
      <c r="AV68" s="4">
        <f t="shared" si="27"/>
        <v>103.4800000000032</v>
      </c>
      <c r="AW68" s="4">
        <f t="shared" si="28"/>
        <v>0</v>
      </c>
      <c r="AX68" s="5">
        <f t="shared" si="29"/>
        <v>0</v>
      </c>
      <c r="AY68" s="4">
        <f t="shared" si="30"/>
        <v>38696.519999999997</v>
      </c>
      <c r="AZ68" s="3">
        <f t="shared" si="31"/>
        <v>0</v>
      </c>
      <c r="BA68" s="4">
        <f t="shared" si="32"/>
        <v>41780.63264399999</v>
      </c>
      <c r="BB68" s="4">
        <f t="shared" si="33"/>
        <v>13432.473395045998</v>
      </c>
      <c r="BC68" s="4">
        <f t="shared" si="34"/>
        <v>41780.63264399999</v>
      </c>
      <c r="BD68" s="4">
        <f t="shared" si="35"/>
        <v>13432.473395045998</v>
      </c>
      <c r="BE68" s="4">
        <f t="shared" si="36"/>
        <v>41780.63264399999</v>
      </c>
      <c r="BF68" s="4">
        <f t="shared" si="37"/>
        <v>13432.473395045998</v>
      </c>
      <c r="BG68" s="4">
        <f t="shared" si="38"/>
        <v>0</v>
      </c>
      <c r="BH68" s="4">
        <f t="shared" si="39"/>
        <v>0</v>
      </c>
      <c r="BI68" s="4">
        <f t="shared" si="40"/>
        <v>0</v>
      </c>
      <c r="BJ68" s="4">
        <f t="shared" si="41"/>
        <v>0</v>
      </c>
      <c r="BK68" s="4">
        <f t="shared" si="42"/>
        <v>0</v>
      </c>
      <c r="BL68" s="4">
        <f t="shared" si="43"/>
        <v>0</v>
      </c>
      <c r="BM68" s="4">
        <f t="shared" si="44"/>
        <v>0</v>
      </c>
      <c r="BN68" s="4">
        <f t="shared" si="45"/>
        <v>0</v>
      </c>
      <c r="BO68" s="4">
        <f t="shared" si="46"/>
        <v>0</v>
      </c>
      <c r="BP68" s="4">
        <f t="shared" si="47"/>
        <v>0</v>
      </c>
      <c r="BQ68" s="4">
        <f t="shared" si="48"/>
        <v>41780.63264399999</v>
      </c>
      <c r="BR68" s="4">
        <f t="shared" si="49"/>
        <v>13432.473395045998</v>
      </c>
      <c r="BS68" s="4">
        <f t="shared" si="50"/>
        <v>0</v>
      </c>
      <c r="BT68" s="4">
        <f t="shared" si="51"/>
        <v>41780.63264399999</v>
      </c>
      <c r="BU68" s="4">
        <f t="shared" si="52"/>
        <v>41780.63264399999</v>
      </c>
      <c r="BV68" s="7">
        <f t="shared" si="53"/>
        <v>208903.16321999996</v>
      </c>
      <c r="BW68" s="7">
        <f t="shared" si="54"/>
        <v>20361.266558882951</v>
      </c>
    </row>
    <row r="69" spans="1:75" x14ac:dyDescent="0.3">
      <c r="A69" s="3">
        <f t="shared" ref="A69:A132" si="55">ROW()-4</f>
        <v>65</v>
      </c>
      <c r="B69" t="str">
        <f>INDEX(Employees!$A:$A,A69+1)</f>
        <v>E065</v>
      </c>
      <c r="C69" t="str">
        <f>INDEX(Employees!$A:$Z,MATCH(B69,Employees!$A:$A,0),MATCH("category",Employees!$1:$1,0))</f>
        <v>Operations</v>
      </c>
      <c r="D69" t="str">
        <f>INDEX(Employees!$A:$Z,MATCH(B69,Employees!$A:$A,0),MATCH("gender",Employees!$1:$1,0))</f>
        <v>F</v>
      </c>
      <c r="E69" s="3">
        <f>INDEX(Employees!$A:$Z,MATCH(B69,Employees!$A:$A,0),MATCH("grade",Employees!$1:$1,0))</f>
        <v>5</v>
      </c>
      <c r="F69" s="3">
        <f>INDEX(Employees!$A:$Z,MATCH(B69,Employees!$A:$A,0),MATCH("rating",Employees!$1:$1,0))</f>
        <v>2</v>
      </c>
      <c r="G69" s="22">
        <f>INDEX(Employees!$A:$Z,MATCH(B69,Employees!$A:$A,0),MATCH("hire_date",Employees!$1:$1,0))</f>
        <v>44980</v>
      </c>
      <c r="H69" s="22">
        <f>INDEX(Employees!$A:$Z,MATCH(B69,Employees!$A:$A,0),MATCH("last_change_date",Employees!$1:$1,0))</f>
        <v>46113</v>
      </c>
      <c r="I69" s="4">
        <f>INDEX(Employees!$A:$Z,MATCH(B69,Employees!$A:$A,0),MATCH("base_salary",Employees!$1:$1,0))</f>
        <v>39425.93</v>
      </c>
      <c r="J69" s="5">
        <f>INDEX(Employees!$A:$Z,MATCH(B69,Employees!$A:$A,0),MATCH("bonus_pct",Employees!$1:$1,0))/100</f>
        <v>6.5099999999999991E-2</v>
      </c>
      <c r="K69" s="7">
        <f>INDEX(Employees!$A:$Z,MATCH(B69,Employees!$A:$A,0),MATCH("fte",Employees!$1:$1,0))</f>
        <v>1</v>
      </c>
      <c r="L69" s="3">
        <f>IF(ISNA(MATCH(C69&amp;"|"&amp;E69,Bands!$F:$F,0)),0,1)</f>
        <v>1</v>
      </c>
      <c r="M69" s="4">
        <f>INDEX(Bands!$C:$C,MATCH(C69&amp;"|"&amp;E69,Bands!$F:$F,0))</f>
        <v>33700</v>
      </c>
      <c r="N69" s="4">
        <f>INDEX(Bands!$D:$D,MATCH(C69&amp;"|"&amp;E69,Bands!$F:$F,0))</f>
        <v>38800</v>
      </c>
      <c r="O69" s="4">
        <f>INDEX(Bands!$E:$E,MATCH(C69&amp;"|"&amp;E69,Bands!$F:$F,0))</f>
        <v>43800</v>
      </c>
      <c r="P69" s="7">
        <f t="shared" ref="P69:P132" si="56">(EffDate-G69)/365.25</f>
        <v>4.1013004791238874</v>
      </c>
      <c r="Q69" s="4">
        <f t="shared" ref="Q69:Q132" si="57">I69*(1+J69)</f>
        <v>41992.558042999997</v>
      </c>
      <c r="R69" s="7">
        <f t="shared" ref="R69:R132" si="58">E69^2</f>
        <v>25</v>
      </c>
      <c r="S69" s="7">
        <f t="shared" ref="S69:S132" si="59">P69^2</f>
        <v>16.820665620061828</v>
      </c>
      <c r="T69" s="7">
        <f t="shared" ref="T69:T132" si="60">E69*P69</f>
        <v>20.506502395619435</v>
      </c>
      <c r="U69" s="7">
        <f t="shared" ref="U69:U132" si="61">E69*Q69</f>
        <v>209962.79021499999</v>
      </c>
      <c r="V69" s="7">
        <f t="shared" ref="V69:V132" si="62">P69*Q69</f>
        <v>172224.09842139354</v>
      </c>
      <c r="W69" s="4">
        <f t="shared" ref="W69:W132" si="63">ROUND(Q69,2)</f>
        <v>41992.56</v>
      </c>
      <c r="X69" s="3">
        <f t="shared" ref="X69:X132" si="64">COUNTIFS($C:$C,C69,$W:$W,"&lt;"&amp;W69)+COUNTIFS($C:$C,C69,$W:$W,W69,$B:$B,"&lt;"&amp;B69)+1</f>
        <v>9</v>
      </c>
      <c r="Y69" s="4">
        <f>INDEX(Categories!$AH:$AH,MATCH(C69,Categories!$A:$A,0))</f>
        <v>51811.839122000005</v>
      </c>
      <c r="Z69" s="3">
        <f>IF(AND(D69="F",Q69&lt;Y69,INDEX(Categories!$AI:$AI,MATCH(C69,Categories!$A:$A,0))&gt;0),1,0)</f>
        <v>1</v>
      </c>
      <c r="AA69" s="4">
        <f t="shared" ref="AA69:AA132" si="65">IF(Z69=1,Y69-Q69,0)</f>
        <v>9819.2810790000076</v>
      </c>
      <c r="AB69" s="4">
        <f>IF(Z69=1,INDEX(Categories!$AI:$AI,MATCH(C69,Categories!$A:$A,0))*AA69/INDEX(Categories!$AJ:$AJ,MATCH(C69,Categories!$A:$A,0)),0)</f>
        <v>772.91455417280133</v>
      </c>
      <c r="AC69" s="4">
        <f t="shared" ref="AC69:AC132" si="66">AB69/(1+J69)</f>
        <v>725.67322708928873</v>
      </c>
      <c r="AD69" s="4">
        <f t="shared" ref="AD69:AD132" si="67">I69+AC69</f>
        <v>40151.60322708929</v>
      </c>
      <c r="AE69" s="3">
        <f t="shared" ref="AE69:AE132" si="68">IF(AND(AC69&gt;0,AD69&gt;O69),1,0)</f>
        <v>0</v>
      </c>
      <c r="AF69" s="3">
        <f t="shared" ref="AF69:AF132" si="69">IF(G69&gt;EffDate,-1,DATEDIF(G69,EffDate,"m"))</f>
        <v>49</v>
      </c>
      <c r="AG69" s="3">
        <f t="shared" ref="AG69:AG132" si="70">IF(H69&gt;EffDate,-1,DATEDIF(H69,EffDate,"m"))</f>
        <v>12</v>
      </c>
      <c r="AH69" s="3">
        <f t="shared" ref="AH69:AH132" si="71">IF(AND(AF69&gt;=MinMonthsHire,AG69&gt;=MinMonthsChange),1,0)</f>
        <v>1</v>
      </c>
      <c r="AI69" s="5">
        <f t="shared" ref="AI69:AI132" si="72">AD69/N69</f>
        <v>1.0348351347187961</v>
      </c>
      <c r="AJ69" s="3">
        <f>MATCH(AI69,Inputs!$B$31:$B$34,1)</f>
        <v>3</v>
      </c>
      <c r="AK69" s="5">
        <f>INDEX(Inputs!$C$21:$C$25,MATCH(F69,Inputs!$A$21:$A$25,0))</f>
        <v>0.95</v>
      </c>
      <c r="AL69" s="5">
        <f>INDEX(Inputs!$D$21:$D$25,MATCH(F69,Inputs!$A$21:$A$25,0))</f>
        <v>0</v>
      </c>
      <c r="AM69" s="4">
        <f t="shared" ref="AM69:AM132" si="73">N69*CompanyTarget*AK69</f>
        <v>36860</v>
      </c>
      <c r="AN69" s="4">
        <f t="shared" ref="AN69:AN132" si="74">MAX(0,AM69-AD69)</f>
        <v>0</v>
      </c>
      <c r="AO69" s="3">
        <f t="shared" ref="AO69:AO132" si="75">IF(AND(ISNUMBER(MaxIncrease),MaxIncrease&gt;0),1,0)</f>
        <v>1</v>
      </c>
      <c r="AP69" s="4">
        <f t="shared" ref="AP69:AP132" si="76">IF(AO69=1,AD69*MaxIncrease,0)</f>
        <v>12045.480968126787</v>
      </c>
      <c r="AQ69" s="4">
        <f t="shared" ref="AQ69:AQ132" si="77">AD69*AL69</f>
        <v>0</v>
      </c>
      <c r="AR69" s="4">
        <f t="shared" ref="AR69:AR132" si="78">IF(AK69=0,0,IF(AO69=1,MIN(MAX(AN69,AQ69),AP69),MAX(AN69,AQ69)))</f>
        <v>0</v>
      </c>
      <c r="AS69" s="3">
        <f t="shared" ref="AS69:AS132" si="79">IF(AD69&gt;=O69,1,0)</f>
        <v>0</v>
      </c>
      <c r="AT69" s="4">
        <f t="shared" ref="AT69:AT132" si="80">IF(AS69=1,0,AR69)</f>
        <v>0</v>
      </c>
      <c r="AU69" s="4">
        <f t="shared" ref="AU69:AU132" si="81">MAX(0,O69-AD69)</f>
        <v>3648.3967729107098</v>
      </c>
      <c r="AV69" s="4">
        <f t="shared" ref="AV69:AV132" si="82">IF(ClipAtMax="No",AT69,MIN(AT69,AU69))</f>
        <v>0</v>
      </c>
      <c r="AW69" s="4">
        <f t="shared" ref="AW69:AW132" si="83">IF(AH69=1,AV69,0)</f>
        <v>0</v>
      </c>
      <c r="AX69" s="5">
        <f t="shared" ref="AX69:AX132" si="84">IF(AD69&gt;0,AW69/AD69,0)</f>
        <v>0</v>
      </c>
      <c r="AY69" s="4">
        <f t="shared" ref="AY69:AY132" si="85">AD69+AW69</f>
        <v>40151.60322708929</v>
      </c>
      <c r="AZ69" s="3">
        <f t="shared" ref="AZ69:AZ132" si="86">IF(AY69&lt;M69,1,0)</f>
        <v>0</v>
      </c>
      <c r="BA69" s="4">
        <f t="shared" ref="BA69:BA132" si="87">Q69*K69</f>
        <v>41992.558042999997</v>
      </c>
      <c r="BB69" s="4">
        <f t="shared" ref="BB69:BB132" si="88">RateBelow*MIN(BA69,Ceiling)+AboveCeilingTier1*MIN(MAX(0,BA69-Ceiling),0.1*Ceiling)+AboveCeilingTier2*MIN(MAX(0,BA69-1.1*Ceiling),0.4*Ceiling)+AboveCeilingTier3*MAX(0,BA69-1.5*Ceiling)</f>
        <v>13500.607410824499</v>
      </c>
      <c r="BC69" s="4">
        <f t="shared" ref="BC69:BC132" si="89">AD69*(1+J69)*K69</f>
        <v>42765.472597172804</v>
      </c>
      <c r="BD69" s="4">
        <f t="shared" ref="BD69:BD132" si="90">RateBelow*MIN(BC69,Ceiling)+AboveCeilingTier1*MIN(MAX(0,BC69-Ceiling),0.1*Ceiling)+AboveCeilingTier2*MIN(MAX(0,BC69-1.1*Ceiling),0.4*Ceiling)+AboveCeilingTier3*MAX(0,BC69-1.5*Ceiling)</f>
        <v>13749.099439991056</v>
      </c>
      <c r="BE69" s="4">
        <f t="shared" ref="BE69:BE132" si="91">AY69*(1+J69)*K69</f>
        <v>42765.472597172804</v>
      </c>
      <c r="BF69" s="4">
        <f t="shared" ref="BF69:BF132" si="92">RateBelow*MIN(BE69,Ceiling)+AboveCeilingTier1*MIN(MAX(0,BE69-Ceiling),0.1*Ceiling)+AboveCeilingTier2*MIN(MAX(0,BE69-1.1*Ceiling),0.4*Ceiling)+AboveCeilingTier3*MAX(0,BE69-1.5*Ceiling)</f>
        <v>13749.099439991056</v>
      </c>
      <c r="BG69" s="4">
        <f t="shared" ref="BG69:BG132" si="93">AC69*K69</f>
        <v>725.67322708928873</v>
      </c>
      <c r="BH69" s="4">
        <f t="shared" ref="BH69:BH132" si="94">AC69*J69*K69</f>
        <v>47.241327083512687</v>
      </c>
      <c r="BI69" s="4">
        <f t="shared" ref="BI69:BI132" si="95">BD69-BB69</f>
        <v>248.49202916655668</v>
      </c>
      <c r="BJ69" s="4">
        <f t="shared" ref="BJ69:BJ132" si="96">AW69*K69</f>
        <v>0</v>
      </c>
      <c r="BK69" s="4">
        <f t="shared" ref="BK69:BK132" si="97">AW69*J69*K69</f>
        <v>0</v>
      </c>
      <c r="BL69" s="4">
        <f t="shared" ref="BL69:BL132" si="98">BF69-BD69</f>
        <v>0</v>
      </c>
      <c r="BM69" s="4">
        <f t="shared" ref="BM69:BM132" si="99">IF(AH69=1,AD69*K69,0)</f>
        <v>40151.60322708929</v>
      </c>
      <c r="BN69" s="4">
        <f t="shared" ref="BN69:BN132" si="100">IF(AH69=1,AD69*PoolPct,0)</f>
        <v>1606.0641290835717</v>
      </c>
      <c r="BO69" s="4">
        <f t="shared" ref="BO69:BO132" si="101">BN69*K69</f>
        <v>1606.0641290835717</v>
      </c>
      <c r="BP69" s="4">
        <f t="shared" ref="BP69:BP132" si="102">BN69*J69*K69</f>
        <v>104.55477480334051</v>
      </c>
      <c r="BQ69" s="4">
        <f t="shared" ref="BQ69:BQ132" si="103">(AD69+BN69)*(1+J69)*K69</f>
        <v>44476.091501059709</v>
      </c>
      <c r="BR69" s="4">
        <f t="shared" ref="BR69:BR132" si="104">RateBelow*MIN(BQ69,Ceiling)+AboveCeilingTier1*MIN(MAX(0,BQ69-Ceiling),0.1*Ceiling)+AboveCeilingTier2*MIN(MAX(0,BQ69-1.1*Ceiling),0.4*Ceiling)+AboveCeilingTier3*MAX(0,BQ69-1.5*Ceiling)</f>
        <v>14299.063417590696</v>
      </c>
      <c r="BS69" s="4">
        <f t="shared" ref="BS69:BS132" si="105">BR69-BD69</f>
        <v>549.9639775996402</v>
      </c>
      <c r="BT69" s="4">
        <f t="shared" ref="BT69:BT132" si="106">AD69*(1+J69)</f>
        <v>42765.472597172804</v>
      </c>
      <c r="BU69" s="4">
        <f t="shared" ref="BU69:BU132" si="107">AY69*(1+J69)</f>
        <v>42765.472597172804</v>
      </c>
      <c r="BV69" s="7">
        <f t="shared" ref="BV69:BV132" si="108">E69*BU69</f>
        <v>213827.36298586402</v>
      </c>
      <c r="BW69" s="7">
        <f t="shared" ref="BW69:BW132" si="109">P69*BU69</f>
        <v>175394.05325274428</v>
      </c>
    </row>
    <row r="70" spans="1:75" x14ac:dyDescent="0.3">
      <c r="A70" s="3">
        <f t="shared" si="55"/>
        <v>66</v>
      </c>
      <c r="B70" t="str">
        <f>INDEX(Employees!$A:$A,A70+1)</f>
        <v>E066</v>
      </c>
      <c r="C70" t="str">
        <f>INDEX(Employees!$A:$Z,MATCH(B70,Employees!$A:$A,0),MATCH("category",Employees!$1:$1,0))</f>
        <v>Operations</v>
      </c>
      <c r="D70" t="str">
        <f>INDEX(Employees!$A:$Z,MATCH(B70,Employees!$A:$A,0),MATCH("gender",Employees!$1:$1,0))</f>
        <v>F</v>
      </c>
      <c r="E70" s="3">
        <f>INDEX(Employees!$A:$Z,MATCH(B70,Employees!$A:$A,0),MATCH("grade",Employees!$1:$1,0))</f>
        <v>6</v>
      </c>
      <c r="F70" s="3">
        <f>INDEX(Employees!$A:$Z,MATCH(B70,Employees!$A:$A,0),MATCH("rating",Employees!$1:$1,0))</f>
        <v>3</v>
      </c>
      <c r="G70" s="22">
        <f>INDEX(Employees!$A:$Z,MATCH(B70,Employees!$A:$A,0),MATCH("hire_date",Employees!$1:$1,0))</f>
        <v>45857</v>
      </c>
      <c r="H70" s="22">
        <f>INDEX(Employees!$A:$Z,MATCH(B70,Employees!$A:$A,0),MATCH("last_change_date",Employees!$1:$1,0))</f>
        <v>46113</v>
      </c>
      <c r="I70" s="4">
        <f>INDEX(Employees!$A:$Z,MATCH(B70,Employees!$A:$A,0),MATCH("base_salary",Employees!$1:$1,0))</f>
        <v>43435.62</v>
      </c>
      <c r="J70" s="5">
        <f>INDEX(Employees!$A:$Z,MATCH(B70,Employees!$A:$A,0),MATCH("bonus_pct",Employees!$1:$1,0))/100</f>
        <v>6.2300000000000001E-2</v>
      </c>
      <c r="K70" s="7">
        <f>INDEX(Employees!$A:$Z,MATCH(B70,Employees!$A:$A,0),MATCH("fte",Employees!$1:$1,0))</f>
        <v>1</v>
      </c>
      <c r="L70" s="3">
        <f>IF(ISNA(MATCH(C70&amp;"|"&amp;E70,Bands!$F:$F,0)),0,1)</f>
        <v>1</v>
      </c>
      <c r="M70" s="4">
        <f>INDEX(Bands!$C:$C,MATCH(C70&amp;"|"&amp;E70,Bands!$F:$F,0))</f>
        <v>37000</v>
      </c>
      <c r="N70" s="4">
        <f>INDEX(Bands!$D:$D,MATCH(C70&amp;"|"&amp;E70,Bands!$F:$F,0))</f>
        <v>44400</v>
      </c>
      <c r="O70" s="4">
        <f>INDEX(Bands!$E:$E,MATCH(C70&amp;"|"&amp;E70,Bands!$F:$F,0))</f>
        <v>51800</v>
      </c>
      <c r="P70" s="7">
        <f t="shared" si="56"/>
        <v>1.700205338809035</v>
      </c>
      <c r="Q70" s="4">
        <f t="shared" si="57"/>
        <v>46141.659126000006</v>
      </c>
      <c r="R70" s="7">
        <f t="shared" si="58"/>
        <v>36</v>
      </c>
      <c r="S70" s="7">
        <f t="shared" si="59"/>
        <v>2.8906981941147456</v>
      </c>
      <c r="T70" s="7">
        <f t="shared" si="60"/>
        <v>10.201232032854211</v>
      </c>
      <c r="U70" s="7">
        <f t="shared" si="61"/>
        <v>276849.95475600002</v>
      </c>
      <c r="V70" s="7">
        <f t="shared" si="62"/>
        <v>78450.295187531839</v>
      </c>
      <c r="W70" s="4">
        <f t="shared" si="63"/>
        <v>46141.66</v>
      </c>
      <c r="X70" s="3">
        <f t="shared" si="64"/>
        <v>14</v>
      </c>
      <c r="Y70" s="4">
        <f>INDEX(Categories!$AH:$AH,MATCH(C70,Categories!$A:$A,0))</f>
        <v>51811.839122000005</v>
      </c>
      <c r="Z70" s="3">
        <f>IF(AND(D70="F",Q70&lt;Y70,INDEX(Categories!$AI:$AI,MATCH(C70,Categories!$A:$A,0))&gt;0),1,0)</f>
        <v>1</v>
      </c>
      <c r="AA70" s="4">
        <f t="shared" si="65"/>
        <v>5670.1799959999989</v>
      </c>
      <c r="AB70" s="4">
        <f>IF(Z70=1,INDEX(Categories!$AI:$AI,MATCH(C70,Categories!$A:$A,0))*AA70/INDEX(Categories!$AJ:$AJ,MATCH(C70,Categories!$A:$A,0)),0)</f>
        <v>446.32235378826681</v>
      </c>
      <c r="AC70" s="4">
        <f t="shared" si="66"/>
        <v>420.14718421186745</v>
      </c>
      <c r="AD70" s="4">
        <f t="shared" si="67"/>
        <v>43855.767184211873</v>
      </c>
      <c r="AE70" s="3">
        <f t="shared" si="68"/>
        <v>0</v>
      </c>
      <c r="AF70" s="3">
        <f t="shared" si="69"/>
        <v>20</v>
      </c>
      <c r="AG70" s="3">
        <f t="shared" si="70"/>
        <v>12</v>
      </c>
      <c r="AH70" s="3">
        <f t="shared" si="71"/>
        <v>1</v>
      </c>
      <c r="AI70" s="5">
        <f t="shared" si="72"/>
        <v>0.98774250414891607</v>
      </c>
      <c r="AJ70" s="3">
        <f>MATCH(AI70,Inputs!$B$31:$B$34,1)</f>
        <v>2</v>
      </c>
      <c r="AK70" s="5">
        <f>INDEX(Inputs!$C$21:$C$25,MATCH(F70,Inputs!$A$21:$A$25,0))</f>
        <v>1</v>
      </c>
      <c r="AL70" s="5">
        <f>INDEX(Inputs!$D$21:$D$25,MATCH(F70,Inputs!$A$21:$A$25,0))</f>
        <v>0</v>
      </c>
      <c r="AM70" s="4">
        <f t="shared" si="73"/>
        <v>44400</v>
      </c>
      <c r="AN70" s="4">
        <f t="shared" si="74"/>
        <v>544.23281578812748</v>
      </c>
      <c r="AO70" s="3">
        <f t="shared" si="75"/>
        <v>1</v>
      </c>
      <c r="AP70" s="4">
        <f t="shared" si="76"/>
        <v>13156.730155263562</v>
      </c>
      <c r="AQ70" s="4">
        <f t="shared" si="77"/>
        <v>0</v>
      </c>
      <c r="AR70" s="4">
        <f t="shared" si="78"/>
        <v>544.23281578812748</v>
      </c>
      <c r="AS70" s="3">
        <f t="shared" si="79"/>
        <v>0</v>
      </c>
      <c r="AT70" s="4">
        <f t="shared" si="80"/>
        <v>544.23281578812748</v>
      </c>
      <c r="AU70" s="4">
        <f t="shared" si="81"/>
        <v>7944.2328157881275</v>
      </c>
      <c r="AV70" s="4">
        <f t="shared" si="82"/>
        <v>544.23281578812748</v>
      </c>
      <c r="AW70" s="4">
        <f t="shared" si="83"/>
        <v>544.23281578812748</v>
      </c>
      <c r="AX70" s="5">
        <f t="shared" si="84"/>
        <v>1.2409606551907544E-2</v>
      </c>
      <c r="AY70" s="4">
        <f t="shared" si="85"/>
        <v>44400</v>
      </c>
      <c r="AZ70" s="3">
        <f t="shared" si="86"/>
        <v>0</v>
      </c>
      <c r="BA70" s="4">
        <f t="shared" si="87"/>
        <v>46141.659126000006</v>
      </c>
      <c r="BB70" s="4">
        <f t="shared" si="88"/>
        <v>14834.543409009002</v>
      </c>
      <c r="BC70" s="4">
        <f t="shared" si="89"/>
        <v>46587.981479788272</v>
      </c>
      <c r="BD70" s="4">
        <f t="shared" si="90"/>
        <v>14978.036045751929</v>
      </c>
      <c r="BE70" s="4">
        <f t="shared" si="91"/>
        <v>47166.12</v>
      </c>
      <c r="BF70" s="4">
        <f t="shared" si="92"/>
        <v>15163.907580000001</v>
      </c>
      <c r="BG70" s="4">
        <f t="shared" si="93"/>
        <v>420.14718421186745</v>
      </c>
      <c r="BH70" s="4">
        <f t="shared" si="94"/>
        <v>26.175169576399345</v>
      </c>
      <c r="BI70" s="4">
        <f t="shared" si="95"/>
        <v>143.49263674292706</v>
      </c>
      <c r="BJ70" s="4">
        <f t="shared" si="96"/>
        <v>544.23281578812748</v>
      </c>
      <c r="BK70" s="4">
        <f t="shared" si="97"/>
        <v>33.905704423600341</v>
      </c>
      <c r="BL70" s="4">
        <f t="shared" si="98"/>
        <v>185.87153424807184</v>
      </c>
      <c r="BM70" s="4">
        <f t="shared" si="99"/>
        <v>43855.767184211873</v>
      </c>
      <c r="BN70" s="4">
        <f t="shared" si="100"/>
        <v>1754.2306873684749</v>
      </c>
      <c r="BO70" s="4">
        <f t="shared" si="101"/>
        <v>1754.2306873684749</v>
      </c>
      <c r="BP70" s="4">
        <f t="shared" si="102"/>
        <v>109.28857182305599</v>
      </c>
      <c r="BQ70" s="4">
        <f t="shared" si="103"/>
        <v>48451.500738979797</v>
      </c>
      <c r="BR70" s="4">
        <f t="shared" si="104"/>
        <v>15577.157487582006</v>
      </c>
      <c r="BS70" s="4">
        <f t="shared" si="105"/>
        <v>599.12144183007695</v>
      </c>
      <c r="BT70" s="4">
        <f t="shared" si="106"/>
        <v>46587.981479788272</v>
      </c>
      <c r="BU70" s="4">
        <f t="shared" si="107"/>
        <v>47166.12</v>
      </c>
      <c r="BV70" s="7">
        <f t="shared" si="108"/>
        <v>282996.72000000003</v>
      </c>
      <c r="BW70" s="7">
        <f t="shared" si="109"/>
        <v>80192.089034907607</v>
      </c>
    </row>
    <row r="71" spans="1:75" x14ac:dyDescent="0.3">
      <c r="A71" s="3">
        <f t="shared" si="55"/>
        <v>67</v>
      </c>
      <c r="B71" t="str">
        <f>INDEX(Employees!$A:$A,A71+1)</f>
        <v>E067</v>
      </c>
      <c r="C71" t="str">
        <f>INDEX(Employees!$A:$Z,MATCH(B71,Employees!$A:$A,0),MATCH("category",Employees!$1:$1,0))</f>
        <v>Operations</v>
      </c>
      <c r="D71" t="str">
        <f>INDEX(Employees!$A:$Z,MATCH(B71,Employees!$A:$A,0),MATCH("gender",Employees!$1:$1,0))</f>
        <v>M</v>
      </c>
      <c r="E71" s="3">
        <f>INDEX(Employees!$A:$Z,MATCH(B71,Employees!$A:$A,0),MATCH("grade",Employees!$1:$1,0))</f>
        <v>9</v>
      </c>
      <c r="F71" s="3">
        <f>INDEX(Employees!$A:$Z,MATCH(B71,Employees!$A:$A,0),MATCH("rating",Employees!$1:$1,0))</f>
        <v>4</v>
      </c>
      <c r="G71" s="22">
        <f>INDEX(Employees!$A:$Z,MATCH(B71,Employees!$A:$A,0),MATCH("hire_date",Employees!$1:$1,0))</f>
        <v>44031</v>
      </c>
      <c r="H71" s="22">
        <f>INDEX(Employees!$A:$Z,MATCH(B71,Employees!$A:$A,0),MATCH("last_change_date",Employees!$1:$1,0))</f>
        <v>46113</v>
      </c>
      <c r="I71" s="4">
        <f>INDEX(Employees!$A:$Z,MATCH(B71,Employees!$A:$A,0),MATCH("base_salary",Employees!$1:$1,0))</f>
        <v>73721.759999999995</v>
      </c>
      <c r="J71" s="5">
        <f>INDEX(Employees!$A:$Z,MATCH(B71,Employees!$A:$A,0),MATCH("bonus_pct",Employees!$1:$1,0))/100</f>
        <v>9.7100000000000006E-2</v>
      </c>
      <c r="K71" s="7">
        <f>INDEX(Employees!$A:$Z,MATCH(B71,Employees!$A:$A,0),MATCH("fte",Employees!$1:$1,0))</f>
        <v>1</v>
      </c>
      <c r="L71" s="3">
        <f>IF(ISNA(MATCH(C71&amp;"|"&amp;E71,Bands!$F:$F,0)),0,1)</f>
        <v>1</v>
      </c>
      <c r="M71" s="4">
        <f>INDEX(Bands!$C:$C,MATCH(C71&amp;"|"&amp;E71,Bands!$F:$F,0))</f>
        <v>55300</v>
      </c>
      <c r="N71" s="4">
        <f>INDEX(Bands!$D:$D,MATCH(C71&amp;"|"&amp;E71,Bands!$F:$F,0))</f>
        <v>66400</v>
      </c>
      <c r="O71" s="4">
        <f>INDEX(Bands!$E:$E,MATCH(C71&amp;"|"&amp;E71,Bands!$F:$F,0))</f>
        <v>77400</v>
      </c>
      <c r="P71" s="7">
        <f t="shared" si="56"/>
        <v>6.6995208761122518</v>
      </c>
      <c r="Q71" s="4">
        <f t="shared" si="57"/>
        <v>80880.14289599999</v>
      </c>
      <c r="R71" s="7">
        <f t="shared" si="58"/>
        <v>81</v>
      </c>
      <c r="S71" s="7">
        <f t="shared" si="59"/>
        <v>44.883579969463874</v>
      </c>
      <c r="T71" s="7">
        <f t="shared" si="60"/>
        <v>60.295687885010267</v>
      </c>
      <c r="U71" s="7">
        <f t="shared" si="61"/>
        <v>727921.28606399987</v>
      </c>
      <c r="V71" s="7">
        <f t="shared" si="62"/>
        <v>541858.20579469402</v>
      </c>
      <c r="W71" s="4">
        <f t="shared" si="63"/>
        <v>80880.14</v>
      </c>
      <c r="X71" s="3">
        <f t="shared" si="64"/>
        <v>37</v>
      </c>
      <c r="Y71" s="4">
        <f>INDEX(Categories!$AH:$AH,MATCH(C71,Categories!$A:$A,0))</f>
        <v>51811.839122000005</v>
      </c>
      <c r="Z71" s="3">
        <f>IF(AND(D71="F",Q71&lt;Y71,INDEX(Categories!$AI:$AI,MATCH(C71,Categories!$A:$A,0))&gt;0),1,0)</f>
        <v>0</v>
      </c>
      <c r="AA71" s="4">
        <f t="shared" si="65"/>
        <v>0</v>
      </c>
      <c r="AB71" s="4">
        <f>IF(Z71=1,INDEX(Categories!$AI:$AI,MATCH(C71,Categories!$A:$A,0))*AA71/INDEX(Categories!$AJ:$AJ,MATCH(C71,Categories!$A:$A,0)),0)</f>
        <v>0</v>
      </c>
      <c r="AC71" s="4">
        <f t="shared" si="66"/>
        <v>0</v>
      </c>
      <c r="AD71" s="4">
        <f t="shared" si="67"/>
        <v>73721.759999999995</v>
      </c>
      <c r="AE71" s="3">
        <f t="shared" si="68"/>
        <v>0</v>
      </c>
      <c r="AF71" s="3">
        <f t="shared" si="69"/>
        <v>80</v>
      </c>
      <c r="AG71" s="3">
        <f t="shared" si="70"/>
        <v>12</v>
      </c>
      <c r="AH71" s="3">
        <f t="shared" si="71"/>
        <v>1</v>
      </c>
      <c r="AI71" s="5">
        <f t="shared" si="72"/>
        <v>1.1102674698795181</v>
      </c>
      <c r="AJ71" s="3">
        <f>MATCH(AI71,Inputs!$B$31:$B$34,1)</f>
        <v>4</v>
      </c>
      <c r="AK71" s="5">
        <f>INDEX(Inputs!$C$21:$C$25,MATCH(F71,Inputs!$A$21:$A$25,0))</f>
        <v>1.05</v>
      </c>
      <c r="AL71" s="5">
        <f>INDEX(Inputs!$D$21:$D$25,MATCH(F71,Inputs!$A$21:$A$25,0))</f>
        <v>0.01</v>
      </c>
      <c r="AM71" s="4">
        <f t="shared" si="73"/>
        <v>69720</v>
      </c>
      <c r="AN71" s="4">
        <f t="shared" si="74"/>
        <v>0</v>
      </c>
      <c r="AO71" s="3">
        <f t="shared" si="75"/>
        <v>1</v>
      </c>
      <c r="AP71" s="4">
        <f t="shared" si="76"/>
        <v>22116.527999999998</v>
      </c>
      <c r="AQ71" s="4">
        <f t="shared" si="77"/>
        <v>737.21759999999995</v>
      </c>
      <c r="AR71" s="4">
        <f t="shared" si="78"/>
        <v>737.21759999999995</v>
      </c>
      <c r="AS71" s="3">
        <f t="shared" si="79"/>
        <v>0</v>
      </c>
      <c r="AT71" s="4">
        <f t="shared" si="80"/>
        <v>737.21759999999995</v>
      </c>
      <c r="AU71" s="4">
        <f t="shared" si="81"/>
        <v>3678.2400000000052</v>
      </c>
      <c r="AV71" s="4">
        <f t="shared" si="82"/>
        <v>737.21759999999995</v>
      </c>
      <c r="AW71" s="4">
        <f t="shared" si="83"/>
        <v>737.21759999999995</v>
      </c>
      <c r="AX71" s="5">
        <f t="shared" si="84"/>
        <v>0.01</v>
      </c>
      <c r="AY71" s="4">
        <f t="shared" si="85"/>
        <v>74458.977599999998</v>
      </c>
      <c r="AZ71" s="3">
        <f t="shared" si="86"/>
        <v>0</v>
      </c>
      <c r="BA71" s="4">
        <f t="shared" si="87"/>
        <v>80880.14289599999</v>
      </c>
      <c r="BB71" s="4">
        <f t="shared" si="88"/>
        <v>19880.056174118399</v>
      </c>
      <c r="BC71" s="4">
        <f t="shared" si="89"/>
        <v>80880.14289599999</v>
      </c>
      <c r="BD71" s="4">
        <f t="shared" si="90"/>
        <v>19880.056174118399</v>
      </c>
      <c r="BE71" s="4">
        <f t="shared" si="91"/>
        <v>81688.944324960001</v>
      </c>
      <c r="BF71" s="4">
        <f t="shared" si="92"/>
        <v>19888.46770897958</v>
      </c>
      <c r="BG71" s="4">
        <f t="shared" si="93"/>
        <v>0</v>
      </c>
      <c r="BH71" s="4">
        <f t="shared" si="94"/>
        <v>0</v>
      </c>
      <c r="BI71" s="4">
        <f t="shared" si="95"/>
        <v>0</v>
      </c>
      <c r="BJ71" s="4">
        <f t="shared" si="96"/>
        <v>737.21759999999995</v>
      </c>
      <c r="BK71" s="4">
        <f t="shared" si="97"/>
        <v>71.583828960000005</v>
      </c>
      <c r="BL71" s="4">
        <f t="shared" si="98"/>
        <v>8.4115348611812806</v>
      </c>
      <c r="BM71" s="4">
        <f t="shared" si="99"/>
        <v>73721.759999999995</v>
      </c>
      <c r="BN71" s="4">
        <f t="shared" si="100"/>
        <v>2948.8703999999998</v>
      </c>
      <c r="BO71" s="4">
        <f t="shared" si="101"/>
        <v>2948.8703999999998</v>
      </c>
      <c r="BP71" s="4">
        <f t="shared" si="102"/>
        <v>286.33531584000002</v>
      </c>
      <c r="BQ71" s="4">
        <f t="shared" si="103"/>
        <v>84115.348611839989</v>
      </c>
      <c r="BR71" s="4">
        <f t="shared" si="104"/>
        <v>19913.702313563135</v>
      </c>
      <c r="BS71" s="4">
        <f t="shared" si="105"/>
        <v>33.646139444736036</v>
      </c>
      <c r="BT71" s="4">
        <f t="shared" si="106"/>
        <v>80880.14289599999</v>
      </c>
      <c r="BU71" s="4">
        <f t="shared" si="107"/>
        <v>81688.944324960001</v>
      </c>
      <c r="BV71" s="7">
        <f t="shared" si="108"/>
        <v>735200.49892464001</v>
      </c>
      <c r="BW71" s="7">
        <f t="shared" si="109"/>
        <v>547276.78785264096</v>
      </c>
    </row>
    <row r="72" spans="1:75" x14ac:dyDescent="0.3">
      <c r="A72" s="3">
        <f t="shared" si="55"/>
        <v>68</v>
      </c>
      <c r="B72" t="str">
        <f>INDEX(Employees!$A:$A,A72+1)</f>
        <v>E068</v>
      </c>
      <c r="C72" t="str">
        <f>INDEX(Employees!$A:$Z,MATCH(B72,Employees!$A:$A,0),MATCH("category",Employees!$1:$1,0))</f>
        <v>Operations</v>
      </c>
      <c r="D72" t="str">
        <f>INDEX(Employees!$A:$Z,MATCH(B72,Employees!$A:$A,0),MATCH("gender",Employees!$1:$1,0))</f>
        <v>F</v>
      </c>
      <c r="E72" s="3">
        <f>INDEX(Employees!$A:$Z,MATCH(B72,Employees!$A:$A,0),MATCH("grade",Employees!$1:$1,0))</f>
        <v>10</v>
      </c>
      <c r="F72" s="3">
        <f>INDEX(Employees!$A:$Z,MATCH(B72,Employees!$A:$A,0),MATCH("rating",Employees!$1:$1,0))</f>
        <v>3</v>
      </c>
      <c r="G72" s="22">
        <f>INDEX(Employees!$A:$Z,MATCH(B72,Employees!$A:$A,0),MATCH("hire_date",Employees!$1:$1,0))</f>
        <v>43519</v>
      </c>
      <c r="H72" s="22">
        <f>INDEX(Employees!$A:$Z,MATCH(B72,Employees!$A:$A,0),MATCH("last_change_date",Employees!$1:$1,0))</f>
        <v>46113</v>
      </c>
      <c r="I72" s="4">
        <f>INDEX(Employees!$A:$Z,MATCH(B72,Employees!$A:$A,0),MATCH("base_salary",Employees!$1:$1,0))</f>
        <v>72303.960000000006</v>
      </c>
      <c r="J72" s="5">
        <f>INDEX(Employees!$A:$Z,MATCH(B72,Employees!$A:$A,0),MATCH("bonus_pct",Employees!$1:$1,0))/100</f>
        <v>8.5600000000000009E-2</v>
      </c>
      <c r="K72" s="7">
        <f>INDEX(Employees!$A:$Z,MATCH(B72,Employees!$A:$A,0),MATCH("fte",Employees!$1:$1,0))</f>
        <v>1</v>
      </c>
      <c r="L72" s="3">
        <f>IF(ISNA(MATCH(C72&amp;"|"&amp;E72,Bands!$F:$F,0)),0,1)</f>
        <v>1</v>
      </c>
      <c r="M72" s="4">
        <f>INDEX(Bands!$C:$C,MATCH(C72&amp;"|"&amp;E72,Bands!$F:$F,0))</f>
        <v>60700</v>
      </c>
      <c r="N72" s="4">
        <f>INDEX(Bands!$D:$D,MATCH(C72&amp;"|"&amp;E72,Bands!$F:$F,0))</f>
        <v>75900</v>
      </c>
      <c r="O72" s="4">
        <f>INDEX(Bands!$E:$E,MATCH(C72&amp;"|"&amp;E72,Bands!$F:$F,0))</f>
        <v>91100</v>
      </c>
      <c r="P72" s="7">
        <f t="shared" si="56"/>
        <v>8.1013004791238874</v>
      </c>
      <c r="Q72" s="4">
        <f t="shared" si="57"/>
        <v>78493.178975999996</v>
      </c>
      <c r="R72" s="7">
        <f t="shared" si="58"/>
        <v>100</v>
      </c>
      <c r="S72" s="7">
        <f t="shared" si="59"/>
        <v>65.63106945305293</v>
      </c>
      <c r="T72" s="7">
        <f t="shared" si="60"/>
        <v>81.01300479123887</v>
      </c>
      <c r="U72" s="7">
        <f t="shared" si="61"/>
        <v>784931.78975999996</v>
      </c>
      <c r="V72" s="7">
        <f t="shared" si="62"/>
        <v>635896.82844622585</v>
      </c>
      <c r="W72" s="4">
        <f t="shared" si="63"/>
        <v>78493.179999999993</v>
      </c>
      <c r="X72" s="3">
        <f t="shared" si="64"/>
        <v>36</v>
      </c>
      <c r="Y72" s="4">
        <f>INDEX(Categories!$AH:$AH,MATCH(C72,Categories!$A:$A,0))</f>
        <v>51811.839122000005</v>
      </c>
      <c r="Z72" s="3">
        <f>IF(AND(D72="F",Q72&lt;Y72,INDEX(Categories!$AI:$AI,MATCH(C72,Categories!$A:$A,0))&gt;0),1,0)</f>
        <v>0</v>
      </c>
      <c r="AA72" s="4">
        <f t="shared" si="65"/>
        <v>0</v>
      </c>
      <c r="AB72" s="4">
        <f>IF(Z72=1,INDEX(Categories!$AI:$AI,MATCH(C72,Categories!$A:$A,0))*AA72/INDEX(Categories!$AJ:$AJ,MATCH(C72,Categories!$A:$A,0)),0)</f>
        <v>0</v>
      </c>
      <c r="AC72" s="4">
        <f t="shared" si="66"/>
        <v>0</v>
      </c>
      <c r="AD72" s="4">
        <f t="shared" si="67"/>
        <v>72303.960000000006</v>
      </c>
      <c r="AE72" s="3">
        <f t="shared" si="68"/>
        <v>0</v>
      </c>
      <c r="AF72" s="3">
        <f t="shared" si="69"/>
        <v>97</v>
      </c>
      <c r="AG72" s="3">
        <f t="shared" si="70"/>
        <v>12</v>
      </c>
      <c r="AH72" s="3">
        <f t="shared" si="71"/>
        <v>1</v>
      </c>
      <c r="AI72" s="5">
        <f t="shared" si="72"/>
        <v>0.95262134387351782</v>
      </c>
      <c r="AJ72" s="3">
        <f>MATCH(AI72,Inputs!$B$31:$B$34,1)</f>
        <v>2</v>
      </c>
      <c r="AK72" s="5">
        <f>INDEX(Inputs!$C$21:$C$25,MATCH(F72,Inputs!$A$21:$A$25,0))</f>
        <v>1</v>
      </c>
      <c r="AL72" s="5">
        <f>INDEX(Inputs!$D$21:$D$25,MATCH(F72,Inputs!$A$21:$A$25,0))</f>
        <v>0</v>
      </c>
      <c r="AM72" s="4">
        <f t="shared" si="73"/>
        <v>75900</v>
      </c>
      <c r="AN72" s="4">
        <f t="shared" si="74"/>
        <v>3596.0399999999936</v>
      </c>
      <c r="AO72" s="3">
        <f t="shared" si="75"/>
        <v>1</v>
      </c>
      <c r="AP72" s="4">
        <f t="shared" si="76"/>
        <v>21691.188000000002</v>
      </c>
      <c r="AQ72" s="4">
        <f t="shared" si="77"/>
        <v>0</v>
      </c>
      <c r="AR72" s="4">
        <f t="shared" si="78"/>
        <v>3596.0399999999936</v>
      </c>
      <c r="AS72" s="3">
        <f t="shared" si="79"/>
        <v>0</v>
      </c>
      <c r="AT72" s="4">
        <f t="shared" si="80"/>
        <v>3596.0399999999936</v>
      </c>
      <c r="AU72" s="4">
        <f t="shared" si="81"/>
        <v>18796.039999999994</v>
      </c>
      <c r="AV72" s="4">
        <f t="shared" si="82"/>
        <v>3596.0399999999936</v>
      </c>
      <c r="AW72" s="4">
        <f t="shared" si="83"/>
        <v>3596.0399999999936</v>
      </c>
      <c r="AX72" s="5">
        <f t="shared" si="84"/>
        <v>4.973503525947947E-2</v>
      </c>
      <c r="AY72" s="4">
        <f t="shared" si="85"/>
        <v>75900</v>
      </c>
      <c r="AZ72" s="3">
        <f t="shared" si="86"/>
        <v>0</v>
      </c>
      <c r="BA72" s="4">
        <f t="shared" si="87"/>
        <v>78493.178975999996</v>
      </c>
      <c r="BB72" s="4">
        <f t="shared" si="88"/>
        <v>19855.231749350398</v>
      </c>
      <c r="BC72" s="4">
        <f t="shared" si="89"/>
        <v>78493.178975999996</v>
      </c>
      <c r="BD72" s="4">
        <f t="shared" si="90"/>
        <v>19855.231749350398</v>
      </c>
      <c r="BE72" s="4">
        <f t="shared" si="91"/>
        <v>82397.039999999994</v>
      </c>
      <c r="BF72" s="4">
        <f t="shared" si="92"/>
        <v>19895.831903999999</v>
      </c>
      <c r="BG72" s="4">
        <f t="shared" si="93"/>
        <v>0</v>
      </c>
      <c r="BH72" s="4">
        <f t="shared" si="94"/>
        <v>0</v>
      </c>
      <c r="BI72" s="4">
        <f t="shared" si="95"/>
        <v>0</v>
      </c>
      <c r="BJ72" s="4">
        <f t="shared" si="96"/>
        <v>3596.0399999999936</v>
      </c>
      <c r="BK72" s="4">
        <f t="shared" si="97"/>
        <v>307.82102399999951</v>
      </c>
      <c r="BL72" s="4">
        <f t="shared" si="98"/>
        <v>40.600154649600881</v>
      </c>
      <c r="BM72" s="4">
        <f t="shared" si="99"/>
        <v>72303.960000000006</v>
      </c>
      <c r="BN72" s="4">
        <f t="shared" si="100"/>
        <v>2892.1584000000003</v>
      </c>
      <c r="BO72" s="4">
        <f t="shared" si="101"/>
        <v>2892.1584000000003</v>
      </c>
      <c r="BP72" s="4">
        <f t="shared" si="102"/>
        <v>247.56875904000006</v>
      </c>
      <c r="BQ72" s="4">
        <f t="shared" si="103"/>
        <v>81632.906135040001</v>
      </c>
      <c r="BR72" s="4">
        <f t="shared" si="104"/>
        <v>19887.884911804413</v>
      </c>
      <c r="BS72" s="4">
        <f t="shared" si="105"/>
        <v>32.653162454014819</v>
      </c>
      <c r="BT72" s="4">
        <f t="shared" si="106"/>
        <v>78493.178975999996</v>
      </c>
      <c r="BU72" s="4">
        <f t="shared" si="107"/>
        <v>82397.039999999994</v>
      </c>
      <c r="BV72" s="7">
        <f t="shared" si="108"/>
        <v>823970.39999999991</v>
      </c>
      <c r="BW72" s="7">
        <f t="shared" si="109"/>
        <v>667523.17963039002</v>
      </c>
    </row>
    <row r="73" spans="1:75" x14ac:dyDescent="0.3">
      <c r="A73" s="3">
        <f t="shared" si="55"/>
        <v>69</v>
      </c>
      <c r="B73" t="str">
        <f>INDEX(Employees!$A:$A,A73+1)</f>
        <v>E069</v>
      </c>
      <c r="C73" t="str">
        <f>INDEX(Employees!$A:$Z,MATCH(B73,Employees!$A:$A,0),MATCH("category",Employees!$1:$1,0))</f>
        <v>Operations</v>
      </c>
      <c r="D73" t="str">
        <f>INDEX(Employees!$A:$Z,MATCH(B73,Employees!$A:$A,0),MATCH("gender",Employees!$1:$1,0))</f>
        <v>F</v>
      </c>
      <c r="E73" s="3">
        <f>INDEX(Employees!$A:$Z,MATCH(B73,Employees!$A:$A,0),MATCH("grade",Employees!$1:$1,0))</f>
        <v>5</v>
      </c>
      <c r="F73" s="3">
        <f>INDEX(Employees!$A:$Z,MATCH(B73,Employees!$A:$A,0),MATCH("rating",Employees!$1:$1,0))</f>
        <v>4</v>
      </c>
      <c r="G73" s="22">
        <f>INDEX(Employees!$A:$Z,MATCH(B73,Employees!$A:$A,0),MATCH("hire_date",Employees!$1:$1,0))</f>
        <v>45273</v>
      </c>
      <c r="H73" s="22">
        <f>INDEX(Employees!$A:$Z,MATCH(B73,Employees!$A:$A,0),MATCH("last_change_date",Employees!$1:$1,0))</f>
        <v>46113</v>
      </c>
      <c r="I73" s="4">
        <f>INDEX(Employees!$A:$Z,MATCH(B73,Employees!$A:$A,0),MATCH("base_salary",Employees!$1:$1,0))</f>
        <v>38097.769999999997</v>
      </c>
      <c r="J73" s="5">
        <f>INDEX(Employees!$A:$Z,MATCH(B73,Employees!$A:$A,0),MATCH("bonus_pct",Employees!$1:$1,0))/100</f>
        <v>8.9200000000000002E-2</v>
      </c>
      <c r="K73" s="7">
        <f>INDEX(Employees!$A:$Z,MATCH(B73,Employees!$A:$A,0),MATCH("fte",Employees!$1:$1,0))</f>
        <v>1</v>
      </c>
      <c r="L73" s="3">
        <f>IF(ISNA(MATCH(C73&amp;"|"&amp;E73,Bands!$F:$F,0)),0,1)</f>
        <v>1</v>
      </c>
      <c r="M73" s="4">
        <f>INDEX(Bands!$C:$C,MATCH(C73&amp;"|"&amp;E73,Bands!$F:$F,0))</f>
        <v>33700</v>
      </c>
      <c r="N73" s="4">
        <f>INDEX(Bands!$D:$D,MATCH(C73&amp;"|"&amp;E73,Bands!$F:$F,0))</f>
        <v>38800</v>
      </c>
      <c r="O73" s="4">
        <f>INDEX(Bands!$E:$E,MATCH(C73&amp;"|"&amp;E73,Bands!$F:$F,0))</f>
        <v>43800</v>
      </c>
      <c r="P73" s="7">
        <f t="shared" si="56"/>
        <v>3.2991101984941822</v>
      </c>
      <c r="Q73" s="4">
        <f t="shared" si="57"/>
        <v>41496.091083999992</v>
      </c>
      <c r="R73" s="7">
        <f t="shared" si="58"/>
        <v>25</v>
      </c>
      <c r="S73" s="7">
        <f t="shared" si="59"/>
        <v>10.884128101808322</v>
      </c>
      <c r="T73" s="7">
        <f t="shared" si="60"/>
        <v>16.495550992470911</v>
      </c>
      <c r="U73" s="7">
        <f t="shared" si="61"/>
        <v>207480.45541999995</v>
      </c>
      <c r="V73" s="7">
        <f t="shared" si="62"/>
        <v>136900.17729286788</v>
      </c>
      <c r="W73" s="4">
        <f t="shared" si="63"/>
        <v>41496.089999999997</v>
      </c>
      <c r="X73" s="3">
        <f t="shared" si="64"/>
        <v>5</v>
      </c>
      <c r="Y73" s="4">
        <f>INDEX(Categories!$AH:$AH,MATCH(C73,Categories!$A:$A,0))</f>
        <v>51811.839122000005</v>
      </c>
      <c r="Z73" s="3">
        <f>IF(AND(D73="F",Q73&lt;Y73,INDEX(Categories!$AI:$AI,MATCH(C73,Categories!$A:$A,0))&gt;0),1,0)</f>
        <v>1</v>
      </c>
      <c r="AA73" s="4">
        <f t="shared" si="65"/>
        <v>10315.748038000012</v>
      </c>
      <c r="AB73" s="4">
        <f>IF(Z73=1,INDEX(Categories!$AI:$AI,MATCH(C73,Categories!$A:$A,0))*AA73/INDEX(Categories!$AJ:$AJ,MATCH(C73,Categories!$A:$A,0)),0)</f>
        <v>811.99343736086598</v>
      </c>
      <c r="AC73" s="4">
        <f t="shared" si="66"/>
        <v>745.4952601550367</v>
      </c>
      <c r="AD73" s="4">
        <f t="shared" si="67"/>
        <v>38843.265260155036</v>
      </c>
      <c r="AE73" s="3">
        <f t="shared" si="68"/>
        <v>0</v>
      </c>
      <c r="AF73" s="3">
        <f t="shared" si="69"/>
        <v>39</v>
      </c>
      <c r="AG73" s="3">
        <f t="shared" si="70"/>
        <v>12</v>
      </c>
      <c r="AH73" s="3">
        <f t="shared" si="71"/>
        <v>1</v>
      </c>
      <c r="AI73" s="5">
        <f t="shared" si="72"/>
        <v>1.0011150840246144</v>
      </c>
      <c r="AJ73" s="3">
        <f>MATCH(AI73,Inputs!$B$31:$B$34,1)</f>
        <v>3</v>
      </c>
      <c r="AK73" s="5">
        <f>INDEX(Inputs!$C$21:$C$25,MATCH(F73,Inputs!$A$21:$A$25,0))</f>
        <v>1.05</v>
      </c>
      <c r="AL73" s="5">
        <f>INDEX(Inputs!$D$21:$D$25,MATCH(F73,Inputs!$A$21:$A$25,0))</f>
        <v>0.01</v>
      </c>
      <c r="AM73" s="4">
        <f t="shared" si="73"/>
        <v>40740</v>
      </c>
      <c r="AN73" s="4">
        <f t="shared" si="74"/>
        <v>1896.7347398449638</v>
      </c>
      <c r="AO73" s="3">
        <f t="shared" si="75"/>
        <v>1</v>
      </c>
      <c r="AP73" s="4">
        <f t="shared" si="76"/>
        <v>11652.97957804651</v>
      </c>
      <c r="AQ73" s="4">
        <f t="shared" si="77"/>
        <v>388.43265260155039</v>
      </c>
      <c r="AR73" s="4">
        <f t="shared" si="78"/>
        <v>1896.7347398449638</v>
      </c>
      <c r="AS73" s="3">
        <f t="shared" si="79"/>
        <v>0</v>
      </c>
      <c r="AT73" s="4">
        <f t="shared" si="80"/>
        <v>1896.7347398449638</v>
      </c>
      <c r="AU73" s="4">
        <f t="shared" si="81"/>
        <v>4956.7347398449638</v>
      </c>
      <c r="AV73" s="4">
        <f t="shared" si="82"/>
        <v>1896.7347398449638</v>
      </c>
      <c r="AW73" s="4">
        <f t="shared" si="83"/>
        <v>1896.7347398449638</v>
      </c>
      <c r="AX73" s="5">
        <f t="shared" si="84"/>
        <v>4.8830465902942814E-2</v>
      </c>
      <c r="AY73" s="4">
        <f t="shared" si="85"/>
        <v>40740</v>
      </c>
      <c r="AZ73" s="3">
        <f t="shared" si="86"/>
        <v>0</v>
      </c>
      <c r="BA73" s="4">
        <f t="shared" si="87"/>
        <v>41496.091083999992</v>
      </c>
      <c r="BB73" s="4">
        <f t="shared" si="88"/>
        <v>13340.993283505997</v>
      </c>
      <c r="BC73" s="4">
        <f t="shared" si="89"/>
        <v>42308.084521360863</v>
      </c>
      <c r="BD73" s="4">
        <f t="shared" si="90"/>
        <v>13602.049173617517</v>
      </c>
      <c r="BE73" s="4">
        <f t="shared" si="91"/>
        <v>44374.007999999994</v>
      </c>
      <c r="BF73" s="4">
        <f t="shared" si="92"/>
        <v>14266.243571999999</v>
      </c>
      <c r="BG73" s="4">
        <f t="shared" si="93"/>
        <v>745.4952601550367</v>
      </c>
      <c r="BH73" s="4">
        <f t="shared" si="94"/>
        <v>66.498177205829279</v>
      </c>
      <c r="BI73" s="4">
        <f t="shared" si="95"/>
        <v>261.05589011152006</v>
      </c>
      <c r="BJ73" s="4">
        <f t="shared" si="96"/>
        <v>1896.7347398449638</v>
      </c>
      <c r="BK73" s="4">
        <f t="shared" si="97"/>
        <v>169.18873879417077</v>
      </c>
      <c r="BL73" s="4">
        <f t="shared" si="98"/>
        <v>664.19439838248218</v>
      </c>
      <c r="BM73" s="4">
        <f t="shared" si="99"/>
        <v>38843.265260155036</v>
      </c>
      <c r="BN73" s="4">
        <f t="shared" si="100"/>
        <v>1553.7306104062015</v>
      </c>
      <c r="BO73" s="4">
        <f t="shared" si="101"/>
        <v>1553.7306104062015</v>
      </c>
      <c r="BP73" s="4">
        <f t="shared" si="102"/>
        <v>138.59277044823318</v>
      </c>
      <c r="BQ73" s="4">
        <f t="shared" si="103"/>
        <v>44000.407902215295</v>
      </c>
      <c r="BR73" s="4">
        <f t="shared" si="104"/>
        <v>14146.131140562218</v>
      </c>
      <c r="BS73" s="4">
        <f t="shared" si="105"/>
        <v>544.08196694470098</v>
      </c>
      <c r="BT73" s="4">
        <f t="shared" si="106"/>
        <v>42308.084521360863</v>
      </c>
      <c r="BU73" s="4">
        <f t="shared" si="107"/>
        <v>44374.007999999994</v>
      </c>
      <c r="BV73" s="7">
        <f t="shared" si="108"/>
        <v>221870.03999999998</v>
      </c>
      <c r="BW73" s="7">
        <f t="shared" si="109"/>
        <v>146394.7423408624</v>
      </c>
    </row>
    <row r="74" spans="1:75" x14ac:dyDescent="0.3">
      <c r="A74" s="3">
        <f t="shared" si="55"/>
        <v>70</v>
      </c>
      <c r="B74" t="str">
        <f>INDEX(Employees!$A:$A,A74+1)</f>
        <v>E070</v>
      </c>
      <c r="C74" t="str">
        <f>INDEX(Employees!$A:$Z,MATCH(B74,Employees!$A:$A,0),MATCH("category",Employees!$1:$1,0))</f>
        <v>Operations</v>
      </c>
      <c r="D74" t="str">
        <f>INDEX(Employees!$A:$Z,MATCH(B74,Employees!$A:$A,0),MATCH("gender",Employees!$1:$1,0))</f>
        <v>M</v>
      </c>
      <c r="E74" s="3">
        <f>INDEX(Employees!$A:$Z,MATCH(B74,Employees!$A:$A,0),MATCH("grade",Employees!$1:$1,0))</f>
        <v>7</v>
      </c>
      <c r="F74" s="3">
        <f>INDEX(Employees!$A:$Z,MATCH(B74,Employees!$A:$A,0),MATCH("rating",Employees!$1:$1,0))</f>
        <v>4</v>
      </c>
      <c r="G74" s="22">
        <f>INDEX(Employees!$A:$Z,MATCH(B74,Employees!$A:$A,0),MATCH("hire_date",Employees!$1:$1,0))</f>
        <v>44615</v>
      </c>
      <c r="H74" s="22">
        <f>INDEX(Employees!$A:$Z,MATCH(B74,Employees!$A:$A,0),MATCH("last_change_date",Employees!$1:$1,0))</f>
        <v>46113</v>
      </c>
      <c r="I74" s="4">
        <f>INDEX(Employees!$A:$Z,MATCH(B74,Employees!$A:$A,0),MATCH("base_salary",Employees!$1:$1,0))</f>
        <v>52223.48</v>
      </c>
      <c r="J74" s="5">
        <f>INDEX(Employees!$A:$Z,MATCH(B74,Employees!$A:$A,0),MATCH("bonus_pct",Employees!$1:$1,0))/100</f>
        <v>9.9900000000000003E-2</v>
      </c>
      <c r="K74" s="7">
        <f>INDEX(Employees!$A:$Z,MATCH(B74,Employees!$A:$A,0),MATCH("fte",Employees!$1:$1,0))</f>
        <v>1</v>
      </c>
      <c r="L74" s="3">
        <f>IF(ISNA(MATCH(C74&amp;"|"&amp;E74,Bands!$F:$F,0)),0,1)</f>
        <v>1</v>
      </c>
      <c r="M74" s="4">
        <f>INDEX(Bands!$C:$C,MATCH(C74&amp;"|"&amp;E74,Bands!$F:$F,0))</f>
        <v>42300</v>
      </c>
      <c r="N74" s="4">
        <f>INDEX(Bands!$D:$D,MATCH(C74&amp;"|"&amp;E74,Bands!$F:$F,0))</f>
        <v>50800</v>
      </c>
      <c r="O74" s="4">
        <f>INDEX(Bands!$E:$E,MATCH(C74&amp;"|"&amp;E74,Bands!$F:$F,0))</f>
        <v>59200</v>
      </c>
      <c r="P74" s="7">
        <f t="shared" si="56"/>
        <v>5.1006160164271046</v>
      </c>
      <c r="Q74" s="4">
        <f t="shared" si="57"/>
        <v>57440.605652000006</v>
      </c>
      <c r="R74" s="7">
        <f t="shared" si="58"/>
        <v>49</v>
      </c>
      <c r="S74" s="7">
        <f t="shared" si="59"/>
        <v>26.016283747032706</v>
      </c>
      <c r="T74" s="7">
        <f t="shared" si="60"/>
        <v>35.704312114989733</v>
      </c>
      <c r="U74" s="7">
        <f t="shared" si="61"/>
        <v>402084.23956400005</v>
      </c>
      <c r="V74" s="7">
        <f t="shared" si="62"/>
        <v>292982.47318186448</v>
      </c>
      <c r="W74" s="4">
        <f t="shared" si="63"/>
        <v>57440.61</v>
      </c>
      <c r="X74" s="3">
        <f t="shared" si="64"/>
        <v>27</v>
      </c>
      <c r="Y74" s="4">
        <f>INDEX(Categories!$AH:$AH,MATCH(C74,Categories!$A:$A,0))</f>
        <v>51811.839122000005</v>
      </c>
      <c r="Z74" s="3">
        <f>IF(AND(D74="F",Q74&lt;Y74,INDEX(Categories!$AI:$AI,MATCH(C74,Categories!$A:$A,0))&gt;0),1,0)</f>
        <v>0</v>
      </c>
      <c r="AA74" s="4">
        <f t="shared" si="65"/>
        <v>0</v>
      </c>
      <c r="AB74" s="4">
        <f>IF(Z74=1,INDEX(Categories!$AI:$AI,MATCH(C74,Categories!$A:$A,0))*AA74/INDEX(Categories!$AJ:$AJ,MATCH(C74,Categories!$A:$A,0)),0)</f>
        <v>0</v>
      </c>
      <c r="AC74" s="4">
        <f t="shared" si="66"/>
        <v>0</v>
      </c>
      <c r="AD74" s="4">
        <f t="shared" si="67"/>
        <v>52223.48</v>
      </c>
      <c r="AE74" s="3">
        <f t="shared" si="68"/>
        <v>0</v>
      </c>
      <c r="AF74" s="3">
        <f t="shared" si="69"/>
        <v>61</v>
      </c>
      <c r="AG74" s="3">
        <f t="shared" si="70"/>
        <v>12</v>
      </c>
      <c r="AH74" s="3">
        <f t="shared" si="71"/>
        <v>1</v>
      </c>
      <c r="AI74" s="5">
        <f t="shared" si="72"/>
        <v>1.0280212598425198</v>
      </c>
      <c r="AJ74" s="3">
        <f>MATCH(AI74,Inputs!$B$31:$B$34,1)</f>
        <v>3</v>
      </c>
      <c r="AK74" s="5">
        <f>INDEX(Inputs!$C$21:$C$25,MATCH(F74,Inputs!$A$21:$A$25,0))</f>
        <v>1.05</v>
      </c>
      <c r="AL74" s="5">
        <f>INDEX(Inputs!$D$21:$D$25,MATCH(F74,Inputs!$A$21:$A$25,0))</f>
        <v>0.01</v>
      </c>
      <c r="AM74" s="4">
        <f t="shared" si="73"/>
        <v>53340</v>
      </c>
      <c r="AN74" s="4">
        <f t="shared" si="74"/>
        <v>1116.5199999999968</v>
      </c>
      <c r="AO74" s="3">
        <f t="shared" si="75"/>
        <v>1</v>
      </c>
      <c r="AP74" s="4">
        <f t="shared" si="76"/>
        <v>15667.044</v>
      </c>
      <c r="AQ74" s="4">
        <f t="shared" si="77"/>
        <v>522.23480000000006</v>
      </c>
      <c r="AR74" s="4">
        <f t="shared" si="78"/>
        <v>1116.5199999999968</v>
      </c>
      <c r="AS74" s="3">
        <f t="shared" si="79"/>
        <v>0</v>
      </c>
      <c r="AT74" s="4">
        <f t="shared" si="80"/>
        <v>1116.5199999999968</v>
      </c>
      <c r="AU74" s="4">
        <f t="shared" si="81"/>
        <v>6976.5199999999968</v>
      </c>
      <c r="AV74" s="4">
        <f t="shared" si="82"/>
        <v>1116.5199999999968</v>
      </c>
      <c r="AW74" s="4">
        <f t="shared" si="83"/>
        <v>1116.5199999999968</v>
      </c>
      <c r="AX74" s="5">
        <f t="shared" si="84"/>
        <v>2.137965528149401E-2</v>
      </c>
      <c r="AY74" s="4">
        <f t="shared" si="85"/>
        <v>53340</v>
      </c>
      <c r="AZ74" s="3">
        <f t="shared" si="86"/>
        <v>0</v>
      </c>
      <c r="BA74" s="4">
        <f t="shared" si="87"/>
        <v>57440.605652000006</v>
      </c>
      <c r="BB74" s="4">
        <f t="shared" si="88"/>
        <v>18467.154717118003</v>
      </c>
      <c r="BC74" s="4">
        <f t="shared" si="89"/>
        <v>57440.605652000006</v>
      </c>
      <c r="BD74" s="4">
        <f t="shared" si="90"/>
        <v>18467.154717118003</v>
      </c>
      <c r="BE74" s="4">
        <f t="shared" si="91"/>
        <v>58668.666000000005</v>
      </c>
      <c r="BF74" s="4">
        <f t="shared" si="92"/>
        <v>18861.976119000003</v>
      </c>
      <c r="BG74" s="4">
        <f t="shared" si="93"/>
        <v>0</v>
      </c>
      <c r="BH74" s="4">
        <f t="shared" si="94"/>
        <v>0</v>
      </c>
      <c r="BI74" s="4">
        <f t="shared" si="95"/>
        <v>0</v>
      </c>
      <c r="BJ74" s="4">
        <f t="shared" si="96"/>
        <v>1116.5199999999968</v>
      </c>
      <c r="BK74" s="4">
        <f t="shared" si="97"/>
        <v>111.54034799999968</v>
      </c>
      <c r="BL74" s="4">
        <f t="shared" si="98"/>
        <v>394.82140188199992</v>
      </c>
      <c r="BM74" s="4">
        <f t="shared" si="99"/>
        <v>52223.48</v>
      </c>
      <c r="BN74" s="4">
        <f t="shared" si="100"/>
        <v>2088.9392000000003</v>
      </c>
      <c r="BO74" s="4">
        <f t="shared" si="101"/>
        <v>2088.9392000000003</v>
      </c>
      <c r="BP74" s="4">
        <f t="shared" si="102"/>
        <v>208.68502608000003</v>
      </c>
      <c r="BQ74" s="4">
        <f t="shared" si="103"/>
        <v>59738.229878080012</v>
      </c>
      <c r="BR74" s="4">
        <f t="shared" si="104"/>
        <v>19205.840905802725</v>
      </c>
      <c r="BS74" s="4">
        <f t="shared" si="105"/>
        <v>738.68618868472186</v>
      </c>
      <c r="BT74" s="4">
        <f t="shared" si="106"/>
        <v>57440.605652000006</v>
      </c>
      <c r="BU74" s="4">
        <f t="shared" si="107"/>
        <v>58668.666000000005</v>
      </c>
      <c r="BV74" s="7">
        <f t="shared" si="108"/>
        <v>410680.66200000001</v>
      </c>
      <c r="BW74" s="7">
        <f t="shared" si="109"/>
        <v>299246.33746201236</v>
      </c>
    </row>
    <row r="75" spans="1:75" x14ac:dyDescent="0.3">
      <c r="A75" s="3">
        <f t="shared" si="55"/>
        <v>71</v>
      </c>
      <c r="B75" t="str">
        <f>INDEX(Employees!$A:$A,A75+1)</f>
        <v>E071</v>
      </c>
      <c r="C75" t="str">
        <f>INDEX(Employees!$A:$Z,MATCH(B75,Employees!$A:$A,0),MATCH("category",Employees!$1:$1,0))</f>
        <v>Operations</v>
      </c>
      <c r="D75" t="str">
        <f>INDEX(Employees!$A:$Z,MATCH(B75,Employees!$A:$A,0),MATCH("gender",Employees!$1:$1,0))</f>
        <v>F</v>
      </c>
      <c r="E75" s="3">
        <f>INDEX(Employees!$A:$Z,MATCH(B75,Employees!$A:$A,0),MATCH("grade",Employees!$1:$1,0))</f>
        <v>6</v>
      </c>
      <c r="F75" s="3">
        <f>INDEX(Employees!$A:$Z,MATCH(B75,Employees!$A:$A,0),MATCH("rating",Employees!$1:$1,0))</f>
        <v>3</v>
      </c>
      <c r="G75" s="22">
        <f>INDEX(Employees!$A:$Z,MATCH(B75,Employees!$A:$A,0),MATCH("hire_date",Employees!$1:$1,0))</f>
        <v>45054</v>
      </c>
      <c r="H75" s="22">
        <f>INDEX(Employees!$A:$Z,MATCH(B75,Employees!$A:$A,0),MATCH("last_change_date",Employees!$1:$1,0))</f>
        <v>46113</v>
      </c>
      <c r="I75" s="4">
        <f>INDEX(Employees!$A:$Z,MATCH(B75,Employees!$A:$A,0),MATCH("base_salary",Employees!$1:$1,0))</f>
        <v>46899.73</v>
      </c>
      <c r="J75" s="5">
        <f>INDEX(Employees!$A:$Z,MATCH(B75,Employees!$A:$A,0),MATCH("bonus_pct",Employees!$1:$1,0))/100</f>
        <v>7.9299999999999995E-2</v>
      </c>
      <c r="K75" s="7">
        <f>INDEX(Employees!$A:$Z,MATCH(B75,Employees!$A:$A,0),MATCH("fte",Employees!$1:$1,0))</f>
        <v>1</v>
      </c>
      <c r="L75" s="3">
        <f>IF(ISNA(MATCH(C75&amp;"|"&amp;E75,Bands!$F:$F,0)),0,1)</f>
        <v>1</v>
      </c>
      <c r="M75" s="4">
        <f>INDEX(Bands!$C:$C,MATCH(C75&amp;"|"&amp;E75,Bands!$F:$F,0))</f>
        <v>37000</v>
      </c>
      <c r="N75" s="4">
        <f>INDEX(Bands!$D:$D,MATCH(C75&amp;"|"&amp;E75,Bands!$F:$F,0))</f>
        <v>44400</v>
      </c>
      <c r="O75" s="4">
        <f>INDEX(Bands!$E:$E,MATCH(C75&amp;"|"&amp;E75,Bands!$F:$F,0))</f>
        <v>51800</v>
      </c>
      <c r="P75" s="7">
        <f t="shared" si="56"/>
        <v>3.8986995208761122</v>
      </c>
      <c r="Q75" s="4">
        <f t="shared" si="57"/>
        <v>50618.878589</v>
      </c>
      <c r="R75" s="7">
        <f t="shared" si="58"/>
        <v>36</v>
      </c>
      <c r="S75" s="7">
        <f t="shared" si="59"/>
        <v>15.199857954079626</v>
      </c>
      <c r="T75" s="7">
        <f t="shared" si="60"/>
        <v>23.392197125256672</v>
      </c>
      <c r="U75" s="7">
        <f t="shared" si="61"/>
        <v>303713.271534</v>
      </c>
      <c r="V75" s="7">
        <f t="shared" si="62"/>
        <v>197347.79770222038</v>
      </c>
      <c r="W75" s="4">
        <f t="shared" si="63"/>
        <v>50618.879999999997</v>
      </c>
      <c r="X75" s="3">
        <f t="shared" si="64"/>
        <v>17</v>
      </c>
      <c r="Y75" s="4">
        <f>INDEX(Categories!$AH:$AH,MATCH(C75,Categories!$A:$A,0))</f>
        <v>51811.839122000005</v>
      </c>
      <c r="Z75" s="3">
        <f>IF(AND(D75="F",Q75&lt;Y75,INDEX(Categories!$AI:$AI,MATCH(C75,Categories!$A:$A,0))&gt;0),1,0)</f>
        <v>1</v>
      </c>
      <c r="AA75" s="4">
        <f t="shared" si="65"/>
        <v>1192.9605330000049</v>
      </c>
      <c r="AB75" s="4">
        <f>IF(Z75=1,INDEX(Categories!$AI:$AI,MATCH(C75,Categories!$A:$A,0))*AA75/INDEX(Categories!$AJ:$AJ,MATCH(C75,Categories!$A:$A,0)),0)</f>
        <v>93.902654490805986</v>
      </c>
      <c r="AC75" s="4">
        <f t="shared" si="66"/>
        <v>87.003293329756318</v>
      </c>
      <c r="AD75" s="4">
        <f t="shared" si="67"/>
        <v>46986.733293329758</v>
      </c>
      <c r="AE75" s="3">
        <f t="shared" si="68"/>
        <v>0</v>
      </c>
      <c r="AF75" s="3">
        <f t="shared" si="69"/>
        <v>46</v>
      </c>
      <c r="AG75" s="3">
        <f t="shared" si="70"/>
        <v>12</v>
      </c>
      <c r="AH75" s="3">
        <f t="shared" si="71"/>
        <v>1</v>
      </c>
      <c r="AI75" s="5">
        <f t="shared" si="72"/>
        <v>1.0582597588587783</v>
      </c>
      <c r="AJ75" s="3">
        <f>MATCH(AI75,Inputs!$B$31:$B$34,1)</f>
        <v>3</v>
      </c>
      <c r="AK75" s="5">
        <f>INDEX(Inputs!$C$21:$C$25,MATCH(F75,Inputs!$A$21:$A$25,0))</f>
        <v>1</v>
      </c>
      <c r="AL75" s="5">
        <f>INDEX(Inputs!$D$21:$D$25,MATCH(F75,Inputs!$A$21:$A$25,0))</f>
        <v>0</v>
      </c>
      <c r="AM75" s="4">
        <f t="shared" si="73"/>
        <v>44400</v>
      </c>
      <c r="AN75" s="4">
        <f t="shared" si="74"/>
        <v>0</v>
      </c>
      <c r="AO75" s="3">
        <f t="shared" si="75"/>
        <v>1</v>
      </c>
      <c r="AP75" s="4">
        <f t="shared" si="76"/>
        <v>14096.019987998927</v>
      </c>
      <c r="AQ75" s="4">
        <f t="shared" si="77"/>
        <v>0</v>
      </c>
      <c r="AR75" s="4">
        <f t="shared" si="78"/>
        <v>0</v>
      </c>
      <c r="AS75" s="3">
        <f t="shared" si="79"/>
        <v>0</v>
      </c>
      <c r="AT75" s="4">
        <f t="shared" si="80"/>
        <v>0</v>
      </c>
      <c r="AU75" s="4">
        <f t="shared" si="81"/>
        <v>4813.2667066702415</v>
      </c>
      <c r="AV75" s="4">
        <f t="shared" si="82"/>
        <v>0</v>
      </c>
      <c r="AW75" s="4">
        <f t="shared" si="83"/>
        <v>0</v>
      </c>
      <c r="AX75" s="5">
        <f t="shared" si="84"/>
        <v>0</v>
      </c>
      <c r="AY75" s="4">
        <f t="shared" si="85"/>
        <v>46986.733293329758</v>
      </c>
      <c r="AZ75" s="3">
        <f t="shared" si="86"/>
        <v>0</v>
      </c>
      <c r="BA75" s="4">
        <f t="shared" si="87"/>
        <v>50618.878589</v>
      </c>
      <c r="BB75" s="4">
        <f t="shared" si="88"/>
        <v>16273.9694663635</v>
      </c>
      <c r="BC75" s="4">
        <f t="shared" si="89"/>
        <v>50712.781243490805</v>
      </c>
      <c r="BD75" s="4">
        <f t="shared" si="90"/>
        <v>16304.159169782293</v>
      </c>
      <c r="BE75" s="4">
        <f t="shared" si="91"/>
        <v>50712.781243490805</v>
      </c>
      <c r="BF75" s="4">
        <f t="shared" si="92"/>
        <v>16304.159169782293</v>
      </c>
      <c r="BG75" s="4">
        <f t="shared" si="93"/>
        <v>87.003293329756318</v>
      </c>
      <c r="BH75" s="4">
        <f t="shared" si="94"/>
        <v>6.8993611610496757</v>
      </c>
      <c r="BI75" s="4">
        <f t="shared" si="95"/>
        <v>30.189703418793215</v>
      </c>
      <c r="BJ75" s="4">
        <f t="shared" si="96"/>
        <v>0</v>
      </c>
      <c r="BK75" s="4">
        <f t="shared" si="97"/>
        <v>0</v>
      </c>
      <c r="BL75" s="4">
        <f t="shared" si="98"/>
        <v>0</v>
      </c>
      <c r="BM75" s="4">
        <f t="shared" si="99"/>
        <v>46986.733293329758</v>
      </c>
      <c r="BN75" s="4">
        <f t="shared" si="100"/>
        <v>1879.4693317331903</v>
      </c>
      <c r="BO75" s="4">
        <f t="shared" si="101"/>
        <v>1879.4693317331903</v>
      </c>
      <c r="BP75" s="4">
        <f t="shared" si="102"/>
        <v>149.04191800644199</v>
      </c>
      <c r="BQ75" s="4">
        <f t="shared" si="103"/>
        <v>52741.292493230438</v>
      </c>
      <c r="BR75" s="4">
        <f t="shared" si="104"/>
        <v>16956.325536573586</v>
      </c>
      <c r="BS75" s="4">
        <f t="shared" si="105"/>
        <v>652.1663667912926</v>
      </c>
      <c r="BT75" s="4">
        <f t="shared" si="106"/>
        <v>50712.781243490805</v>
      </c>
      <c r="BU75" s="4">
        <f t="shared" si="107"/>
        <v>50712.781243490805</v>
      </c>
      <c r="BV75" s="7">
        <f t="shared" si="108"/>
        <v>304276.68746094481</v>
      </c>
      <c r="BW75" s="7">
        <f t="shared" si="109"/>
        <v>197713.89593629268</v>
      </c>
    </row>
    <row r="76" spans="1:75" x14ac:dyDescent="0.3">
      <c r="A76" s="3">
        <f t="shared" si="55"/>
        <v>72</v>
      </c>
      <c r="B76" t="str">
        <f>INDEX(Employees!$A:$A,A76+1)</f>
        <v>E072</v>
      </c>
      <c r="C76" t="str">
        <f>INDEX(Employees!$A:$Z,MATCH(B76,Employees!$A:$A,0),MATCH("category",Employees!$1:$1,0))</f>
        <v>Operations</v>
      </c>
      <c r="D76" t="str">
        <f>INDEX(Employees!$A:$Z,MATCH(B76,Employees!$A:$A,0),MATCH("gender",Employees!$1:$1,0))</f>
        <v>F</v>
      </c>
      <c r="E76" s="3">
        <f>INDEX(Employees!$A:$Z,MATCH(B76,Employees!$A:$A,0),MATCH("grade",Employees!$1:$1,0))</f>
        <v>6</v>
      </c>
      <c r="F76" s="3">
        <f>INDEX(Employees!$A:$Z,MATCH(B76,Employees!$A:$A,0),MATCH("rating",Employees!$1:$1,0))</f>
        <v>2</v>
      </c>
      <c r="G76" s="22">
        <f>INDEX(Employees!$A:$Z,MATCH(B76,Employees!$A:$A,0),MATCH("hire_date",Employees!$1:$1,0))</f>
        <v>44067</v>
      </c>
      <c r="H76" s="22">
        <f>INDEX(Employees!$A:$Z,MATCH(B76,Employees!$A:$A,0),MATCH("last_change_date",Employees!$1:$1,0))</f>
        <v>46113</v>
      </c>
      <c r="I76" s="4">
        <f>INDEX(Employees!$A:$Z,MATCH(B76,Employees!$A:$A,0),MATCH("base_salary",Employees!$1:$1,0))</f>
        <v>46883.03</v>
      </c>
      <c r="J76" s="5">
        <f>INDEX(Employees!$A:$Z,MATCH(B76,Employees!$A:$A,0),MATCH("bonus_pct",Employees!$1:$1,0))/100</f>
        <v>8.2899999999999988E-2</v>
      </c>
      <c r="K76" s="7">
        <f>INDEX(Employees!$A:$Z,MATCH(B76,Employees!$A:$A,0),MATCH("fte",Employees!$1:$1,0))</f>
        <v>1</v>
      </c>
      <c r="L76" s="3">
        <f>IF(ISNA(MATCH(C76&amp;"|"&amp;E76,Bands!$F:$F,0)),0,1)</f>
        <v>1</v>
      </c>
      <c r="M76" s="4">
        <f>INDEX(Bands!$C:$C,MATCH(C76&amp;"|"&amp;E76,Bands!$F:$F,0))</f>
        <v>37000</v>
      </c>
      <c r="N76" s="4">
        <f>INDEX(Bands!$D:$D,MATCH(C76&amp;"|"&amp;E76,Bands!$F:$F,0))</f>
        <v>44400</v>
      </c>
      <c r="O76" s="4">
        <f>INDEX(Bands!$E:$E,MATCH(C76&amp;"|"&amp;E76,Bands!$F:$F,0))</f>
        <v>51800</v>
      </c>
      <c r="P76" s="7">
        <f t="shared" si="56"/>
        <v>6.6009582477754964</v>
      </c>
      <c r="Q76" s="4">
        <f t="shared" si="57"/>
        <v>50769.633186999999</v>
      </c>
      <c r="R76" s="7">
        <f t="shared" si="58"/>
        <v>36</v>
      </c>
      <c r="S76" s="7">
        <f t="shared" si="59"/>
        <v>43.572649788875353</v>
      </c>
      <c r="T76" s="7">
        <f t="shared" si="60"/>
        <v>39.605749486652982</v>
      </c>
      <c r="U76" s="7">
        <f t="shared" si="61"/>
        <v>304617.799122</v>
      </c>
      <c r="V76" s="7">
        <f t="shared" si="62"/>
        <v>335128.22892226418</v>
      </c>
      <c r="W76" s="4">
        <f t="shared" si="63"/>
        <v>50769.63</v>
      </c>
      <c r="X76" s="3">
        <f t="shared" si="64"/>
        <v>18</v>
      </c>
      <c r="Y76" s="4">
        <f>INDEX(Categories!$AH:$AH,MATCH(C76,Categories!$A:$A,0))</f>
        <v>51811.839122000005</v>
      </c>
      <c r="Z76" s="3">
        <f>IF(AND(D76="F",Q76&lt;Y76,INDEX(Categories!$AI:$AI,MATCH(C76,Categories!$A:$A,0))&gt;0),1,0)</f>
        <v>1</v>
      </c>
      <c r="AA76" s="4">
        <f t="shared" si="65"/>
        <v>1042.2059350000054</v>
      </c>
      <c r="AB76" s="4">
        <f>IF(Z76=1,INDEX(Categories!$AI:$AI,MATCH(C76,Categories!$A:$A,0))*AA76/INDEX(Categories!$AJ:$AJ,MATCH(C76,Categories!$A:$A,0)),0)</f>
        <v>82.03616223284773</v>
      </c>
      <c r="AC76" s="4">
        <f t="shared" si="66"/>
        <v>75.755990611180835</v>
      </c>
      <c r="AD76" s="4">
        <f t="shared" si="67"/>
        <v>46958.785990611177</v>
      </c>
      <c r="AE76" s="3">
        <f t="shared" si="68"/>
        <v>0</v>
      </c>
      <c r="AF76" s="3">
        <f t="shared" si="69"/>
        <v>79</v>
      </c>
      <c r="AG76" s="3">
        <f t="shared" si="70"/>
        <v>12</v>
      </c>
      <c r="AH76" s="3">
        <f t="shared" si="71"/>
        <v>1</v>
      </c>
      <c r="AI76" s="5">
        <f t="shared" si="72"/>
        <v>1.0576303151038553</v>
      </c>
      <c r="AJ76" s="3">
        <f>MATCH(AI76,Inputs!$B$31:$B$34,1)</f>
        <v>3</v>
      </c>
      <c r="AK76" s="5">
        <f>INDEX(Inputs!$C$21:$C$25,MATCH(F76,Inputs!$A$21:$A$25,0))</f>
        <v>0.95</v>
      </c>
      <c r="AL76" s="5">
        <f>INDEX(Inputs!$D$21:$D$25,MATCH(F76,Inputs!$A$21:$A$25,0))</f>
        <v>0</v>
      </c>
      <c r="AM76" s="4">
        <f t="shared" si="73"/>
        <v>42180</v>
      </c>
      <c r="AN76" s="4">
        <f t="shared" si="74"/>
        <v>0</v>
      </c>
      <c r="AO76" s="3">
        <f t="shared" si="75"/>
        <v>1</v>
      </c>
      <c r="AP76" s="4">
        <f t="shared" si="76"/>
        <v>14087.635797183353</v>
      </c>
      <c r="AQ76" s="4">
        <f t="shared" si="77"/>
        <v>0</v>
      </c>
      <c r="AR76" s="4">
        <f t="shared" si="78"/>
        <v>0</v>
      </c>
      <c r="AS76" s="3">
        <f t="shared" si="79"/>
        <v>0</v>
      </c>
      <c r="AT76" s="4">
        <f t="shared" si="80"/>
        <v>0</v>
      </c>
      <c r="AU76" s="4">
        <f t="shared" si="81"/>
        <v>4841.2140093888229</v>
      </c>
      <c r="AV76" s="4">
        <f t="shared" si="82"/>
        <v>0</v>
      </c>
      <c r="AW76" s="4">
        <f t="shared" si="83"/>
        <v>0</v>
      </c>
      <c r="AX76" s="5">
        <f t="shared" si="84"/>
        <v>0</v>
      </c>
      <c r="AY76" s="4">
        <f t="shared" si="85"/>
        <v>46958.785990611177</v>
      </c>
      <c r="AZ76" s="3">
        <f t="shared" si="86"/>
        <v>0</v>
      </c>
      <c r="BA76" s="4">
        <f t="shared" si="87"/>
        <v>50769.633186999999</v>
      </c>
      <c r="BB76" s="4">
        <f t="shared" si="88"/>
        <v>16322.437069620501</v>
      </c>
      <c r="BC76" s="4">
        <f t="shared" si="89"/>
        <v>50851.669349232841</v>
      </c>
      <c r="BD76" s="4">
        <f t="shared" si="90"/>
        <v>16348.811695778359</v>
      </c>
      <c r="BE76" s="4">
        <f t="shared" si="91"/>
        <v>50851.669349232841</v>
      </c>
      <c r="BF76" s="4">
        <f t="shared" si="92"/>
        <v>16348.811695778359</v>
      </c>
      <c r="BG76" s="4">
        <f t="shared" si="93"/>
        <v>75.755990611180835</v>
      </c>
      <c r="BH76" s="4">
        <f t="shared" si="94"/>
        <v>6.2801716216668906</v>
      </c>
      <c r="BI76" s="4">
        <f t="shared" si="95"/>
        <v>26.374626157858074</v>
      </c>
      <c r="BJ76" s="4">
        <f t="shared" si="96"/>
        <v>0</v>
      </c>
      <c r="BK76" s="4">
        <f t="shared" si="97"/>
        <v>0</v>
      </c>
      <c r="BL76" s="4">
        <f t="shared" si="98"/>
        <v>0</v>
      </c>
      <c r="BM76" s="4">
        <f t="shared" si="99"/>
        <v>46958.785990611177</v>
      </c>
      <c r="BN76" s="4">
        <f t="shared" si="100"/>
        <v>1878.351439624447</v>
      </c>
      <c r="BO76" s="4">
        <f t="shared" si="101"/>
        <v>1878.351439624447</v>
      </c>
      <c r="BP76" s="4">
        <f t="shared" si="102"/>
        <v>155.71533434486665</v>
      </c>
      <c r="BQ76" s="4">
        <f t="shared" si="103"/>
        <v>52885.736123202158</v>
      </c>
      <c r="BR76" s="4">
        <f t="shared" si="104"/>
        <v>17002.764163609496</v>
      </c>
      <c r="BS76" s="4">
        <f t="shared" si="105"/>
        <v>653.95246783113726</v>
      </c>
      <c r="BT76" s="4">
        <f t="shared" si="106"/>
        <v>50851.669349232841</v>
      </c>
      <c r="BU76" s="4">
        <f t="shared" si="107"/>
        <v>50851.669349232841</v>
      </c>
      <c r="BV76" s="7">
        <f t="shared" si="108"/>
        <v>305110.01609539706</v>
      </c>
      <c r="BW76" s="7">
        <f t="shared" si="109"/>
        <v>335669.74620397092</v>
      </c>
    </row>
    <row r="77" spans="1:75" x14ac:dyDescent="0.3">
      <c r="A77" s="3">
        <f t="shared" si="55"/>
        <v>73</v>
      </c>
      <c r="B77" t="str">
        <f>INDEX(Employees!$A:$A,A77+1)</f>
        <v>E073</v>
      </c>
      <c r="C77" t="str">
        <f>INDEX(Employees!$A:$Z,MATCH(B77,Employees!$A:$A,0),MATCH("category",Employees!$1:$1,0))</f>
        <v>Operations</v>
      </c>
      <c r="D77" t="str">
        <f>INDEX(Employees!$A:$Z,MATCH(B77,Employees!$A:$A,0),MATCH("gender",Employees!$1:$1,0))</f>
        <v>M</v>
      </c>
      <c r="E77" s="3">
        <f>INDEX(Employees!$A:$Z,MATCH(B77,Employees!$A:$A,0),MATCH("grade",Employees!$1:$1,0))</f>
        <v>8</v>
      </c>
      <c r="F77" s="3">
        <f>INDEX(Employees!$A:$Z,MATCH(B77,Employees!$A:$A,0),MATCH("rating",Employees!$1:$1,0))</f>
        <v>4</v>
      </c>
      <c r="G77" s="22">
        <f>INDEX(Employees!$A:$Z,MATCH(B77,Employees!$A:$A,0),MATCH("hire_date",Employees!$1:$1,0))</f>
        <v>43227</v>
      </c>
      <c r="H77" s="22">
        <f>INDEX(Employees!$A:$Z,MATCH(B77,Employees!$A:$A,0),MATCH("last_change_date",Employees!$1:$1,0))</f>
        <v>46113</v>
      </c>
      <c r="I77" s="4">
        <f>INDEX(Employees!$A:$Z,MATCH(B77,Employees!$A:$A,0),MATCH("base_salary",Employees!$1:$1,0))</f>
        <v>60207.88</v>
      </c>
      <c r="J77" s="5">
        <f>INDEX(Employees!$A:$Z,MATCH(B77,Employees!$A:$A,0),MATCH("bonus_pct",Employees!$1:$1,0))/100</f>
        <v>7.4999999999999997E-2</v>
      </c>
      <c r="K77" s="7">
        <f>INDEX(Employees!$A:$Z,MATCH(B77,Employees!$A:$A,0),MATCH("fte",Employees!$1:$1,0))</f>
        <v>1</v>
      </c>
      <c r="L77" s="3">
        <f>IF(ISNA(MATCH(C77&amp;"|"&amp;E77,Bands!$F:$F,0)),0,1)</f>
        <v>1</v>
      </c>
      <c r="M77" s="4">
        <f>INDEX(Bands!$C:$C,MATCH(C77&amp;"|"&amp;E77,Bands!$F:$F,0))</f>
        <v>48400</v>
      </c>
      <c r="N77" s="4">
        <f>INDEX(Bands!$D:$D,MATCH(C77&amp;"|"&amp;E77,Bands!$F:$F,0))</f>
        <v>58100</v>
      </c>
      <c r="O77" s="4">
        <f>INDEX(Bands!$E:$E,MATCH(C77&amp;"|"&amp;E77,Bands!$F:$F,0))</f>
        <v>67800</v>
      </c>
      <c r="P77" s="7">
        <f t="shared" si="56"/>
        <v>8.9007529089664619</v>
      </c>
      <c r="Q77" s="4">
        <f t="shared" si="57"/>
        <v>64723.470999999998</v>
      </c>
      <c r="R77" s="7">
        <f t="shared" si="58"/>
        <v>64</v>
      </c>
      <c r="S77" s="7">
        <f t="shared" si="59"/>
        <v>79.223402346474927</v>
      </c>
      <c r="T77" s="7">
        <f t="shared" si="60"/>
        <v>71.206023271731695</v>
      </c>
      <c r="U77" s="7">
        <f t="shared" si="61"/>
        <v>517787.76799999998</v>
      </c>
      <c r="V77" s="7">
        <f t="shared" si="62"/>
        <v>576087.62278165645</v>
      </c>
      <c r="W77" s="4">
        <f t="shared" si="63"/>
        <v>64723.47</v>
      </c>
      <c r="X77" s="3">
        <f t="shared" si="64"/>
        <v>32</v>
      </c>
      <c r="Y77" s="4">
        <f>INDEX(Categories!$AH:$AH,MATCH(C77,Categories!$A:$A,0))</f>
        <v>51811.839122000005</v>
      </c>
      <c r="Z77" s="3">
        <f>IF(AND(D77="F",Q77&lt;Y77,INDEX(Categories!$AI:$AI,MATCH(C77,Categories!$A:$A,0))&gt;0),1,0)</f>
        <v>0</v>
      </c>
      <c r="AA77" s="4">
        <f t="shared" si="65"/>
        <v>0</v>
      </c>
      <c r="AB77" s="4">
        <f>IF(Z77=1,INDEX(Categories!$AI:$AI,MATCH(C77,Categories!$A:$A,0))*AA77/INDEX(Categories!$AJ:$AJ,MATCH(C77,Categories!$A:$A,0)),0)</f>
        <v>0</v>
      </c>
      <c r="AC77" s="4">
        <f t="shared" si="66"/>
        <v>0</v>
      </c>
      <c r="AD77" s="4">
        <f t="shared" si="67"/>
        <v>60207.88</v>
      </c>
      <c r="AE77" s="3">
        <f t="shared" si="68"/>
        <v>0</v>
      </c>
      <c r="AF77" s="3">
        <f t="shared" si="69"/>
        <v>106</v>
      </c>
      <c r="AG77" s="3">
        <f t="shared" si="70"/>
        <v>12</v>
      </c>
      <c r="AH77" s="3">
        <f t="shared" si="71"/>
        <v>1</v>
      </c>
      <c r="AI77" s="5">
        <f t="shared" si="72"/>
        <v>1.0362802065404475</v>
      </c>
      <c r="AJ77" s="3">
        <f>MATCH(AI77,Inputs!$B$31:$B$34,1)</f>
        <v>3</v>
      </c>
      <c r="AK77" s="5">
        <f>INDEX(Inputs!$C$21:$C$25,MATCH(F77,Inputs!$A$21:$A$25,0))</f>
        <v>1.05</v>
      </c>
      <c r="AL77" s="5">
        <f>INDEX(Inputs!$D$21:$D$25,MATCH(F77,Inputs!$A$21:$A$25,0))</f>
        <v>0.01</v>
      </c>
      <c r="AM77" s="4">
        <f t="shared" si="73"/>
        <v>61005</v>
      </c>
      <c r="AN77" s="4">
        <f t="shared" si="74"/>
        <v>797.12000000000262</v>
      </c>
      <c r="AO77" s="3">
        <f t="shared" si="75"/>
        <v>1</v>
      </c>
      <c r="AP77" s="4">
        <f t="shared" si="76"/>
        <v>18062.363999999998</v>
      </c>
      <c r="AQ77" s="4">
        <f t="shared" si="77"/>
        <v>602.0788</v>
      </c>
      <c r="AR77" s="4">
        <f t="shared" si="78"/>
        <v>797.12000000000262</v>
      </c>
      <c r="AS77" s="3">
        <f t="shared" si="79"/>
        <v>0</v>
      </c>
      <c r="AT77" s="4">
        <f t="shared" si="80"/>
        <v>797.12000000000262</v>
      </c>
      <c r="AU77" s="4">
        <f t="shared" si="81"/>
        <v>7592.1200000000026</v>
      </c>
      <c r="AV77" s="4">
        <f t="shared" si="82"/>
        <v>797.12000000000262</v>
      </c>
      <c r="AW77" s="4">
        <f t="shared" si="83"/>
        <v>797.12000000000262</v>
      </c>
      <c r="AX77" s="5">
        <f t="shared" si="84"/>
        <v>1.3239463007167877E-2</v>
      </c>
      <c r="AY77" s="4">
        <f t="shared" si="85"/>
        <v>61005</v>
      </c>
      <c r="AZ77" s="3">
        <f t="shared" si="86"/>
        <v>0</v>
      </c>
      <c r="BA77" s="4">
        <f t="shared" si="87"/>
        <v>64723.470999999998</v>
      </c>
      <c r="BB77" s="4">
        <f t="shared" si="88"/>
        <v>19714.1166816</v>
      </c>
      <c r="BC77" s="4">
        <f t="shared" si="89"/>
        <v>64723.470999999998</v>
      </c>
      <c r="BD77" s="4">
        <f t="shared" si="90"/>
        <v>19714.1166816</v>
      </c>
      <c r="BE77" s="4">
        <f t="shared" si="91"/>
        <v>65580.375</v>
      </c>
      <c r="BF77" s="4">
        <f t="shared" si="92"/>
        <v>19722.342959999998</v>
      </c>
      <c r="BG77" s="4">
        <f t="shared" si="93"/>
        <v>0</v>
      </c>
      <c r="BH77" s="4">
        <f t="shared" si="94"/>
        <v>0</v>
      </c>
      <c r="BI77" s="4">
        <f t="shared" si="95"/>
        <v>0</v>
      </c>
      <c r="BJ77" s="4">
        <f t="shared" si="96"/>
        <v>797.12000000000262</v>
      </c>
      <c r="BK77" s="4">
        <f t="shared" si="97"/>
        <v>59.784000000000191</v>
      </c>
      <c r="BL77" s="4">
        <f t="shared" si="98"/>
        <v>8.2262783999976818</v>
      </c>
      <c r="BM77" s="4">
        <f t="shared" si="99"/>
        <v>60207.88</v>
      </c>
      <c r="BN77" s="4">
        <f t="shared" si="100"/>
        <v>2408.3152</v>
      </c>
      <c r="BO77" s="4">
        <f t="shared" si="101"/>
        <v>2408.3152</v>
      </c>
      <c r="BP77" s="4">
        <f t="shared" si="102"/>
        <v>180.62363999999999</v>
      </c>
      <c r="BQ77" s="4">
        <f t="shared" si="103"/>
        <v>67312.409839999993</v>
      </c>
      <c r="BR77" s="4">
        <f t="shared" si="104"/>
        <v>19738.970494464</v>
      </c>
      <c r="BS77" s="4">
        <f t="shared" si="105"/>
        <v>24.853812863999337</v>
      </c>
      <c r="BT77" s="4">
        <f t="shared" si="106"/>
        <v>64723.470999999998</v>
      </c>
      <c r="BU77" s="4">
        <f t="shared" si="107"/>
        <v>65580.375</v>
      </c>
      <c r="BV77" s="7">
        <f t="shared" si="108"/>
        <v>524643</v>
      </c>
      <c r="BW77" s="7">
        <f t="shared" si="109"/>
        <v>583714.71355236147</v>
      </c>
    </row>
    <row r="78" spans="1:75" x14ac:dyDescent="0.3">
      <c r="A78" s="3">
        <f t="shared" si="55"/>
        <v>74</v>
      </c>
      <c r="B78" t="str">
        <f>INDEX(Employees!$A:$A,A78+1)</f>
        <v>E074</v>
      </c>
      <c r="C78" t="str">
        <f>INDEX(Employees!$A:$Z,MATCH(B78,Employees!$A:$A,0),MATCH("category",Employees!$1:$1,0))</f>
        <v>Operations</v>
      </c>
      <c r="D78" t="str">
        <f>INDEX(Employees!$A:$Z,MATCH(B78,Employees!$A:$A,0),MATCH("gender",Employees!$1:$1,0))</f>
        <v>F</v>
      </c>
      <c r="E78" s="3">
        <f>INDEX(Employees!$A:$Z,MATCH(B78,Employees!$A:$A,0),MATCH("grade",Employees!$1:$1,0))</f>
        <v>6</v>
      </c>
      <c r="F78" s="3">
        <f>INDEX(Employees!$A:$Z,MATCH(B78,Employees!$A:$A,0),MATCH("rating",Employees!$1:$1,0))</f>
        <v>3</v>
      </c>
      <c r="G78" s="22">
        <f>INDEX(Employees!$A:$Z,MATCH(B78,Employees!$A:$A,0),MATCH("hire_date",Employees!$1:$1,0))</f>
        <v>44469</v>
      </c>
      <c r="H78" s="22">
        <f>INDEX(Employees!$A:$Z,MATCH(B78,Employees!$A:$A,0),MATCH("last_change_date",Employees!$1:$1,0))</f>
        <v>46113</v>
      </c>
      <c r="I78" s="4">
        <f>INDEX(Employees!$A:$Z,MATCH(B78,Employees!$A:$A,0),MATCH("base_salary",Employees!$1:$1,0))</f>
        <v>40428.870000000003</v>
      </c>
      <c r="J78" s="5">
        <f>INDEX(Employees!$A:$Z,MATCH(B78,Employees!$A:$A,0),MATCH("bonus_pct",Employees!$1:$1,0))/100</f>
        <v>8.5299999999999987E-2</v>
      </c>
      <c r="K78" s="7">
        <f>INDEX(Employees!$A:$Z,MATCH(B78,Employees!$A:$A,0),MATCH("fte",Employees!$1:$1,0))</f>
        <v>1</v>
      </c>
      <c r="L78" s="3">
        <f>IF(ISNA(MATCH(C78&amp;"|"&amp;E78,Bands!$F:$F,0)),0,1)</f>
        <v>1</v>
      </c>
      <c r="M78" s="4">
        <f>INDEX(Bands!$C:$C,MATCH(C78&amp;"|"&amp;E78,Bands!$F:$F,0))</f>
        <v>37000</v>
      </c>
      <c r="N78" s="4">
        <f>INDEX(Bands!$D:$D,MATCH(C78&amp;"|"&amp;E78,Bands!$F:$F,0))</f>
        <v>44400</v>
      </c>
      <c r="O78" s="4">
        <f>INDEX(Bands!$E:$E,MATCH(C78&amp;"|"&amp;E78,Bands!$F:$F,0))</f>
        <v>51800</v>
      </c>
      <c r="P78" s="7">
        <f t="shared" si="56"/>
        <v>5.5003422313483918</v>
      </c>
      <c r="Q78" s="4">
        <f t="shared" si="57"/>
        <v>43877.452611000001</v>
      </c>
      <c r="R78" s="7">
        <f t="shared" si="58"/>
        <v>36</v>
      </c>
      <c r="S78" s="7">
        <f t="shared" si="59"/>
        <v>30.253764661954605</v>
      </c>
      <c r="T78" s="7">
        <f t="shared" si="60"/>
        <v>33.002053388090353</v>
      </c>
      <c r="U78" s="7">
        <f t="shared" si="61"/>
        <v>263264.71566600003</v>
      </c>
      <c r="V78" s="7">
        <f t="shared" si="62"/>
        <v>241341.00560027108</v>
      </c>
      <c r="W78" s="4">
        <f t="shared" si="63"/>
        <v>43877.45</v>
      </c>
      <c r="X78" s="3">
        <f t="shared" si="64"/>
        <v>10</v>
      </c>
      <c r="Y78" s="4">
        <f>INDEX(Categories!$AH:$AH,MATCH(C78,Categories!$A:$A,0))</f>
        <v>51811.839122000005</v>
      </c>
      <c r="Z78" s="3">
        <f>IF(AND(D78="F",Q78&lt;Y78,INDEX(Categories!$AI:$AI,MATCH(C78,Categories!$A:$A,0))&gt;0),1,0)</f>
        <v>1</v>
      </c>
      <c r="AA78" s="4">
        <f t="shared" si="65"/>
        <v>7934.3865110000042</v>
      </c>
      <c r="AB78" s="4">
        <f>IF(Z78=1,INDEX(Categories!$AI:$AI,MATCH(C78,Categories!$A:$A,0))*AA78/INDEX(Categories!$AJ:$AJ,MATCH(C78,Categories!$A:$A,0)),0)</f>
        <v>624.5470277757646</v>
      </c>
      <c r="AC78" s="4">
        <f t="shared" si="66"/>
        <v>575.46026700061236</v>
      </c>
      <c r="AD78" s="4">
        <f t="shared" si="67"/>
        <v>41004.330267000616</v>
      </c>
      <c r="AE78" s="3">
        <f t="shared" si="68"/>
        <v>0</v>
      </c>
      <c r="AF78" s="3">
        <f t="shared" si="69"/>
        <v>66</v>
      </c>
      <c r="AG78" s="3">
        <f t="shared" si="70"/>
        <v>12</v>
      </c>
      <c r="AH78" s="3">
        <f t="shared" si="71"/>
        <v>1</v>
      </c>
      <c r="AI78" s="5">
        <f t="shared" si="72"/>
        <v>0.92352095195947337</v>
      </c>
      <c r="AJ78" s="3">
        <f>MATCH(AI78,Inputs!$B$31:$B$34,1)</f>
        <v>2</v>
      </c>
      <c r="AK78" s="5">
        <f>INDEX(Inputs!$C$21:$C$25,MATCH(F78,Inputs!$A$21:$A$25,0))</f>
        <v>1</v>
      </c>
      <c r="AL78" s="5">
        <f>INDEX(Inputs!$D$21:$D$25,MATCH(F78,Inputs!$A$21:$A$25,0))</f>
        <v>0</v>
      </c>
      <c r="AM78" s="4">
        <f t="shared" si="73"/>
        <v>44400</v>
      </c>
      <c r="AN78" s="4">
        <f t="shared" si="74"/>
        <v>3395.669732999384</v>
      </c>
      <c r="AO78" s="3">
        <f t="shared" si="75"/>
        <v>1</v>
      </c>
      <c r="AP78" s="4">
        <f t="shared" si="76"/>
        <v>12301.299080100185</v>
      </c>
      <c r="AQ78" s="4">
        <f t="shared" si="77"/>
        <v>0</v>
      </c>
      <c r="AR78" s="4">
        <f t="shared" si="78"/>
        <v>3395.669732999384</v>
      </c>
      <c r="AS78" s="3">
        <f t="shared" si="79"/>
        <v>0</v>
      </c>
      <c r="AT78" s="4">
        <f t="shared" si="80"/>
        <v>3395.669732999384</v>
      </c>
      <c r="AU78" s="4">
        <f t="shared" si="81"/>
        <v>10795.669732999384</v>
      </c>
      <c r="AV78" s="4">
        <f t="shared" si="82"/>
        <v>3395.669732999384</v>
      </c>
      <c r="AW78" s="4">
        <f t="shared" si="83"/>
        <v>3395.669732999384</v>
      </c>
      <c r="AX78" s="5">
        <f t="shared" si="84"/>
        <v>8.2812466656287387E-2</v>
      </c>
      <c r="AY78" s="4">
        <f t="shared" si="85"/>
        <v>44400</v>
      </c>
      <c r="AZ78" s="3">
        <f t="shared" si="86"/>
        <v>0</v>
      </c>
      <c r="BA78" s="4">
        <f t="shared" si="87"/>
        <v>43877.452611000001</v>
      </c>
      <c r="BB78" s="4">
        <f t="shared" si="88"/>
        <v>14106.601014436501</v>
      </c>
      <c r="BC78" s="4">
        <f t="shared" si="89"/>
        <v>44501.999638775764</v>
      </c>
      <c r="BD78" s="4">
        <f t="shared" si="90"/>
        <v>14307.392883866409</v>
      </c>
      <c r="BE78" s="4">
        <f t="shared" si="91"/>
        <v>48187.32</v>
      </c>
      <c r="BF78" s="4">
        <f t="shared" si="92"/>
        <v>15492.223379999999</v>
      </c>
      <c r="BG78" s="4">
        <f t="shared" si="93"/>
        <v>575.46026700061236</v>
      </c>
      <c r="BH78" s="4">
        <f t="shared" si="94"/>
        <v>49.086760775152229</v>
      </c>
      <c r="BI78" s="4">
        <f t="shared" si="95"/>
        <v>200.79186942990782</v>
      </c>
      <c r="BJ78" s="4">
        <f t="shared" si="96"/>
        <v>3395.669732999384</v>
      </c>
      <c r="BK78" s="4">
        <f t="shared" si="97"/>
        <v>289.65062822484742</v>
      </c>
      <c r="BL78" s="4">
        <f t="shared" si="98"/>
        <v>1184.8304961335907</v>
      </c>
      <c r="BM78" s="4">
        <f t="shared" si="99"/>
        <v>41004.330267000616</v>
      </c>
      <c r="BN78" s="4">
        <f t="shared" si="100"/>
        <v>1640.1732106800246</v>
      </c>
      <c r="BO78" s="4">
        <f t="shared" si="101"/>
        <v>1640.1732106800246</v>
      </c>
      <c r="BP78" s="4">
        <f t="shared" si="102"/>
        <v>139.90677487100606</v>
      </c>
      <c r="BQ78" s="4">
        <f t="shared" si="103"/>
        <v>46282.079624326798</v>
      </c>
      <c r="BR78" s="4">
        <f t="shared" si="104"/>
        <v>14879.688599221066</v>
      </c>
      <c r="BS78" s="4">
        <f t="shared" si="105"/>
        <v>572.29571535465766</v>
      </c>
      <c r="BT78" s="4">
        <f t="shared" si="106"/>
        <v>44501.999638775764</v>
      </c>
      <c r="BU78" s="4">
        <f t="shared" si="107"/>
        <v>48187.32</v>
      </c>
      <c r="BV78" s="7">
        <f t="shared" si="108"/>
        <v>289123.92</v>
      </c>
      <c r="BW78" s="7">
        <f t="shared" si="109"/>
        <v>265046.75121149898</v>
      </c>
    </row>
    <row r="79" spans="1:75" x14ac:dyDescent="0.3">
      <c r="A79" s="3">
        <f t="shared" si="55"/>
        <v>75</v>
      </c>
      <c r="B79" t="str">
        <f>INDEX(Employees!$A:$A,A79+1)</f>
        <v>E075</v>
      </c>
      <c r="C79" t="str">
        <f>INDEX(Employees!$A:$Z,MATCH(B79,Employees!$A:$A,0),MATCH("category",Employees!$1:$1,0))</f>
        <v>Operations</v>
      </c>
      <c r="D79" t="str">
        <f>INDEX(Employees!$A:$Z,MATCH(B79,Employees!$A:$A,0),MATCH("gender",Employees!$1:$1,0))</f>
        <v>F</v>
      </c>
      <c r="E79" s="3">
        <f>INDEX(Employees!$A:$Z,MATCH(B79,Employees!$A:$A,0),MATCH("grade",Employees!$1:$1,0))</f>
        <v>7</v>
      </c>
      <c r="F79" s="3">
        <f>INDEX(Employees!$A:$Z,MATCH(B79,Employees!$A:$A,0),MATCH("rating",Employees!$1:$1,0))</f>
        <v>2</v>
      </c>
      <c r="G79" s="22">
        <f>INDEX(Employees!$A:$Z,MATCH(B79,Employees!$A:$A,0),MATCH("hire_date",Employees!$1:$1,0))</f>
        <v>45273</v>
      </c>
      <c r="H79" s="22">
        <f>INDEX(Employees!$A:$Z,MATCH(B79,Employees!$A:$A,0),MATCH("last_change_date",Employees!$1:$1,0))</f>
        <v>46113</v>
      </c>
      <c r="I79" s="4">
        <f>INDEX(Employees!$A:$Z,MATCH(B79,Employees!$A:$A,0),MATCH("base_salary",Employees!$1:$1,0))</f>
        <v>39000.68</v>
      </c>
      <c r="J79" s="5">
        <f>INDEX(Employees!$A:$Z,MATCH(B79,Employees!$A:$A,0),MATCH("bonus_pct",Employees!$1:$1,0))/100</f>
        <v>6.4199999999999993E-2</v>
      </c>
      <c r="K79" s="7">
        <f>INDEX(Employees!$A:$Z,MATCH(B79,Employees!$A:$A,0),MATCH("fte",Employees!$1:$1,0))</f>
        <v>1</v>
      </c>
      <c r="L79" s="3">
        <f>IF(ISNA(MATCH(C79&amp;"|"&amp;E79,Bands!$F:$F,0)),0,1)</f>
        <v>1</v>
      </c>
      <c r="M79" s="4">
        <f>INDEX(Bands!$C:$C,MATCH(C79&amp;"|"&amp;E79,Bands!$F:$F,0))</f>
        <v>42300</v>
      </c>
      <c r="N79" s="4">
        <f>INDEX(Bands!$D:$D,MATCH(C79&amp;"|"&amp;E79,Bands!$F:$F,0))</f>
        <v>50800</v>
      </c>
      <c r="O79" s="4">
        <f>INDEX(Bands!$E:$E,MATCH(C79&amp;"|"&amp;E79,Bands!$F:$F,0))</f>
        <v>59200</v>
      </c>
      <c r="P79" s="7">
        <f t="shared" si="56"/>
        <v>3.2991101984941822</v>
      </c>
      <c r="Q79" s="4">
        <f t="shared" si="57"/>
        <v>41504.523656000005</v>
      </c>
      <c r="R79" s="7">
        <f t="shared" si="58"/>
        <v>49</v>
      </c>
      <c r="S79" s="7">
        <f t="shared" si="59"/>
        <v>10.884128101808322</v>
      </c>
      <c r="T79" s="7">
        <f t="shared" si="60"/>
        <v>23.093771389459274</v>
      </c>
      <c r="U79" s="7">
        <f t="shared" si="61"/>
        <v>290531.665592</v>
      </c>
      <c r="V79" s="7">
        <f t="shared" si="62"/>
        <v>136927.99727715267</v>
      </c>
      <c r="W79" s="4">
        <f t="shared" si="63"/>
        <v>41504.519999999997</v>
      </c>
      <c r="X79" s="3">
        <f t="shared" si="64"/>
        <v>6</v>
      </c>
      <c r="Y79" s="4">
        <f>INDEX(Categories!$AH:$AH,MATCH(C79,Categories!$A:$A,0))</f>
        <v>51811.839122000005</v>
      </c>
      <c r="Z79" s="3">
        <f>IF(AND(D79="F",Q79&lt;Y79,INDEX(Categories!$AI:$AI,MATCH(C79,Categories!$A:$A,0))&gt;0),1,0)</f>
        <v>1</v>
      </c>
      <c r="AA79" s="4">
        <f t="shared" si="65"/>
        <v>10307.315466</v>
      </c>
      <c r="AB79" s="4">
        <f>IF(Z79=1,INDEX(Categories!$AI:$AI,MATCH(C79,Categories!$A:$A,0))*AA79/INDEX(Categories!$AJ:$AJ,MATCH(C79,Categories!$A:$A,0)),0)</f>
        <v>811.32967617758982</v>
      </c>
      <c r="AC79" s="4">
        <f t="shared" si="66"/>
        <v>762.38458577108611</v>
      </c>
      <c r="AD79" s="4">
        <f t="shared" si="67"/>
        <v>39763.064585771084</v>
      </c>
      <c r="AE79" s="3">
        <f t="shared" si="68"/>
        <v>0</v>
      </c>
      <c r="AF79" s="3">
        <f t="shared" si="69"/>
        <v>39</v>
      </c>
      <c r="AG79" s="3">
        <f t="shared" si="70"/>
        <v>12</v>
      </c>
      <c r="AH79" s="3">
        <f t="shared" si="71"/>
        <v>1</v>
      </c>
      <c r="AI79" s="5">
        <f t="shared" si="72"/>
        <v>0.78273749184588748</v>
      </c>
      <c r="AJ79" s="3">
        <f>MATCH(AI79,Inputs!$B$31:$B$34,1)</f>
        <v>1</v>
      </c>
      <c r="AK79" s="5">
        <f>INDEX(Inputs!$C$21:$C$25,MATCH(F79,Inputs!$A$21:$A$25,0))</f>
        <v>0.95</v>
      </c>
      <c r="AL79" s="5">
        <f>INDEX(Inputs!$D$21:$D$25,MATCH(F79,Inputs!$A$21:$A$25,0))</f>
        <v>0</v>
      </c>
      <c r="AM79" s="4">
        <f t="shared" si="73"/>
        <v>48260</v>
      </c>
      <c r="AN79" s="4">
        <f t="shared" si="74"/>
        <v>8496.9354142289158</v>
      </c>
      <c r="AO79" s="3">
        <f t="shared" si="75"/>
        <v>1</v>
      </c>
      <c r="AP79" s="4">
        <f t="shared" si="76"/>
        <v>11928.919375731324</v>
      </c>
      <c r="AQ79" s="4">
        <f t="shared" si="77"/>
        <v>0</v>
      </c>
      <c r="AR79" s="4">
        <f t="shared" si="78"/>
        <v>8496.9354142289158</v>
      </c>
      <c r="AS79" s="3">
        <f t="shared" si="79"/>
        <v>0</v>
      </c>
      <c r="AT79" s="4">
        <f t="shared" si="80"/>
        <v>8496.9354142289158</v>
      </c>
      <c r="AU79" s="4">
        <f t="shared" si="81"/>
        <v>19436.935414228916</v>
      </c>
      <c r="AV79" s="4">
        <f t="shared" si="82"/>
        <v>8496.9354142289158</v>
      </c>
      <c r="AW79" s="4">
        <f t="shared" si="83"/>
        <v>8496.9354142289158</v>
      </c>
      <c r="AX79" s="5">
        <f t="shared" si="84"/>
        <v>0.21368914852879525</v>
      </c>
      <c r="AY79" s="4">
        <f t="shared" si="85"/>
        <v>48260</v>
      </c>
      <c r="AZ79" s="3">
        <f t="shared" si="86"/>
        <v>0</v>
      </c>
      <c r="BA79" s="4">
        <f t="shared" si="87"/>
        <v>41504.523656000005</v>
      </c>
      <c r="BB79" s="4">
        <f t="shared" si="88"/>
        <v>13343.704355404001</v>
      </c>
      <c r="BC79" s="4">
        <f t="shared" si="89"/>
        <v>42315.85333217759</v>
      </c>
      <c r="BD79" s="4">
        <f t="shared" si="90"/>
        <v>13604.546846295096</v>
      </c>
      <c r="BE79" s="4">
        <f t="shared" si="91"/>
        <v>51358.292000000001</v>
      </c>
      <c r="BF79" s="4">
        <f t="shared" si="92"/>
        <v>16511.690878000001</v>
      </c>
      <c r="BG79" s="4">
        <f t="shared" si="93"/>
        <v>762.38458577108611</v>
      </c>
      <c r="BH79" s="4">
        <f t="shared" si="94"/>
        <v>48.945090406503724</v>
      </c>
      <c r="BI79" s="4">
        <f t="shared" si="95"/>
        <v>260.84249089109471</v>
      </c>
      <c r="BJ79" s="4">
        <f t="shared" si="96"/>
        <v>8496.9354142289158</v>
      </c>
      <c r="BK79" s="4">
        <f t="shared" si="97"/>
        <v>545.50325359349631</v>
      </c>
      <c r="BL79" s="4">
        <f t="shared" si="98"/>
        <v>2907.1440317049055</v>
      </c>
      <c r="BM79" s="4">
        <f t="shared" si="99"/>
        <v>39763.064585771084</v>
      </c>
      <c r="BN79" s="4">
        <f t="shared" si="100"/>
        <v>1590.5225834308435</v>
      </c>
      <c r="BO79" s="4">
        <f t="shared" si="101"/>
        <v>1590.5225834308435</v>
      </c>
      <c r="BP79" s="4">
        <f t="shared" si="102"/>
        <v>102.11154985626014</v>
      </c>
      <c r="BQ79" s="4">
        <f t="shared" si="103"/>
        <v>44008.487465464692</v>
      </c>
      <c r="BR79" s="4">
        <f t="shared" si="104"/>
        <v>14148.728720146899</v>
      </c>
      <c r="BS79" s="4">
        <f t="shared" si="105"/>
        <v>544.18187385180318</v>
      </c>
      <c r="BT79" s="4">
        <f t="shared" si="106"/>
        <v>42315.85333217759</v>
      </c>
      <c r="BU79" s="4">
        <f t="shared" si="107"/>
        <v>51358.292000000001</v>
      </c>
      <c r="BV79" s="7">
        <f t="shared" si="108"/>
        <v>359508.04399999999</v>
      </c>
      <c r="BW79" s="7">
        <f t="shared" si="109"/>
        <v>169436.66491444217</v>
      </c>
    </row>
    <row r="80" spans="1:75" x14ac:dyDescent="0.3">
      <c r="A80" s="3">
        <f t="shared" si="55"/>
        <v>76</v>
      </c>
      <c r="B80" t="str">
        <f>INDEX(Employees!$A:$A,A80+1)</f>
        <v>E076</v>
      </c>
      <c r="C80" t="str">
        <f>INDEX(Employees!$A:$Z,MATCH(B80,Employees!$A:$A,0),MATCH("category",Employees!$1:$1,0))</f>
        <v>Operations</v>
      </c>
      <c r="D80" t="str">
        <f>INDEX(Employees!$A:$Z,MATCH(B80,Employees!$A:$A,0),MATCH("gender",Employees!$1:$1,0))</f>
        <v>M</v>
      </c>
      <c r="E80" s="3">
        <f>INDEX(Employees!$A:$Z,MATCH(B80,Employees!$A:$A,0),MATCH("grade",Employees!$1:$1,0))</f>
        <v>5</v>
      </c>
      <c r="F80" s="3">
        <f>INDEX(Employees!$A:$Z,MATCH(B80,Employees!$A:$A,0),MATCH("rating",Employees!$1:$1,0))</f>
        <v>5</v>
      </c>
      <c r="G80" s="22">
        <f>INDEX(Employees!$A:$Z,MATCH(B80,Employees!$A:$A,0),MATCH("hire_date",Employees!$1:$1,0))</f>
        <v>44360</v>
      </c>
      <c r="H80" s="22">
        <f>INDEX(Employees!$A:$Z,MATCH(B80,Employees!$A:$A,0),MATCH("last_change_date",Employees!$1:$1,0))</f>
        <v>46113</v>
      </c>
      <c r="I80" s="4">
        <f>INDEX(Employees!$A:$Z,MATCH(B80,Employees!$A:$A,0),MATCH("base_salary",Employees!$1:$1,0))</f>
        <v>42584.4</v>
      </c>
      <c r="J80" s="5">
        <f>INDEX(Employees!$A:$Z,MATCH(B80,Employees!$A:$A,0),MATCH("bonus_pct",Employees!$1:$1,0))/100</f>
        <v>9.8900000000000002E-2</v>
      </c>
      <c r="K80" s="7">
        <f>INDEX(Employees!$A:$Z,MATCH(B80,Employees!$A:$A,0),MATCH("fte",Employees!$1:$1,0))</f>
        <v>1</v>
      </c>
      <c r="L80" s="3">
        <f>IF(ISNA(MATCH(C80&amp;"|"&amp;E80,Bands!$F:$F,0)),0,1)</f>
        <v>1</v>
      </c>
      <c r="M80" s="4">
        <f>INDEX(Bands!$C:$C,MATCH(C80&amp;"|"&amp;E80,Bands!$F:$F,0))</f>
        <v>33700</v>
      </c>
      <c r="N80" s="4">
        <f>INDEX(Bands!$D:$D,MATCH(C80&amp;"|"&amp;E80,Bands!$F:$F,0))</f>
        <v>38800</v>
      </c>
      <c r="O80" s="4">
        <f>INDEX(Bands!$E:$E,MATCH(C80&amp;"|"&amp;E80,Bands!$F:$F,0))</f>
        <v>43800</v>
      </c>
      <c r="P80" s="7">
        <f t="shared" si="56"/>
        <v>5.7987679671457908</v>
      </c>
      <c r="Q80" s="4">
        <f t="shared" si="57"/>
        <v>46795.997159999999</v>
      </c>
      <c r="R80" s="7">
        <f t="shared" si="58"/>
        <v>25</v>
      </c>
      <c r="S80" s="7">
        <f t="shared" si="59"/>
        <v>33.625709936796127</v>
      </c>
      <c r="T80" s="7">
        <f t="shared" si="60"/>
        <v>28.993839835728956</v>
      </c>
      <c r="U80" s="7">
        <f t="shared" si="61"/>
        <v>233979.98579999999</v>
      </c>
      <c r="V80" s="7">
        <f t="shared" si="62"/>
        <v>271359.1293220534</v>
      </c>
      <c r="W80" s="4">
        <f t="shared" si="63"/>
        <v>46796</v>
      </c>
      <c r="X80" s="3">
        <f t="shared" si="64"/>
        <v>15</v>
      </c>
      <c r="Y80" s="4">
        <f>INDEX(Categories!$AH:$AH,MATCH(C80,Categories!$A:$A,0))</f>
        <v>51811.839122000005</v>
      </c>
      <c r="Z80" s="3">
        <f>IF(AND(D80="F",Q80&lt;Y80,INDEX(Categories!$AI:$AI,MATCH(C80,Categories!$A:$A,0))&gt;0),1,0)</f>
        <v>0</v>
      </c>
      <c r="AA80" s="4">
        <f t="shared" si="65"/>
        <v>0</v>
      </c>
      <c r="AB80" s="4">
        <f>IF(Z80=1,INDEX(Categories!$AI:$AI,MATCH(C80,Categories!$A:$A,0))*AA80/INDEX(Categories!$AJ:$AJ,MATCH(C80,Categories!$A:$A,0)),0)</f>
        <v>0</v>
      </c>
      <c r="AC80" s="4">
        <f t="shared" si="66"/>
        <v>0</v>
      </c>
      <c r="AD80" s="4">
        <f t="shared" si="67"/>
        <v>42584.4</v>
      </c>
      <c r="AE80" s="3">
        <f t="shared" si="68"/>
        <v>0</v>
      </c>
      <c r="AF80" s="3">
        <f t="shared" si="69"/>
        <v>69</v>
      </c>
      <c r="AG80" s="3">
        <f t="shared" si="70"/>
        <v>12</v>
      </c>
      <c r="AH80" s="3">
        <f t="shared" si="71"/>
        <v>1</v>
      </c>
      <c r="AI80" s="5">
        <f t="shared" si="72"/>
        <v>1.0975360824742268</v>
      </c>
      <c r="AJ80" s="3">
        <f>MATCH(AI80,Inputs!$B$31:$B$34,1)</f>
        <v>3</v>
      </c>
      <c r="AK80" s="5">
        <f>INDEX(Inputs!$C$21:$C$25,MATCH(F80,Inputs!$A$21:$A$25,0))</f>
        <v>1.1000000000000001</v>
      </c>
      <c r="AL80" s="5">
        <f>INDEX(Inputs!$D$21:$D$25,MATCH(F80,Inputs!$A$21:$A$25,0))</f>
        <v>0.02</v>
      </c>
      <c r="AM80" s="4">
        <f t="shared" si="73"/>
        <v>42680</v>
      </c>
      <c r="AN80" s="4">
        <f t="shared" si="74"/>
        <v>95.599999999998545</v>
      </c>
      <c r="AO80" s="3">
        <f t="shared" si="75"/>
        <v>1</v>
      </c>
      <c r="AP80" s="4">
        <f t="shared" si="76"/>
        <v>12775.32</v>
      </c>
      <c r="AQ80" s="4">
        <f t="shared" si="77"/>
        <v>851.6880000000001</v>
      </c>
      <c r="AR80" s="4">
        <f t="shared" si="78"/>
        <v>851.6880000000001</v>
      </c>
      <c r="AS80" s="3">
        <f t="shared" si="79"/>
        <v>0</v>
      </c>
      <c r="AT80" s="4">
        <f t="shared" si="80"/>
        <v>851.6880000000001</v>
      </c>
      <c r="AU80" s="4">
        <f t="shared" si="81"/>
        <v>1215.5999999999985</v>
      </c>
      <c r="AV80" s="4">
        <f t="shared" si="82"/>
        <v>851.6880000000001</v>
      </c>
      <c r="AW80" s="4">
        <f t="shared" si="83"/>
        <v>851.6880000000001</v>
      </c>
      <c r="AX80" s="5">
        <f t="shared" si="84"/>
        <v>0.02</v>
      </c>
      <c r="AY80" s="4">
        <f t="shared" si="85"/>
        <v>43436.088000000003</v>
      </c>
      <c r="AZ80" s="3">
        <f t="shared" si="86"/>
        <v>0</v>
      </c>
      <c r="BA80" s="4">
        <f t="shared" si="87"/>
        <v>46795.997159999999</v>
      </c>
      <c r="BB80" s="4">
        <f t="shared" si="88"/>
        <v>15044.91308694</v>
      </c>
      <c r="BC80" s="4">
        <f t="shared" si="89"/>
        <v>46795.997159999999</v>
      </c>
      <c r="BD80" s="4">
        <f t="shared" si="90"/>
        <v>15044.91308694</v>
      </c>
      <c r="BE80" s="4">
        <f t="shared" si="91"/>
        <v>47731.917103200001</v>
      </c>
      <c r="BF80" s="4">
        <f t="shared" si="92"/>
        <v>15345.811348678801</v>
      </c>
      <c r="BG80" s="4">
        <f t="shared" si="93"/>
        <v>0</v>
      </c>
      <c r="BH80" s="4">
        <f t="shared" si="94"/>
        <v>0</v>
      </c>
      <c r="BI80" s="4">
        <f t="shared" si="95"/>
        <v>0</v>
      </c>
      <c r="BJ80" s="4">
        <f t="shared" si="96"/>
        <v>851.6880000000001</v>
      </c>
      <c r="BK80" s="4">
        <f t="shared" si="97"/>
        <v>84.231943200000018</v>
      </c>
      <c r="BL80" s="4">
        <f t="shared" si="98"/>
        <v>300.89826173880101</v>
      </c>
      <c r="BM80" s="4">
        <f t="shared" si="99"/>
        <v>42584.4</v>
      </c>
      <c r="BN80" s="4">
        <f t="shared" si="100"/>
        <v>1703.3760000000002</v>
      </c>
      <c r="BO80" s="4">
        <f t="shared" si="101"/>
        <v>1703.3760000000002</v>
      </c>
      <c r="BP80" s="4">
        <f t="shared" si="102"/>
        <v>168.46388640000004</v>
      </c>
      <c r="BQ80" s="4">
        <f t="shared" si="103"/>
        <v>48667.837046399996</v>
      </c>
      <c r="BR80" s="4">
        <f t="shared" si="104"/>
        <v>15646.7096104176</v>
      </c>
      <c r="BS80" s="4">
        <f t="shared" si="105"/>
        <v>601.7965234776002</v>
      </c>
      <c r="BT80" s="4">
        <f t="shared" si="106"/>
        <v>46795.997159999999</v>
      </c>
      <c r="BU80" s="4">
        <f t="shared" si="107"/>
        <v>47731.917103200001</v>
      </c>
      <c r="BV80" s="7">
        <f t="shared" si="108"/>
        <v>238659.58551599999</v>
      </c>
      <c r="BW80" s="7">
        <f t="shared" si="109"/>
        <v>276786.31190849445</v>
      </c>
    </row>
    <row r="81" spans="1:75" x14ac:dyDescent="0.3">
      <c r="A81" s="3">
        <f t="shared" si="55"/>
        <v>77</v>
      </c>
      <c r="B81" t="str">
        <f>INDEX(Employees!$A:$A,A81+1)</f>
        <v>E077</v>
      </c>
      <c r="C81" t="str">
        <f>INDEX(Employees!$A:$Z,MATCH(B81,Employees!$A:$A,0),MATCH("category",Employees!$1:$1,0))</f>
        <v>Operations</v>
      </c>
      <c r="D81" t="str">
        <f>INDEX(Employees!$A:$Z,MATCH(B81,Employees!$A:$A,0),MATCH("gender",Employees!$1:$1,0))</f>
        <v>F</v>
      </c>
      <c r="E81" s="3">
        <f>INDEX(Employees!$A:$Z,MATCH(B81,Employees!$A:$A,0),MATCH("grade",Employees!$1:$1,0))</f>
        <v>5</v>
      </c>
      <c r="F81" s="3">
        <f>INDEX(Employees!$A:$Z,MATCH(B81,Employees!$A:$A,0),MATCH("rating",Employees!$1:$1,0))</f>
        <v>1</v>
      </c>
      <c r="G81" s="22">
        <f>INDEX(Employees!$A:$Z,MATCH(B81,Employees!$A:$A,0),MATCH("hire_date",Employees!$1:$1,0))</f>
        <v>45419</v>
      </c>
      <c r="H81" s="22">
        <f>INDEX(Employees!$A:$Z,MATCH(B81,Employees!$A:$A,0),MATCH("last_change_date",Employees!$1:$1,0))</f>
        <v>46113</v>
      </c>
      <c r="I81" s="4">
        <f>INDEX(Employees!$A:$Z,MATCH(B81,Employees!$A:$A,0),MATCH("base_salary",Employees!$1:$1,0))</f>
        <v>38133.129999999997</v>
      </c>
      <c r="J81" s="5">
        <f>INDEX(Employees!$A:$Z,MATCH(B81,Employees!$A:$A,0),MATCH("bonus_pct",Employees!$1:$1,0))/100</f>
        <v>6.6199999999999995E-2</v>
      </c>
      <c r="K81" s="7">
        <f>INDEX(Employees!$A:$Z,MATCH(B81,Employees!$A:$A,0),MATCH("fte",Employees!$1:$1,0))</f>
        <v>1</v>
      </c>
      <c r="L81" s="3">
        <f>IF(ISNA(MATCH(C81&amp;"|"&amp;E81,Bands!$F:$F,0)),0,1)</f>
        <v>1</v>
      </c>
      <c r="M81" s="4">
        <f>INDEX(Bands!$C:$C,MATCH(C81&amp;"|"&amp;E81,Bands!$F:$F,0))</f>
        <v>33700</v>
      </c>
      <c r="N81" s="4">
        <f>INDEX(Bands!$D:$D,MATCH(C81&amp;"|"&amp;E81,Bands!$F:$F,0))</f>
        <v>38800</v>
      </c>
      <c r="O81" s="4">
        <f>INDEX(Bands!$E:$E,MATCH(C81&amp;"|"&amp;E81,Bands!$F:$F,0))</f>
        <v>43800</v>
      </c>
      <c r="P81" s="7">
        <f t="shared" si="56"/>
        <v>2.8993839835728954</v>
      </c>
      <c r="Q81" s="4">
        <f t="shared" si="57"/>
        <v>40657.543206000002</v>
      </c>
      <c r="R81" s="7">
        <f t="shared" si="58"/>
        <v>25</v>
      </c>
      <c r="S81" s="7">
        <f t="shared" si="59"/>
        <v>8.4064274841990319</v>
      </c>
      <c r="T81" s="7">
        <f t="shared" si="60"/>
        <v>14.496919917864478</v>
      </c>
      <c r="U81" s="7">
        <f t="shared" si="61"/>
        <v>203287.71603000001</v>
      </c>
      <c r="V81" s="7">
        <f t="shared" si="62"/>
        <v>117881.8295828994</v>
      </c>
      <c r="W81" s="4">
        <f t="shared" si="63"/>
        <v>40657.54</v>
      </c>
      <c r="X81" s="3">
        <f t="shared" si="64"/>
        <v>2</v>
      </c>
      <c r="Y81" s="4">
        <f>INDEX(Categories!$AH:$AH,MATCH(C81,Categories!$A:$A,0))</f>
        <v>51811.839122000005</v>
      </c>
      <c r="Z81" s="3">
        <f>IF(AND(D81="F",Q81&lt;Y81,INDEX(Categories!$AI:$AI,MATCH(C81,Categories!$A:$A,0))&gt;0),1,0)</f>
        <v>1</v>
      </c>
      <c r="AA81" s="4">
        <f t="shared" si="65"/>
        <v>11154.295916000003</v>
      </c>
      <c r="AB81" s="4">
        <f>IF(Z81=1,INDEX(Categories!$AI:$AI,MATCH(C81,Categories!$A:$A,0))*AA81/INDEX(Categories!$AJ:$AJ,MATCH(C81,Categories!$A:$A,0)),0)</f>
        <v>877.99886627796104</v>
      </c>
      <c r="AC81" s="4">
        <f t="shared" si="66"/>
        <v>823.48421147811007</v>
      </c>
      <c r="AD81" s="4">
        <f t="shared" si="67"/>
        <v>38956.614211478111</v>
      </c>
      <c r="AE81" s="3">
        <f t="shared" si="68"/>
        <v>0</v>
      </c>
      <c r="AF81" s="3">
        <f t="shared" si="69"/>
        <v>34</v>
      </c>
      <c r="AG81" s="3">
        <f t="shared" si="70"/>
        <v>12</v>
      </c>
      <c r="AH81" s="3">
        <f t="shared" si="71"/>
        <v>1</v>
      </c>
      <c r="AI81" s="5">
        <f t="shared" si="72"/>
        <v>1.0040364487494358</v>
      </c>
      <c r="AJ81" s="3">
        <f>MATCH(AI81,Inputs!$B$31:$B$34,1)</f>
        <v>3</v>
      </c>
      <c r="AK81" s="5">
        <f>INDEX(Inputs!$C$21:$C$25,MATCH(F81,Inputs!$A$21:$A$25,0))</f>
        <v>0</v>
      </c>
      <c r="AL81" s="5">
        <f>INDEX(Inputs!$D$21:$D$25,MATCH(F81,Inputs!$A$21:$A$25,0))</f>
        <v>0</v>
      </c>
      <c r="AM81" s="4">
        <f t="shared" si="73"/>
        <v>0</v>
      </c>
      <c r="AN81" s="4">
        <f t="shared" si="74"/>
        <v>0</v>
      </c>
      <c r="AO81" s="3">
        <f t="shared" si="75"/>
        <v>1</v>
      </c>
      <c r="AP81" s="4">
        <f t="shared" si="76"/>
        <v>11686.984263443434</v>
      </c>
      <c r="AQ81" s="4">
        <f t="shared" si="77"/>
        <v>0</v>
      </c>
      <c r="AR81" s="4">
        <f t="shared" si="78"/>
        <v>0</v>
      </c>
      <c r="AS81" s="3">
        <f t="shared" si="79"/>
        <v>0</v>
      </c>
      <c r="AT81" s="4">
        <f t="shared" si="80"/>
        <v>0</v>
      </c>
      <c r="AU81" s="4">
        <f t="shared" si="81"/>
        <v>4843.3857885218895</v>
      </c>
      <c r="AV81" s="4">
        <f t="shared" si="82"/>
        <v>0</v>
      </c>
      <c r="AW81" s="4">
        <f t="shared" si="83"/>
        <v>0</v>
      </c>
      <c r="AX81" s="5">
        <f t="shared" si="84"/>
        <v>0</v>
      </c>
      <c r="AY81" s="4">
        <f t="shared" si="85"/>
        <v>38956.614211478111</v>
      </c>
      <c r="AZ81" s="3">
        <f t="shared" si="86"/>
        <v>0</v>
      </c>
      <c r="BA81" s="4">
        <f t="shared" si="87"/>
        <v>40657.543206000002</v>
      </c>
      <c r="BB81" s="4">
        <f t="shared" si="88"/>
        <v>13071.400140729002</v>
      </c>
      <c r="BC81" s="4">
        <f t="shared" si="89"/>
        <v>41535.54207227796</v>
      </c>
      <c r="BD81" s="4">
        <f t="shared" si="90"/>
        <v>13353.676776237364</v>
      </c>
      <c r="BE81" s="4">
        <f t="shared" si="91"/>
        <v>41535.54207227796</v>
      </c>
      <c r="BF81" s="4">
        <f t="shared" si="92"/>
        <v>13353.676776237364</v>
      </c>
      <c r="BG81" s="4">
        <f t="shared" si="93"/>
        <v>823.48421147811007</v>
      </c>
      <c r="BH81" s="4">
        <f t="shared" si="94"/>
        <v>54.514654799850881</v>
      </c>
      <c r="BI81" s="4">
        <f t="shared" si="95"/>
        <v>282.27663550836223</v>
      </c>
      <c r="BJ81" s="4">
        <f t="shared" si="96"/>
        <v>0</v>
      </c>
      <c r="BK81" s="4">
        <f t="shared" si="97"/>
        <v>0</v>
      </c>
      <c r="BL81" s="4">
        <f t="shared" si="98"/>
        <v>0</v>
      </c>
      <c r="BM81" s="4">
        <f t="shared" si="99"/>
        <v>38956.614211478111</v>
      </c>
      <c r="BN81" s="4">
        <f t="shared" si="100"/>
        <v>1558.2645684591243</v>
      </c>
      <c r="BO81" s="4">
        <f t="shared" si="101"/>
        <v>1558.2645684591243</v>
      </c>
      <c r="BP81" s="4">
        <f t="shared" si="102"/>
        <v>103.15711443199402</v>
      </c>
      <c r="BQ81" s="4">
        <f t="shared" si="103"/>
        <v>43196.963755169083</v>
      </c>
      <c r="BR81" s="4">
        <f t="shared" si="104"/>
        <v>13887.82384728686</v>
      </c>
      <c r="BS81" s="4">
        <f t="shared" si="105"/>
        <v>534.14707104949593</v>
      </c>
      <c r="BT81" s="4">
        <f t="shared" si="106"/>
        <v>41535.54207227796</v>
      </c>
      <c r="BU81" s="4">
        <f t="shared" si="107"/>
        <v>41535.54207227796</v>
      </c>
      <c r="BV81" s="7">
        <f t="shared" si="108"/>
        <v>207677.71036138979</v>
      </c>
      <c r="BW81" s="7">
        <f t="shared" si="109"/>
        <v>120427.48543338086</v>
      </c>
    </row>
    <row r="82" spans="1:75" x14ac:dyDescent="0.3">
      <c r="A82" s="3">
        <f t="shared" si="55"/>
        <v>78</v>
      </c>
      <c r="B82" t="str">
        <f>INDEX(Employees!$A:$A,A82+1)</f>
        <v>E078</v>
      </c>
      <c r="C82" t="str">
        <f>INDEX(Employees!$A:$Z,MATCH(B82,Employees!$A:$A,0),MATCH("category",Employees!$1:$1,0))</f>
        <v>Operations</v>
      </c>
      <c r="D82" t="str">
        <f>INDEX(Employees!$A:$Z,MATCH(B82,Employees!$A:$A,0),MATCH("gender",Employees!$1:$1,0))</f>
        <v>M</v>
      </c>
      <c r="E82" s="3">
        <f>INDEX(Employees!$A:$Z,MATCH(B82,Employees!$A:$A,0),MATCH("grade",Employees!$1:$1,0))</f>
        <v>8</v>
      </c>
      <c r="F82" s="3">
        <f>INDEX(Employees!$A:$Z,MATCH(B82,Employees!$A:$A,0),MATCH("rating",Employees!$1:$1,0))</f>
        <v>4</v>
      </c>
      <c r="G82" s="22">
        <f>INDEX(Employees!$A:$Z,MATCH(B82,Employees!$A:$A,0),MATCH("hire_date",Employees!$1:$1,0))</f>
        <v>43739</v>
      </c>
      <c r="H82" s="22">
        <f>INDEX(Employees!$A:$Z,MATCH(B82,Employees!$A:$A,0),MATCH("last_change_date",Employees!$1:$1,0))</f>
        <v>46113</v>
      </c>
      <c r="I82" s="4">
        <f>INDEX(Employees!$A:$Z,MATCH(B82,Employees!$A:$A,0),MATCH("base_salary",Employees!$1:$1,0))</f>
        <v>56319.53</v>
      </c>
      <c r="J82" s="5">
        <f>INDEX(Employees!$A:$Z,MATCH(B82,Employees!$A:$A,0),MATCH("bonus_pct",Employees!$1:$1,0))/100</f>
        <v>6.3E-2</v>
      </c>
      <c r="K82" s="7">
        <f>INDEX(Employees!$A:$Z,MATCH(B82,Employees!$A:$A,0),MATCH("fte",Employees!$1:$1,0))</f>
        <v>1</v>
      </c>
      <c r="L82" s="3">
        <f>IF(ISNA(MATCH(C82&amp;"|"&amp;E82,Bands!$F:$F,0)),0,1)</f>
        <v>1</v>
      </c>
      <c r="M82" s="4">
        <f>INDEX(Bands!$C:$C,MATCH(C82&amp;"|"&amp;E82,Bands!$F:$F,0))</f>
        <v>48400</v>
      </c>
      <c r="N82" s="4">
        <f>INDEX(Bands!$D:$D,MATCH(C82&amp;"|"&amp;E82,Bands!$F:$F,0))</f>
        <v>58100</v>
      </c>
      <c r="O82" s="4">
        <f>INDEX(Bands!$E:$E,MATCH(C82&amp;"|"&amp;E82,Bands!$F:$F,0))</f>
        <v>67800</v>
      </c>
      <c r="P82" s="7">
        <f t="shared" si="56"/>
        <v>7.4989733059548254</v>
      </c>
      <c r="Q82" s="4">
        <f t="shared" si="57"/>
        <v>59867.660389999997</v>
      </c>
      <c r="R82" s="7">
        <f t="shared" si="58"/>
        <v>64</v>
      </c>
      <c r="S82" s="7">
        <f t="shared" si="59"/>
        <v>56.234600643423043</v>
      </c>
      <c r="T82" s="7">
        <f t="shared" si="60"/>
        <v>59.991786447638603</v>
      </c>
      <c r="U82" s="7">
        <f t="shared" si="61"/>
        <v>478941.28311999998</v>
      </c>
      <c r="V82" s="7">
        <f t="shared" si="62"/>
        <v>448945.98715457902</v>
      </c>
      <c r="W82" s="4">
        <f t="shared" si="63"/>
        <v>59867.66</v>
      </c>
      <c r="X82" s="3">
        <f t="shared" si="64"/>
        <v>28</v>
      </c>
      <c r="Y82" s="4">
        <f>INDEX(Categories!$AH:$AH,MATCH(C82,Categories!$A:$A,0))</f>
        <v>51811.839122000005</v>
      </c>
      <c r="Z82" s="3">
        <f>IF(AND(D82="F",Q82&lt;Y82,INDEX(Categories!$AI:$AI,MATCH(C82,Categories!$A:$A,0))&gt;0),1,0)</f>
        <v>0</v>
      </c>
      <c r="AA82" s="4">
        <f t="shared" si="65"/>
        <v>0</v>
      </c>
      <c r="AB82" s="4">
        <f>IF(Z82=1,INDEX(Categories!$AI:$AI,MATCH(C82,Categories!$A:$A,0))*AA82/INDEX(Categories!$AJ:$AJ,MATCH(C82,Categories!$A:$A,0)),0)</f>
        <v>0</v>
      </c>
      <c r="AC82" s="4">
        <f t="shared" si="66"/>
        <v>0</v>
      </c>
      <c r="AD82" s="4">
        <f t="shared" si="67"/>
        <v>56319.53</v>
      </c>
      <c r="AE82" s="3">
        <f t="shared" si="68"/>
        <v>0</v>
      </c>
      <c r="AF82" s="3">
        <f t="shared" si="69"/>
        <v>90</v>
      </c>
      <c r="AG82" s="3">
        <f t="shared" si="70"/>
        <v>12</v>
      </c>
      <c r="AH82" s="3">
        <f t="shared" si="71"/>
        <v>1</v>
      </c>
      <c r="AI82" s="5">
        <f t="shared" si="72"/>
        <v>0.9693550774526678</v>
      </c>
      <c r="AJ82" s="3">
        <f>MATCH(AI82,Inputs!$B$31:$B$34,1)</f>
        <v>2</v>
      </c>
      <c r="AK82" s="5">
        <f>INDEX(Inputs!$C$21:$C$25,MATCH(F82,Inputs!$A$21:$A$25,0))</f>
        <v>1.05</v>
      </c>
      <c r="AL82" s="5">
        <f>INDEX(Inputs!$D$21:$D$25,MATCH(F82,Inputs!$A$21:$A$25,0))</f>
        <v>0.01</v>
      </c>
      <c r="AM82" s="4">
        <f t="shared" si="73"/>
        <v>61005</v>
      </c>
      <c r="AN82" s="4">
        <f t="shared" si="74"/>
        <v>4685.4700000000012</v>
      </c>
      <c r="AO82" s="3">
        <f t="shared" si="75"/>
        <v>1</v>
      </c>
      <c r="AP82" s="4">
        <f t="shared" si="76"/>
        <v>16895.859</v>
      </c>
      <c r="AQ82" s="4">
        <f t="shared" si="77"/>
        <v>563.19529999999997</v>
      </c>
      <c r="AR82" s="4">
        <f t="shared" si="78"/>
        <v>4685.4700000000012</v>
      </c>
      <c r="AS82" s="3">
        <f t="shared" si="79"/>
        <v>0</v>
      </c>
      <c r="AT82" s="4">
        <f t="shared" si="80"/>
        <v>4685.4700000000012</v>
      </c>
      <c r="AU82" s="4">
        <f t="shared" si="81"/>
        <v>11480.470000000001</v>
      </c>
      <c r="AV82" s="4">
        <f t="shared" si="82"/>
        <v>4685.4700000000012</v>
      </c>
      <c r="AW82" s="4">
        <f t="shared" si="83"/>
        <v>4685.4700000000012</v>
      </c>
      <c r="AX82" s="5">
        <f t="shared" si="84"/>
        <v>8.319440876015835E-2</v>
      </c>
      <c r="AY82" s="4">
        <f t="shared" si="85"/>
        <v>61005</v>
      </c>
      <c r="AZ82" s="3">
        <f t="shared" si="86"/>
        <v>0</v>
      </c>
      <c r="BA82" s="4">
        <f t="shared" si="87"/>
        <v>59867.660389999997</v>
      </c>
      <c r="BB82" s="4">
        <f t="shared" si="88"/>
        <v>19247.452815385001</v>
      </c>
      <c r="BC82" s="4">
        <f t="shared" si="89"/>
        <v>59867.660389999997</v>
      </c>
      <c r="BD82" s="4">
        <f t="shared" si="90"/>
        <v>19247.452815385001</v>
      </c>
      <c r="BE82" s="4">
        <f t="shared" si="91"/>
        <v>64848.314999999995</v>
      </c>
      <c r="BF82" s="4">
        <f t="shared" si="92"/>
        <v>19715.315183999999</v>
      </c>
      <c r="BG82" s="4">
        <f t="shared" si="93"/>
        <v>0</v>
      </c>
      <c r="BH82" s="4">
        <f t="shared" si="94"/>
        <v>0</v>
      </c>
      <c r="BI82" s="4">
        <f t="shared" si="95"/>
        <v>0</v>
      </c>
      <c r="BJ82" s="4">
        <f t="shared" si="96"/>
        <v>4685.4700000000012</v>
      </c>
      <c r="BK82" s="4">
        <f t="shared" si="97"/>
        <v>295.18461000000008</v>
      </c>
      <c r="BL82" s="4">
        <f t="shared" si="98"/>
        <v>467.86236861499856</v>
      </c>
      <c r="BM82" s="4">
        <f t="shared" si="99"/>
        <v>56319.53</v>
      </c>
      <c r="BN82" s="4">
        <f t="shared" si="100"/>
        <v>2252.7811999999999</v>
      </c>
      <c r="BO82" s="4">
        <f t="shared" si="101"/>
        <v>2252.7811999999999</v>
      </c>
      <c r="BP82" s="4">
        <f t="shared" si="102"/>
        <v>141.9252156</v>
      </c>
      <c r="BQ82" s="4">
        <f t="shared" si="103"/>
        <v>62262.366805599995</v>
      </c>
      <c r="BR82" s="4">
        <f t="shared" si="104"/>
        <v>19690.490081333759</v>
      </c>
      <c r="BS82" s="4">
        <f t="shared" si="105"/>
        <v>443.03726594875843</v>
      </c>
      <c r="BT82" s="4">
        <f t="shared" si="106"/>
        <v>59867.660389999997</v>
      </c>
      <c r="BU82" s="4">
        <f t="shared" si="107"/>
        <v>64848.314999999995</v>
      </c>
      <c r="BV82" s="7">
        <f t="shared" si="108"/>
        <v>518786.51999999996</v>
      </c>
      <c r="BW82" s="7">
        <f t="shared" si="109"/>
        <v>486295.78312114987</v>
      </c>
    </row>
    <row r="83" spans="1:75" x14ac:dyDescent="0.3">
      <c r="A83" s="3">
        <f t="shared" si="55"/>
        <v>79</v>
      </c>
      <c r="B83" t="str">
        <f>INDEX(Employees!$A:$A,A83+1)</f>
        <v>E079</v>
      </c>
      <c r="C83" t="str">
        <f>INDEX(Employees!$A:$Z,MATCH(B83,Employees!$A:$A,0),MATCH("category",Employees!$1:$1,0))</f>
        <v>Operations</v>
      </c>
      <c r="D83" t="str">
        <f>INDEX(Employees!$A:$Z,MATCH(B83,Employees!$A:$A,0),MATCH("gender",Employees!$1:$1,0))</f>
        <v>M</v>
      </c>
      <c r="E83" s="3">
        <f>INDEX(Employees!$A:$Z,MATCH(B83,Employees!$A:$A,0),MATCH("grade",Employees!$1:$1,0))</f>
        <v>6</v>
      </c>
      <c r="F83" s="3">
        <f>INDEX(Employees!$A:$Z,MATCH(B83,Employees!$A:$A,0),MATCH("rating",Employees!$1:$1,0))</f>
        <v>3</v>
      </c>
      <c r="G83" s="22">
        <f>INDEX(Employees!$A:$Z,MATCH(B83,Employees!$A:$A,0),MATCH("hire_date",Employees!$1:$1,0))</f>
        <v>44433</v>
      </c>
      <c r="H83" s="22">
        <f>INDEX(Employees!$A:$Z,MATCH(B83,Employees!$A:$A,0),MATCH("last_change_date",Employees!$1:$1,0))</f>
        <v>46113</v>
      </c>
      <c r="I83" s="4">
        <f>INDEX(Employees!$A:$Z,MATCH(B83,Employees!$A:$A,0),MATCH("base_salary",Employees!$1:$1,0))</f>
        <v>47208.959999999999</v>
      </c>
      <c r="J83" s="5">
        <f>INDEX(Employees!$A:$Z,MATCH(B83,Employees!$A:$A,0),MATCH("bonus_pct",Employees!$1:$1,0))/100</f>
        <v>9.6799999999999997E-2</v>
      </c>
      <c r="K83" s="7">
        <f>INDEX(Employees!$A:$Z,MATCH(B83,Employees!$A:$A,0),MATCH("fte",Employees!$1:$1,0))</f>
        <v>1</v>
      </c>
      <c r="L83" s="3">
        <f>IF(ISNA(MATCH(C83&amp;"|"&amp;E83,Bands!$F:$F,0)),0,1)</f>
        <v>1</v>
      </c>
      <c r="M83" s="4">
        <f>INDEX(Bands!$C:$C,MATCH(C83&amp;"|"&amp;E83,Bands!$F:$F,0))</f>
        <v>37000</v>
      </c>
      <c r="N83" s="4">
        <f>INDEX(Bands!$D:$D,MATCH(C83&amp;"|"&amp;E83,Bands!$F:$F,0))</f>
        <v>44400</v>
      </c>
      <c r="O83" s="4">
        <f>INDEX(Bands!$E:$E,MATCH(C83&amp;"|"&amp;E83,Bands!$F:$F,0))</f>
        <v>51800</v>
      </c>
      <c r="P83" s="7">
        <f t="shared" si="56"/>
        <v>5.5989048596851472</v>
      </c>
      <c r="Q83" s="4">
        <f t="shared" si="57"/>
        <v>51778.787327999999</v>
      </c>
      <c r="R83" s="7">
        <f t="shared" si="58"/>
        <v>36</v>
      </c>
      <c r="S83" s="7">
        <f t="shared" si="59"/>
        <v>31.347735627805957</v>
      </c>
      <c r="T83" s="7">
        <f t="shared" si="60"/>
        <v>33.593429158110879</v>
      </c>
      <c r="U83" s="7">
        <f t="shared" si="61"/>
        <v>310672.72396799998</v>
      </c>
      <c r="V83" s="7">
        <f t="shared" si="62"/>
        <v>289904.50399934291</v>
      </c>
      <c r="W83" s="4">
        <f t="shared" si="63"/>
        <v>51778.79</v>
      </c>
      <c r="X83" s="3">
        <f t="shared" si="64"/>
        <v>19</v>
      </c>
      <c r="Y83" s="4">
        <f>INDEX(Categories!$AH:$AH,MATCH(C83,Categories!$A:$A,0))</f>
        <v>51811.839122000005</v>
      </c>
      <c r="Z83" s="3">
        <f>IF(AND(D83="F",Q83&lt;Y83,INDEX(Categories!$AI:$AI,MATCH(C83,Categories!$A:$A,0))&gt;0),1,0)</f>
        <v>0</v>
      </c>
      <c r="AA83" s="4">
        <f t="shared" si="65"/>
        <v>0</v>
      </c>
      <c r="AB83" s="4">
        <f>IF(Z83=1,INDEX(Categories!$AI:$AI,MATCH(C83,Categories!$A:$A,0))*AA83/INDEX(Categories!$AJ:$AJ,MATCH(C83,Categories!$A:$A,0)),0)</f>
        <v>0</v>
      </c>
      <c r="AC83" s="4">
        <f t="shared" si="66"/>
        <v>0</v>
      </c>
      <c r="AD83" s="4">
        <f t="shared" si="67"/>
        <v>47208.959999999999</v>
      </c>
      <c r="AE83" s="3">
        <f t="shared" si="68"/>
        <v>0</v>
      </c>
      <c r="AF83" s="3">
        <f t="shared" si="69"/>
        <v>67</v>
      </c>
      <c r="AG83" s="3">
        <f t="shared" si="70"/>
        <v>12</v>
      </c>
      <c r="AH83" s="3">
        <f t="shared" si="71"/>
        <v>1</v>
      </c>
      <c r="AI83" s="5">
        <f t="shared" si="72"/>
        <v>1.0632648648648648</v>
      </c>
      <c r="AJ83" s="3">
        <f>MATCH(AI83,Inputs!$B$31:$B$34,1)</f>
        <v>3</v>
      </c>
      <c r="AK83" s="5">
        <f>INDEX(Inputs!$C$21:$C$25,MATCH(F83,Inputs!$A$21:$A$25,0))</f>
        <v>1</v>
      </c>
      <c r="AL83" s="5">
        <f>INDEX(Inputs!$D$21:$D$25,MATCH(F83,Inputs!$A$21:$A$25,0))</f>
        <v>0</v>
      </c>
      <c r="AM83" s="4">
        <f t="shared" si="73"/>
        <v>44400</v>
      </c>
      <c r="AN83" s="4">
        <f t="shared" si="74"/>
        <v>0</v>
      </c>
      <c r="AO83" s="3">
        <f t="shared" si="75"/>
        <v>1</v>
      </c>
      <c r="AP83" s="4">
        <f t="shared" si="76"/>
        <v>14162.688</v>
      </c>
      <c r="AQ83" s="4">
        <f t="shared" si="77"/>
        <v>0</v>
      </c>
      <c r="AR83" s="4">
        <f t="shared" si="78"/>
        <v>0</v>
      </c>
      <c r="AS83" s="3">
        <f t="shared" si="79"/>
        <v>0</v>
      </c>
      <c r="AT83" s="4">
        <f t="shared" si="80"/>
        <v>0</v>
      </c>
      <c r="AU83" s="4">
        <f t="shared" si="81"/>
        <v>4591.0400000000009</v>
      </c>
      <c r="AV83" s="4">
        <f t="shared" si="82"/>
        <v>0</v>
      </c>
      <c r="AW83" s="4">
        <f t="shared" si="83"/>
        <v>0</v>
      </c>
      <c r="AX83" s="5">
        <f t="shared" si="84"/>
        <v>0</v>
      </c>
      <c r="AY83" s="4">
        <f t="shared" si="85"/>
        <v>47208.959999999999</v>
      </c>
      <c r="AZ83" s="3">
        <f t="shared" si="86"/>
        <v>0</v>
      </c>
      <c r="BA83" s="4">
        <f t="shared" si="87"/>
        <v>51778.787327999999</v>
      </c>
      <c r="BB83" s="4">
        <f t="shared" si="88"/>
        <v>16646.880125952001</v>
      </c>
      <c r="BC83" s="4">
        <f t="shared" si="89"/>
        <v>51778.787327999999</v>
      </c>
      <c r="BD83" s="4">
        <f t="shared" si="90"/>
        <v>16646.880125952001</v>
      </c>
      <c r="BE83" s="4">
        <f t="shared" si="91"/>
        <v>51778.787327999999</v>
      </c>
      <c r="BF83" s="4">
        <f t="shared" si="92"/>
        <v>16646.880125952001</v>
      </c>
      <c r="BG83" s="4">
        <f t="shared" si="93"/>
        <v>0</v>
      </c>
      <c r="BH83" s="4">
        <f t="shared" si="94"/>
        <v>0</v>
      </c>
      <c r="BI83" s="4">
        <f t="shared" si="95"/>
        <v>0</v>
      </c>
      <c r="BJ83" s="4">
        <f t="shared" si="96"/>
        <v>0</v>
      </c>
      <c r="BK83" s="4">
        <f t="shared" si="97"/>
        <v>0</v>
      </c>
      <c r="BL83" s="4">
        <f t="shared" si="98"/>
        <v>0</v>
      </c>
      <c r="BM83" s="4">
        <f t="shared" si="99"/>
        <v>47208.959999999999</v>
      </c>
      <c r="BN83" s="4">
        <f t="shared" si="100"/>
        <v>1888.3584000000001</v>
      </c>
      <c r="BO83" s="4">
        <f t="shared" si="101"/>
        <v>1888.3584000000001</v>
      </c>
      <c r="BP83" s="4">
        <f t="shared" si="102"/>
        <v>182.79309312000001</v>
      </c>
      <c r="BQ83" s="4">
        <f t="shared" si="103"/>
        <v>53849.938821119998</v>
      </c>
      <c r="BR83" s="4">
        <f t="shared" si="104"/>
        <v>17312.75533099008</v>
      </c>
      <c r="BS83" s="4">
        <f t="shared" si="105"/>
        <v>665.875205038079</v>
      </c>
      <c r="BT83" s="4">
        <f t="shared" si="106"/>
        <v>51778.787327999999</v>
      </c>
      <c r="BU83" s="4">
        <f t="shared" si="107"/>
        <v>51778.787327999999</v>
      </c>
      <c r="BV83" s="7">
        <f t="shared" si="108"/>
        <v>310672.72396799998</v>
      </c>
      <c r="BW83" s="7">
        <f t="shared" si="109"/>
        <v>289904.50399934291</v>
      </c>
    </row>
    <row r="84" spans="1:75" x14ac:dyDescent="0.3">
      <c r="A84" s="3">
        <f t="shared" si="55"/>
        <v>80</v>
      </c>
      <c r="B84" t="str">
        <f>INDEX(Employees!$A:$A,A84+1)</f>
        <v>E080</v>
      </c>
      <c r="C84" t="str">
        <f>INDEX(Employees!$A:$Z,MATCH(B84,Employees!$A:$A,0),MATCH("category",Employees!$1:$1,0))</f>
        <v>Operations</v>
      </c>
      <c r="D84" t="str">
        <f>INDEX(Employees!$A:$Z,MATCH(B84,Employees!$A:$A,0),MATCH("gender",Employees!$1:$1,0))</f>
        <v>M</v>
      </c>
      <c r="E84" s="3">
        <f>INDEX(Employees!$A:$Z,MATCH(B84,Employees!$A:$A,0),MATCH("grade",Employees!$1:$1,0))</f>
        <v>9</v>
      </c>
      <c r="F84" s="3">
        <f>INDEX(Employees!$A:$Z,MATCH(B84,Employees!$A:$A,0),MATCH("rating",Employees!$1:$1,0))</f>
        <v>3</v>
      </c>
      <c r="G84" s="22">
        <f>INDEX(Employees!$A:$Z,MATCH(B84,Employees!$A:$A,0),MATCH("hire_date",Employees!$1:$1,0))</f>
        <v>42825</v>
      </c>
      <c r="H84" s="22">
        <f>INDEX(Employees!$A:$Z,MATCH(B84,Employees!$A:$A,0),MATCH("last_change_date",Employees!$1:$1,0))</f>
        <v>46113</v>
      </c>
      <c r="I84" s="4">
        <f>INDEX(Employees!$A:$Z,MATCH(B84,Employees!$A:$A,0),MATCH("base_salary",Employees!$1:$1,0))</f>
        <v>66916.899999999994</v>
      </c>
      <c r="J84" s="5">
        <f>INDEX(Employees!$A:$Z,MATCH(B84,Employees!$A:$A,0),MATCH("bonus_pct",Employees!$1:$1,0))/100</f>
        <v>6.93E-2</v>
      </c>
      <c r="K84" s="7">
        <f>INDEX(Employees!$A:$Z,MATCH(B84,Employees!$A:$A,0),MATCH("fte",Employees!$1:$1,0))</f>
        <v>1</v>
      </c>
      <c r="L84" s="3">
        <f>IF(ISNA(MATCH(C84&amp;"|"&amp;E84,Bands!$F:$F,0)),0,1)</f>
        <v>1</v>
      </c>
      <c r="M84" s="4">
        <f>INDEX(Bands!$C:$C,MATCH(C84&amp;"|"&amp;E84,Bands!$F:$F,0))</f>
        <v>55300</v>
      </c>
      <c r="N84" s="4">
        <f>INDEX(Bands!$D:$D,MATCH(C84&amp;"|"&amp;E84,Bands!$F:$F,0))</f>
        <v>66400</v>
      </c>
      <c r="O84" s="4">
        <f>INDEX(Bands!$E:$E,MATCH(C84&amp;"|"&amp;E84,Bands!$F:$F,0))</f>
        <v>77400</v>
      </c>
      <c r="P84" s="7">
        <f t="shared" si="56"/>
        <v>10.001368925393566</v>
      </c>
      <c r="Q84" s="4">
        <f t="shared" si="57"/>
        <v>71554.241169999994</v>
      </c>
      <c r="R84" s="7">
        <f t="shared" si="58"/>
        <v>81</v>
      </c>
      <c r="S84" s="7">
        <f t="shared" si="59"/>
        <v>100.02738038182804</v>
      </c>
      <c r="T84" s="7">
        <f t="shared" si="60"/>
        <v>90.012320328542089</v>
      </c>
      <c r="U84" s="7">
        <f t="shared" si="61"/>
        <v>643988.17053</v>
      </c>
      <c r="V84" s="7">
        <f t="shared" si="62"/>
        <v>715640.36411775486</v>
      </c>
      <c r="W84" s="4">
        <f t="shared" si="63"/>
        <v>71554.240000000005</v>
      </c>
      <c r="X84" s="3">
        <f t="shared" si="64"/>
        <v>34</v>
      </c>
      <c r="Y84" s="4">
        <f>INDEX(Categories!$AH:$AH,MATCH(C84,Categories!$A:$A,0))</f>
        <v>51811.839122000005</v>
      </c>
      <c r="Z84" s="3">
        <f>IF(AND(D84="F",Q84&lt;Y84,INDEX(Categories!$AI:$AI,MATCH(C84,Categories!$A:$A,0))&gt;0),1,0)</f>
        <v>0</v>
      </c>
      <c r="AA84" s="4">
        <f t="shared" si="65"/>
        <v>0</v>
      </c>
      <c r="AB84" s="4">
        <f>IF(Z84=1,INDEX(Categories!$AI:$AI,MATCH(C84,Categories!$A:$A,0))*AA84/INDEX(Categories!$AJ:$AJ,MATCH(C84,Categories!$A:$A,0)),0)</f>
        <v>0</v>
      </c>
      <c r="AC84" s="4">
        <f t="shared" si="66"/>
        <v>0</v>
      </c>
      <c r="AD84" s="4">
        <f t="shared" si="67"/>
        <v>66916.899999999994</v>
      </c>
      <c r="AE84" s="3">
        <f t="shared" si="68"/>
        <v>0</v>
      </c>
      <c r="AF84" s="3">
        <f t="shared" si="69"/>
        <v>120</v>
      </c>
      <c r="AG84" s="3">
        <f t="shared" si="70"/>
        <v>12</v>
      </c>
      <c r="AH84" s="3">
        <f t="shared" si="71"/>
        <v>1</v>
      </c>
      <c r="AI84" s="5">
        <f t="shared" si="72"/>
        <v>1.0077846385542168</v>
      </c>
      <c r="AJ84" s="3">
        <f>MATCH(AI84,Inputs!$B$31:$B$34,1)</f>
        <v>3</v>
      </c>
      <c r="AK84" s="5">
        <f>INDEX(Inputs!$C$21:$C$25,MATCH(F84,Inputs!$A$21:$A$25,0))</f>
        <v>1</v>
      </c>
      <c r="AL84" s="5">
        <f>INDEX(Inputs!$D$21:$D$25,MATCH(F84,Inputs!$A$21:$A$25,0))</f>
        <v>0</v>
      </c>
      <c r="AM84" s="4">
        <f t="shared" si="73"/>
        <v>66400</v>
      </c>
      <c r="AN84" s="4">
        <f t="shared" si="74"/>
        <v>0</v>
      </c>
      <c r="AO84" s="3">
        <f t="shared" si="75"/>
        <v>1</v>
      </c>
      <c r="AP84" s="4">
        <f t="shared" si="76"/>
        <v>20075.069999999996</v>
      </c>
      <c r="AQ84" s="4">
        <f t="shared" si="77"/>
        <v>0</v>
      </c>
      <c r="AR84" s="4">
        <f t="shared" si="78"/>
        <v>0</v>
      </c>
      <c r="AS84" s="3">
        <f t="shared" si="79"/>
        <v>0</v>
      </c>
      <c r="AT84" s="4">
        <f t="shared" si="80"/>
        <v>0</v>
      </c>
      <c r="AU84" s="4">
        <f t="shared" si="81"/>
        <v>10483.100000000006</v>
      </c>
      <c r="AV84" s="4">
        <f t="shared" si="82"/>
        <v>0</v>
      </c>
      <c r="AW84" s="4">
        <f t="shared" si="83"/>
        <v>0</v>
      </c>
      <c r="AX84" s="5">
        <f t="shared" si="84"/>
        <v>0</v>
      </c>
      <c r="AY84" s="4">
        <f t="shared" si="85"/>
        <v>66916.899999999994</v>
      </c>
      <c r="AZ84" s="3">
        <f t="shared" si="86"/>
        <v>0</v>
      </c>
      <c r="BA84" s="4">
        <f t="shared" si="87"/>
        <v>71554.241169999994</v>
      </c>
      <c r="BB84" s="4">
        <f t="shared" si="88"/>
        <v>19783.066796167997</v>
      </c>
      <c r="BC84" s="4">
        <f t="shared" si="89"/>
        <v>71554.241169999994</v>
      </c>
      <c r="BD84" s="4">
        <f t="shared" si="90"/>
        <v>19783.066796167997</v>
      </c>
      <c r="BE84" s="4">
        <f t="shared" si="91"/>
        <v>71554.241169999994</v>
      </c>
      <c r="BF84" s="4">
        <f t="shared" si="92"/>
        <v>19783.066796167997</v>
      </c>
      <c r="BG84" s="4">
        <f t="shared" si="93"/>
        <v>0</v>
      </c>
      <c r="BH84" s="4">
        <f t="shared" si="94"/>
        <v>0</v>
      </c>
      <c r="BI84" s="4">
        <f t="shared" si="95"/>
        <v>0</v>
      </c>
      <c r="BJ84" s="4">
        <f t="shared" si="96"/>
        <v>0</v>
      </c>
      <c r="BK84" s="4">
        <f t="shared" si="97"/>
        <v>0</v>
      </c>
      <c r="BL84" s="4">
        <f t="shared" si="98"/>
        <v>0</v>
      </c>
      <c r="BM84" s="4">
        <f t="shared" si="99"/>
        <v>66916.899999999994</v>
      </c>
      <c r="BN84" s="4">
        <f t="shared" si="100"/>
        <v>2676.6759999999999</v>
      </c>
      <c r="BO84" s="4">
        <f t="shared" si="101"/>
        <v>2676.6759999999999</v>
      </c>
      <c r="BP84" s="4">
        <f t="shared" si="102"/>
        <v>185.49364679999999</v>
      </c>
      <c r="BQ84" s="4">
        <f t="shared" si="103"/>
        <v>74416.410816799995</v>
      </c>
      <c r="BR84" s="4">
        <f t="shared" si="104"/>
        <v>19812.833360494718</v>
      </c>
      <c r="BS84" s="4">
        <f t="shared" si="105"/>
        <v>29.766564326720982</v>
      </c>
      <c r="BT84" s="4">
        <f t="shared" si="106"/>
        <v>71554.241169999994</v>
      </c>
      <c r="BU84" s="4">
        <f t="shared" si="107"/>
        <v>71554.241169999994</v>
      </c>
      <c r="BV84" s="7">
        <f t="shared" si="108"/>
        <v>643988.17053</v>
      </c>
      <c r="BW84" s="7">
        <f t="shared" si="109"/>
        <v>715640.36411775486</v>
      </c>
    </row>
    <row r="85" spans="1:75" x14ac:dyDescent="0.3">
      <c r="A85" s="3">
        <f t="shared" si="55"/>
        <v>81</v>
      </c>
      <c r="B85" t="str">
        <f>INDEX(Employees!$A:$A,A85+1)</f>
        <v>E081</v>
      </c>
      <c r="C85" t="str">
        <f>INDEX(Employees!$A:$Z,MATCH(B85,Employees!$A:$A,0),MATCH("category",Employees!$1:$1,0))</f>
        <v>Operations</v>
      </c>
      <c r="D85" t="str">
        <f>INDEX(Employees!$A:$Z,MATCH(B85,Employees!$A:$A,0),MATCH("gender",Employees!$1:$1,0))</f>
        <v>M</v>
      </c>
      <c r="E85" s="3">
        <f>INDEX(Employees!$A:$Z,MATCH(B85,Employees!$A:$A,0),MATCH("grade",Employees!$1:$1,0))</f>
        <v>6</v>
      </c>
      <c r="F85" s="3">
        <f>INDEX(Employees!$A:$Z,MATCH(B85,Employees!$A:$A,0),MATCH("rating",Employees!$1:$1,0))</f>
        <v>3</v>
      </c>
      <c r="G85" s="22">
        <f>INDEX(Employees!$A:$Z,MATCH(B85,Employees!$A:$A,0),MATCH("hire_date",Employees!$1:$1,0))</f>
        <v>44140</v>
      </c>
      <c r="H85" s="22">
        <f>INDEX(Employees!$A:$Z,MATCH(B85,Employees!$A:$A,0),MATCH("last_change_date",Employees!$1:$1,0))</f>
        <v>46113</v>
      </c>
      <c r="I85" s="4">
        <f>INDEX(Employees!$A:$Z,MATCH(B85,Employees!$A:$A,0),MATCH("base_salary",Employees!$1:$1,0))</f>
        <v>49061.01</v>
      </c>
      <c r="J85" s="5">
        <f>INDEX(Employees!$A:$Z,MATCH(B85,Employees!$A:$A,0),MATCH("bonus_pct",Employees!$1:$1,0))/100</f>
        <v>9.4200000000000006E-2</v>
      </c>
      <c r="K85" s="7">
        <f>INDEX(Employees!$A:$Z,MATCH(B85,Employees!$A:$A,0),MATCH("fte",Employees!$1:$1,0))</f>
        <v>1</v>
      </c>
      <c r="L85" s="3">
        <f>IF(ISNA(MATCH(C85&amp;"|"&amp;E85,Bands!$F:$F,0)),0,1)</f>
        <v>1</v>
      </c>
      <c r="M85" s="4">
        <f>INDEX(Bands!$C:$C,MATCH(C85&amp;"|"&amp;E85,Bands!$F:$F,0))</f>
        <v>37000</v>
      </c>
      <c r="N85" s="4">
        <f>INDEX(Bands!$D:$D,MATCH(C85&amp;"|"&amp;E85,Bands!$F:$F,0))</f>
        <v>44400</v>
      </c>
      <c r="O85" s="4">
        <f>INDEX(Bands!$E:$E,MATCH(C85&amp;"|"&amp;E85,Bands!$F:$F,0))</f>
        <v>51800</v>
      </c>
      <c r="P85" s="7">
        <f t="shared" si="56"/>
        <v>6.4010951403148528</v>
      </c>
      <c r="Q85" s="4">
        <f t="shared" si="57"/>
        <v>53682.557142000005</v>
      </c>
      <c r="R85" s="7">
        <f t="shared" si="58"/>
        <v>36</v>
      </c>
      <c r="S85" s="7">
        <f t="shared" si="59"/>
        <v>40.974018995362428</v>
      </c>
      <c r="T85" s="7">
        <f t="shared" si="60"/>
        <v>38.406570841889121</v>
      </c>
      <c r="U85" s="7">
        <f t="shared" si="61"/>
        <v>322095.34285200003</v>
      </c>
      <c r="V85" s="7">
        <f t="shared" si="62"/>
        <v>343627.15564133064</v>
      </c>
      <c r="W85" s="4">
        <f t="shared" si="63"/>
        <v>53682.559999999998</v>
      </c>
      <c r="X85" s="3">
        <f t="shared" si="64"/>
        <v>22</v>
      </c>
      <c r="Y85" s="4">
        <f>INDEX(Categories!$AH:$AH,MATCH(C85,Categories!$A:$A,0))</f>
        <v>51811.839122000005</v>
      </c>
      <c r="Z85" s="3">
        <f>IF(AND(D85="F",Q85&lt;Y85,INDEX(Categories!$AI:$AI,MATCH(C85,Categories!$A:$A,0))&gt;0),1,0)</f>
        <v>0</v>
      </c>
      <c r="AA85" s="4">
        <f t="shared" si="65"/>
        <v>0</v>
      </c>
      <c r="AB85" s="4">
        <f>IF(Z85=1,INDEX(Categories!$AI:$AI,MATCH(C85,Categories!$A:$A,0))*AA85/INDEX(Categories!$AJ:$AJ,MATCH(C85,Categories!$A:$A,0)),0)</f>
        <v>0</v>
      </c>
      <c r="AC85" s="4">
        <f t="shared" si="66"/>
        <v>0</v>
      </c>
      <c r="AD85" s="4">
        <f t="shared" si="67"/>
        <v>49061.01</v>
      </c>
      <c r="AE85" s="3">
        <f t="shared" si="68"/>
        <v>0</v>
      </c>
      <c r="AF85" s="3">
        <f t="shared" si="69"/>
        <v>76</v>
      </c>
      <c r="AG85" s="3">
        <f t="shared" si="70"/>
        <v>12</v>
      </c>
      <c r="AH85" s="3">
        <f t="shared" si="71"/>
        <v>1</v>
      </c>
      <c r="AI85" s="5">
        <f t="shared" si="72"/>
        <v>1.1049777027027028</v>
      </c>
      <c r="AJ85" s="3">
        <f>MATCH(AI85,Inputs!$B$31:$B$34,1)</f>
        <v>4</v>
      </c>
      <c r="AK85" s="5">
        <f>INDEX(Inputs!$C$21:$C$25,MATCH(F85,Inputs!$A$21:$A$25,0))</f>
        <v>1</v>
      </c>
      <c r="AL85" s="5">
        <f>INDEX(Inputs!$D$21:$D$25,MATCH(F85,Inputs!$A$21:$A$25,0))</f>
        <v>0</v>
      </c>
      <c r="AM85" s="4">
        <f t="shared" si="73"/>
        <v>44400</v>
      </c>
      <c r="AN85" s="4">
        <f t="shared" si="74"/>
        <v>0</v>
      </c>
      <c r="AO85" s="3">
        <f t="shared" si="75"/>
        <v>1</v>
      </c>
      <c r="AP85" s="4">
        <f t="shared" si="76"/>
        <v>14718.303</v>
      </c>
      <c r="AQ85" s="4">
        <f t="shared" si="77"/>
        <v>0</v>
      </c>
      <c r="AR85" s="4">
        <f t="shared" si="78"/>
        <v>0</v>
      </c>
      <c r="AS85" s="3">
        <f t="shared" si="79"/>
        <v>0</v>
      </c>
      <c r="AT85" s="4">
        <f t="shared" si="80"/>
        <v>0</v>
      </c>
      <c r="AU85" s="4">
        <f t="shared" si="81"/>
        <v>2738.989999999998</v>
      </c>
      <c r="AV85" s="4">
        <f t="shared" si="82"/>
        <v>0</v>
      </c>
      <c r="AW85" s="4">
        <f t="shared" si="83"/>
        <v>0</v>
      </c>
      <c r="AX85" s="5">
        <f t="shared" si="84"/>
        <v>0</v>
      </c>
      <c r="AY85" s="4">
        <f t="shared" si="85"/>
        <v>49061.01</v>
      </c>
      <c r="AZ85" s="3">
        <f t="shared" si="86"/>
        <v>0</v>
      </c>
      <c r="BA85" s="4">
        <f t="shared" si="87"/>
        <v>53682.557142000005</v>
      </c>
      <c r="BB85" s="4">
        <f t="shared" si="88"/>
        <v>17258.942121153003</v>
      </c>
      <c r="BC85" s="4">
        <f t="shared" si="89"/>
        <v>53682.557142000005</v>
      </c>
      <c r="BD85" s="4">
        <f t="shared" si="90"/>
        <v>17258.942121153003</v>
      </c>
      <c r="BE85" s="4">
        <f t="shared" si="91"/>
        <v>53682.557142000005</v>
      </c>
      <c r="BF85" s="4">
        <f t="shared" si="92"/>
        <v>17258.942121153003</v>
      </c>
      <c r="BG85" s="4">
        <f t="shared" si="93"/>
        <v>0</v>
      </c>
      <c r="BH85" s="4">
        <f t="shared" si="94"/>
        <v>0</v>
      </c>
      <c r="BI85" s="4">
        <f t="shared" si="95"/>
        <v>0</v>
      </c>
      <c r="BJ85" s="4">
        <f t="shared" si="96"/>
        <v>0</v>
      </c>
      <c r="BK85" s="4">
        <f t="shared" si="97"/>
        <v>0</v>
      </c>
      <c r="BL85" s="4">
        <f t="shared" si="98"/>
        <v>0</v>
      </c>
      <c r="BM85" s="4">
        <f t="shared" si="99"/>
        <v>49061.01</v>
      </c>
      <c r="BN85" s="4">
        <f t="shared" si="100"/>
        <v>1962.4404000000002</v>
      </c>
      <c r="BO85" s="4">
        <f t="shared" si="101"/>
        <v>1962.4404000000002</v>
      </c>
      <c r="BP85" s="4">
        <f t="shared" si="102"/>
        <v>184.86188568000003</v>
      </c>
      <c r="BQ85" s="4">
        <f t="shared" si="103"/>
        <v>55829.859427680007</v>
      </c>
      <c r="BR85" s="4">
        <f t="shared" si="104"/>
        <v>17949.299805999122</v>
      </c>
      <c r="BS85" s="4">
        <f t="shared" si="105"/>
        <v>690.35768484611981</v>
      </c>
      <c r="BT85" s="4">
        <f t="shared" si="106"/>
        <v>53682.557142000005</v>
      </c>
      <c r="BU85" s="4">
        <f t="shared" si="107"/>
        <v>53682.557142000005</v>
      </c>
      <c r="BV85" s="7">
        <f t="shared" si="108"/>
        <v>322095.34285200003</v>
      </c>
      <c r="BW85" s="7">
        <f t="shared" si="109"/>
        <v>343627.15564133064</v>
      </c>
    </row>
    <row r="86" spans="1:75" x14ac:dyDescent="0.3">
      <c r="A86" s="3">
        <f t="shared" si="55"/>
        <v>82</v>
      </c>
      <c r="B86" t="str">
        <f>INDEX(Employees!$A:$A,A86+1)</f>
        <v>E082</v>
      </c>
      <c r="C86" t="str">
        <f>INDEX(Employees!$A:$Z,MATCH(B86,Employees!$A:$A,0),MATCH("category",Employees!$1:$1,0))</f>
        <v>Operations</v>
      </c>
      <c r="D86" t="str">
        <f>INDEX(Employees!$A:$Z,MATCH(B86,Employees!$A:$A,0),MATCH("gender",Employees!$1:$1,0))</f>
        <v>F</v>
      </c>
      <c r="E86" s="3">
        <f>INDEX(Employees!$A:$Z,MATCH(B86,Employees!$A:$A,0),MATCH("grade",Employees!$1:$1,0))</f>
        <v>10</v>
      </c>
      <c r="F86" s="3">
        <f>INDEX(Employees!$A:$Z,MATCH(B86,Employees!$A:$A,0),MATCH("rating",Employees!$1:$1,0))</f>
        <v>4</v>
      </c>
      <c r="G86" s="22">
        <f>INDEX(Employees!$A:$Z,MATCH(B86,Employees!$A:$A,0),MATCH("hire_date",Employees!$1:$1,0))</f>
        <v>43446</v>
      </c>
      <c r="H86" s="22">
        <f>INDEX(Employees!$A:$Z,MATCH(B86,Employees!$A:$A,0),MATCH("last_change_date",Employees!$1:$1,0))</f>
        <v>46113</v>
      </c>
      <c r="I86" s="4">
        <f>INDEX(Employees!$A:$Z,MATCH(B86,Employees!$A:$A,0),MATCH("base_salary",Employees!$1:$1,0))</f>
        <v>78077.88</v>
      </c>
      <c r="J86" s="5">
        <f>INDEX(Employees!$A:$Z,MATCH(B86,Employees!$A:$A,0),MATCH("bonus_pct",Employees!$1:$1,0))/100</f>
        <v>6.6699999999999995E-2</v>
      </c>
      <c r="K86" s="7">
        <f>INDEX(Employees!$A:$Z,MATCH(B86,Employees!$A:$A,0),MATCH("fte",Employees!$1:$1,0))</f>
        <v>1</v>
      </c>
      <c r="L86" s="3">
        <f>IF(ISNA(MATCH(C86&amp;"|"&amp;E86,Bands!$F:$F,0)),0,1)</f>
        <v>1</v>
      </c>
      <c r="M86" s="4">
        <f>INDEX(Bands!$C:$C,MATCH(C86&amp;"|"&amp;E86,Bands!$F:$F,0))</f>
        <v>60700</v>
      </c>
      <c r="N86" s="4">
        <f>INDEX(Bands!$D:$D,MATCH(C86&amp;"|"&amp;E86,Bands!$F:$F,0))</f>
        <v>75900</v>
      </c>
      <c r="O86" s="4">
        <f>INDEX(Bands!$E:$E,MATCH(C86&amp;"|"&amp;E86,Bands!$F:$F,0))</f>
        <v>91100</v>
      </c>
      <c r="P86" s="7">
        <f t="shared" si="56"/>
        <v>8.301163586584531</v>
      </c>
      <c r="Q86" s="4">
        <f t="shared" si="57"/>
        <v>83285.674595999997</v>
      </c>
      <c r="R86" s="7">
        <f t="shared" si="58"/>
        <v>100</v>
      </c>
      <c r="S86" s="7">
        <f t="shared" si="59"/>
        <v>68.909316891236955</v>
      </c>
      <c r="T86" s="7">
        <f t="shared" si="60"/>
        <v>83.011635865845307</v>
      </c>
      <c r="U86" s="7">
        <f t="shared" si="61"/>
        <v>832856.74595999997</v>
      </c>
      <c r="V86" s="7">
        <f t="shared" si="62"/>
        <v>691368.00924044347</v>
      </c>
      <c r="W86" s="4">
        <f t="shared" si="63"/>
        <v>83285.67</v>
      </c>
      <c r="X86" s="3">
        <f t="shared" si="64"/>
        <v>38</v>
      </c>
      <c r="Y86" s="4">
        <f>INDEX(Categories!$AH:$AH,MATCH(C86,Categories!$A:$A,0))</f>
        <v>51811.839122000005</v>
      </c>
      <c r="Z86" s="3">
        <f>IF(AND(D86="F",Q86&lt;Y86,INDEX(Categories!$AI:$AI,MATCH(C86,Categories!$A:$A,0))&gt;0),1,0)</f>
        <v>0</v>
      </c>
      <c r="AA86" s="4">
        <f t="shared" si="65"/>
        <v>0</v>
      </c>
      <c r="AB86" s="4">
        <f>IF(Z86=1,INDEX(Categories!$AI:$AI,MATCH(C86,Categories!$A:$A,0))*AA86/INDEX(Categories!$AJ:$AJ,MATCH(C86,Categories!$A:$A,0)),0)</f>
        <v>0</v>
      </c>
      <c r="AC86" s="4">
        <f t="shared" si="66"/>
        <v>0</v>
      </c>
      <c r="AD86" s="4">
        <f t="shared" si="67"/>
        <v>78077.88</v>
      </c>
      <c r="AE86" s="3">
        <f t="shared" si="68"/>
        <v>0</v>
      </c>
      <c r="AF86" s="3">
        <f t="shared" si="69"/>
        <v>99</v>
      </c>
      <c r="AG86" s="3">
        <f t="shared" si="70"/>
        <v>12</v>
      </c>
      <c r="AH86" s="3">
        <f t="shared" si="71"/>
        <v>1</v>
      </c>
      <c r="AI86" s="5">
        <f t="shared" si="72"/>
        <v>1.0286940711462451</v>
      </c>
      <c r="AJ86" s="3">
        <f>MATCH(AI86,Inputs!$B$31:$B$34,1)</f>
        <v>3</v>
      </c>
      <c r="AK86" s="5">
        <f>INDEX(Inputs!$C$21:$C$25,MATCH(F86,Inputs!$A$21:$A$25,0))</f>
        <v>1.05</v>
      </c>
      <c r="AL86" s="5">
        <f>INDEX(Inputs!$D$21:$D$25,MATCH(F86,Inputs!$A$21:$A$25,0))</f>
        <v>0.01</v>
      </c>
      <c r="AM86" s="4">
        <f t="shared" si="73"/>
        <v>79695</v>
      </c>
      <c r="AN86" s="4">
        <f t="shared" si="74"/>
        <v>1617.1199999999953</v>
      </c>
      <c r="AO86" s="3">
        <f t="shared" si="75"/>
        <v>1</v>
      </c>
      <c r="AP86" s="4">
        <f t="shared" si="76"/>
        <v>23423.364000000001</v>
      </c>
      <c r="AQ86" s="4">
        <f t="shared" si="77"/>
        <v>780.77880000000005</v>
      </c>
      <c r="AR86" s="4">
        <f t="shared" si="78"/>
        <v>1617.1199999999953</v>
      </c>
      <c r="AS86" s="3">
        <f t="shared" si="79"/>
        <v>0</v>
      </c>
      <c r="AT86" s="4">
        <f t="shared" si="80"/>
        <v>1617.1199999999953</v>
      </c>
      <c r="AU86" s="4">
        <f t="shared" si="81"/>
        <v>13022.119999999995</v>
      </c>
      <c r="AV86" s="4">
        <f t="shared" si="82"/>
        <v>1617.1199999999953</v>
      </c>
      <c r="AW86" s="4">
        <f t="shared" si="83"/>
        <v>1617.1199999999953</v>
      </c>
      <c r="AX86" s="5">
        <f t="shared" si="84"/>
        <v>2.0711627928422176E-2</v>
      </c>
      <c r="AY86" s="4">
        <f t="shared" si="85"/>
        <v>79695</v>
      </c>
      <c r="AZ86" s="3">
        <f t="shared" si="86"/>
        <v>0</v>
      </c>
      <c r="BA86" s="4">
        <f t="shared" si="87"/>
        <v>83285.674595999997</v>
      </c>
      <c r="BB86" s="4">
        <f t="shared" si="88"/>
        <v>19905.073703798396</v>
      </c>
      <c r="BC86" s="4">
        <f t="shared" si="89"/>
        <v>83285.674595999997</v>
      </c>
      <c r="BD86" s="4">
        <f t="shared" si="90"/>
        <v>19905.073703798396</v>
      </c>
      <c r="BE86" s="4">
        <f t="shared" si="91"/>
        <v>85010.656499999997</v>
      </c>
      <c r="BF86" s="4">
        <f t="shared" si="92"/>
        <v>19923.013515599996</v>
      </c>
      <c r="BG86" s="4">
        <f t="shared" si="93"/>
        <v>0</v>
      </c>
      <c r="BH86" s="4">
        <f t="shared" si="94"/>
        <v>0</v>
      </c>
      <c r="BI86" s="4">
        <f t="shared" si="95"/>
        <v>0</v>
      </c>
      <c r="BJ86" s="4">
        <f t="shared" si="96"/>
        <v>1617.1199999999953</v>
      </c>
      <c r="BK86" s="4">
        <f t="shared" si="97"/>
        <v>107.86190399999968</v>
      </c>
      <c r="BL86" s="4">
        <f t="shared" si="98"/>
        <v>17.939811801599717</v>
      </c>
      <c r="BM86" s="4">
        <f t="shared" si="99"/>
        <v>78077.88</v>
      </c>
      <c r="BN86" s="4">
        <f t="shared" si="100"/>
        <v>3123.1152000000002</v>
      </c>
      <c r="BO86" s="4">
        <f t="shared" si="101"/>
        <v>3123.1152000000002</v>
      </c>
      <c r="BP86" s="4">
        <f t="shared" si="102"/>
        <v>208.31178384</v>
      </c>
      <c r="BQ86" s="4">
        <f t="shared" si="103"/>
        <v>86617.101579840004</v>
      </c>
      <c r="BR86" s="4">
        <f t="shared" si="104"/>
        <v>19939.720544430333</v>
      </c>
      <c r="BS86" s="4">
        <f t="shared" si="105"/>
        <v>34.646840631936357</v>
      </c>
      <c r="BT86" s="4">
        <f t="shared" si="106"/>
        <v>83285.674595999997</v>
      </c>
      <c r="BU86" s="4">
        <f t="shared" si="107"/>
        <v>85010.656499999997</v>
      </c>
      <c r="BV86" s="7">
        <f t="shared" si="108"/>
        <v>850106.56499999994</v>
      </c>
      <c r="BW86" s="7">
        <f t="shared" si="109"/>
        <v>705687.36620944552</v>
      </c>
    </row>
    <row r="87" spans="1:75" x14ac:dyDescent="0.3">
      <c r="A87" s="3">
        <f t="shared" si="55"/>
        <v>83</v>
      </c>
      <c r="B87" t="str">
        <f>INDEX(Employees!$A:$A,A87+1)</f>
        <v>E083</v>
      </c>
      <c r="C87" t="str">
        <f>INDEX(Employees!$A:$Z,MATCH(B87,Employees!$A:$A,0),MATCH("category",Employees!$1:$1,0))</f>
        <v>Legal</v>
      </c>
      <c r="D87" t="str">
        <f>INDEX(Employees!$A:$Z,MATCH(B87,Employees!$A:$A,0),MATCH("gender",Employees!$1:$1,0))</f>
        <v>F</v>
      </c>
      <c r="E87" s="3">
        <f>INDEX(Employees!$A:$Z,MATCH(B87,Employees!$A:$A,0),MATCH("grade",Employees!$1:$1,0))</f>
        <v>9</v>
      </c>
      <c r="F87" s="3">
        <f>INDEX(Employees!$A:$Z,MATCH(B87,Employees!$A:$A,0),MATCH("rating",Employees!$1:$1,0))</f>
        <v>4</v>
      </c>
      <c r="G87" s="22">
        <f>INDEX(Employees!$A:$Z,MATCH(B87,Employees!$A:$A,0),MATCH("hire_date",Employees!$1:$1,0))</f>
        <v>44250</v>
      </c>
      <c r="H87" s="22">
        <f>INDEX(Employees!$A:$Z,MATCH(B87,Employees!$A:$A,0),MATCH("last_change_date",Employees!$1:$1,0))</f>
        <v>46113</v>
      </c>
      <c r="I87" s="4">
        <f>INDEX(Employees!$A:$Z,MATCH(B87,Employees!$A:$A,0),MATCH("base_salary",Employees!$1:$1,0))</f>
        <v>65064.35</v>
      </c>
      <c r="J87" s="5">
        <f>INDEX(Employees!$A:$Z,MATCH(B87,Employees!$A:$A,0),MATCH("bonus_pct",Employees!$1:$1,0))/100</f>
        <v>0.15390000000000001</v>
      </c>
      <c r="K87" s="7">
        <f>INDEX(Employees!$A:$Z,MATCH(B87,Employees!$A:$A,0),MATCH("fte",Employees!$1:$1,0))</f>
        <v>1</v>
      </c>
      <c r="L87" s="3">
        <f>IF(ISNA(MATCH(C87&amp;"|"&amp;E87,Bands!$F:$F,0)),0,1)</f>
        <v>1</v>
      </c>
      <c r="M87" s="4">
        <f>INDEX(Bands!$C:$C,MATCH(C87&amp;"|"&amp;E87,Bands!$F:$F,0))</f>
        <v>53300</v>
      </c>
      <c r="N87" s="4">
        <f>INDEX(Bands!$D:$D,MATCH(C87&amp;"|"&amp;E87,Bands!$F:$F,0))</f>
        <v>63900</v>
      </c>
      <c r="O87" s="4">
        <f>INDEX(Bands!$E:$E,MATCH(C87&amp;"|"&amp;E87,Bands!$F:$F,0))</f>
        <v>74600</v>
      </c>
      <c r="P87" s="7">
        <f t="shared" si="56"/>
        <v>6.0999315537303218</v>
      </c>
      <c r="Q87" s="4">
        <f t="shared" si="57"/>
        <v>75077.753464999987</v>
      </c>
      <c r="R87" s="7">
        <f t="shared" si="58"/>
        <v>81</v>
      </c>
      <c r="S87" s="7">
        <f t="shared" si="59"/>
        <v>37.209164960194819</v>
      </c>
      <c r="T87" s="7">
        <f t="shared" si="60"/>
        <v>54.899383983572896</v>
      </c>
      <c r="U87" s="7">
        <f t="shared" si="61"/>
        <v>675699.78118499985</v>
      </c>
      <c r="V87" s="7">
        <f t="shared" si="62"/>
        <v>457969.15734433942</v>
      </c>
      <c r="W87" s="4">
        <f t="shared" si="63"/>
        <v>75077.75</v>
      </c>
      <c r="X87" s="3">
        <f t="shared" si="64"/>
        <v>3</v>
      </c>
      <c r="Y87" s="4">
        <f>INDEX(Categories!$AH:$AH,MATCH(C87,Categories!$A:$A,0))</f>
        <v>80332.662391999998</v>
      </c>
      <c r="Z87" s="3">
        <f>IF(AND(D87="F",Q87&lt;Y87,INDEX(Categories!$AI:$AI,MATCH(C87,Categories!$A:$A,0))&gt;0),1,0)</f>
        <v>1</v>
      </c>
      <c r="AA87" s="4">
        <f t="shared" si="65"/>
        <v>5254.9089270000113</v>
      </c>
      <c r="AB87" s="4">
        <f>IF(Z87=1,INDEX(Categories!$AI:$AI,MATCH(C87,Categories!$A:$A,0))*AA87/INDEX(Categories!$AJ:$AJ,MATCH(C87,Categories!$A:$A,0)),0)</f>
        <v>10457.03650442379</v>
      </c>
      <c r="AC87" s="4">
        <f t="shared" si="66"/>
        <v>9062.3420612044283</v>
      </c>
      <c r="AD87" s="4">
        <f t="shared" si="67"/>
        <v>74126.692061204434</v>
      </c>
      <c r="AE87" s="3">
        <f t="shared" si="68"/>
        <v>0</v>
      </c>
      <c r="AF87" s="3">
        <f t="shared" si="69"/>
        <v>73</v>
      </c>
      <c r="AG87" s="3">
        <f t="shared" si="70"/>
        <v>12</v>
      </c>
      <c r="AH87" s="3">
        <f t="shared" si="71"/>
        <v>1</v>
      </c>
      <c r="AI87" s="5">
        <f t="shared" si="72"/>
        <v>1.1600421292833245</v>
      </c>
      <c r="AJ87" s="3">
        <f>MATCH(AI87,Inputs!$B$31:$B$34,1)</f>
        <v>4</v>
      </c>
      <c r="AK87" s="5">
        <f>INDEX(Inputs!$C$21:$C$25,MATCH(F87,Inputs!$A$21:$A$25,0))</f>
        <v>1.05</v>
      </c>
      <c r="AL87" s="5">
        <f>INDEX(Inputs!$D$21:$D$25,MATCH(F87,Inputs!$A$21:$A$25,0))</f>
        <v>0.01</v>
      </c>
      <c r="AM87" s="4">
        <f t="shared" si="73"/>
        <v>67095</v>
      </c>
      <c r="AN87" s="4">
        <f t="shared" si="74"/>
        <v>0</v>
      </c>
      <c r="AO87" s="3">
        <f t="shared" si="75"/>
        <v>1</v>
      </c>
      <c r="AP87" s="4">
        <f t="shared" si="76"/>
        <v>22238.007618361331</v>
      </c>
      <c r="AQ87" s="4">
        <f t="shared" si="77"/>
        <v>741.26692061204437</v>
      </c>
      <c r="AR87" s="4">
        <f t="shared" si="78"/>
        <v>741.26692061204437</v>
      </c>
      <c r="AS87" s="3">
        <f t="shared" si="79"/>
        <v>0</v>
      </c>
      <c r="AT87" s="4">
        <f t="shared" si="80"/>
        <v>741.26692061204437</v>
      </c>
      <c r="AU87" s="4">
        <f t="shared" si="81"/>
        <v>473.30793879556586</v>
      </c>
      <c r="AV87" s="4">
        <f t="shared" si="82"/>
        <v>473.30793879556586</v>
      </c>
      <c r="AW87" s="4">
        <f t="shared" si="83"/>
        <v>473.30793879556586</v>
      </c>
      <c r="AX87" s="5">
        <f t="shared" si="84"/>
        <v>6.3851215484533978E-3</v>
      </c>
      <c r="AY87" s="4">
        <f t="shared" si="85"/>
        <v>74600</v>
      </c>
      <c r="AZ87" s="3">
        <f t="shared" si="86"/>
        <v>0</v>
      </c>
      <c r="BA87" s="4">
        <f t="shared" si="87"/>
        <v>75077.753464999987</v>
      </c>
      <c r="BB87" s="4">
        <f t="shared" si="88"/>
        <v>19819.711324035998</v>
      </c>
      <c r="BC87" s="4">
        <f t="shared" si="89"/>
        <v>85534.789969423786</v>
      </c>
      <c r="BD87" s="4">
        <f t="shared" si="90"/>
        <v>19928.464503682004</v>
      </c>
      <c r="BE87" s="4">
        <f t="shared" si="91"/>
        <v>86080.939999999988</v>
      </c>
      <c r="BF87" s="4">
        <f t="shared" si="92"/>
        <v>19934.144463999997</v>
      </c>
      <c r="BG87" s="4">
        <f t="shared" si="93"/>
        <v>9062.3420612044283</v>
      </c>
      <c r="BH87" s="4">
        <f t="shared" si="94"/>
        <v>1394.6944432193616</v>
      </c>
      <c r="BI87" s="4">
        <f t="shared" si="95"/>
        <v>108.75317964600617</v>
      </c>
      <c r="BJ87" s="4">
        <f t="shared" si="96"/>
        <v>473.30793879556586</v>
      </c>
      <c r="BK87" s="4">
        <f t="shared" si="97"/>
        <v>72.842091780637588</v>
      </c>
      <c r="BL87" s="4">
        <f t="shared" si="98"/>
        <v>5.6799603179933911</v>
      </c>
      <c r="BM87" s="4">
        <f t="shared" si="99"/>
        <v>74126.692061204434</v>
      </c>
      <c r="BN87" s="4">
        <f t="shared" si="100"/>
        <v>2965.0676824481775</v>
      </c>
      <c r="BO87" s="4">
        <f t="shared" si="101"/>
        <v>2965.0676824481775</v>
      </c>
      <c r="BP87" s="4">
        <f t="shared" si="102"/>
        <v>456.32391632877454</v>
      </c>
      <c r="BQ87" s="4">
        <f t="shared" si="103"/>
        <v>88956.181568200744</v>
      </c>
      <c r="BR87" s="4">
        <f t="shared" si="104"/>
        <v>19964.046976309284</v>
      </c>
      <c r="BS87" s="4">
        <f t="shared" si="105"/>
        <v>35.582472627280367</v>
      </c>
      <c r="BT87" s="4">
        <f t="shared" si="106"/>
        <v>85534.789969423786</v>
      </c>
      <c r="BU87" s="4">
        <f t="shared" si="107"/>
        <v>86080.939999999988</v>
      </c>
      <c r="BV87" s="7">
        <f t="shared" si="108"/>
        <v>774728.45999999985</v>
      </c>
      <c r="BW87" s="7">
        <f t="shared" si="109"/>
        <v>525087.84208076657</v>
      </c>
    </row>
    <row r="88" spans="1:75" x14ac:dyDescent="0.3">
      <c r="A88" s="3">
        <f t="shared" si="55"/>
        <v>84</v>
      </c>
      <c r="B88" t="str">
        <f>INDEX(Employees!$A:$A,A88+1)</f>
        <v>E084</v>
      </c>
      <c r="C88" t="str">
        <f>INDEX(Employees!$A:$Z,MATCH(B88,Employees!$A:$A,0),MATCH("category",Employees!$1:$1,0))</f>
        <v>Legal</v>
      </c>
      <c r="D88" t="str">
        <f>INDEX(Employees!$A:$Z,MATCH(B88,Employees!$A:$A,0),MATCH("gender",Employees!$1:$1,0))</f>
        <v>F</v>
      </c>
      <c r="E88" s="3">
        <f>INDEX(Employees!$A:$Z,MATCH(B88,Employees!$A:$A,0),MATCH("grade",Employees!$1:$1,0))</f>
        <v>10</v>
      </c>
      <c r="F88" s="3">
        <f>INDEX(Employees!$A:$Z,MATCH(B88,Employees!$A:$A,0),MATCH("rating",Employees!$1:$1,0))</f>
        <v>3</v>
      </c>
      <c r="G88" s="22">
        <f>INDEX(Employees!$A:$Z,MATCH(B88,Employees!$A:$A,0),MATCH("hire_date",Employees!$1:$1,0))</f>
        <v>43885</v>
      </c>
      <c r="H88" s="22">
        <f>INDEX(Employees!$A:$Z,MATCH(B88,Employees!$A:$A,0),MATCH("last_change_date",Employees!$1:$1,0))</f>
        <v>46113</v>
      </c>
      <c r="I88" s="4">
        <f>INDEX(Employees!$A:$Z,MATCH(B88,Employees!$A:$A,0),MATCH("base_salary",Employees!$1:$1,0))</f>
        <v>67252.73</v>
      </c>
      <c r="J88" s="5">
        <f>INDEX(Employees!$A:$Z,MATCH(B88,Employees!$A:$A,0),MATCH("bonus_pct",Employees!$1:$1,0))/100</f>
        <v>0.17739999999999997</v>
      </c>
      <c r="K88" s="7">
        <f>INDEX(Employees!$A:$Z,MATCH(B88,Employees!$A:$A,0),MATCH("fte",Employees!$1:$1,0))</f>
        <v>1</v>
      </c>
      <c r="L88" s="3">
        <f>IF(ISNA(MATCH(C88&amp;"|"&amp;E88,Bands!$F:$F,0)),0,1)</f>
        <v>1</v>
      </c>
      <c r="M88" s="4">
        <f>INDEX(Bands!$C:$C,MATCH(C88&amp;"|"&amp;E88,Bands!$F:$F,0))</f>
        <v>59400</v>
      </c>
      <c r="N88" s="4">
        <f>INDEX(Bands!$D:$D,MATCH(C88&amp;"|"&amp;E88,Bands!$F:$F,0))</f>
        <v>74200</v>
      </c>
      <c r="O88" s="4">
        <f>INDEX(Bands!$E:$E,MATCH(C88&amp;"|"&amp;E88,Bands!$F:$F,0))</f>
        <v>89100</v>
      </c>
      <c r="P88" s="7">
        <f t="shared" si="56"/>
        <v>7.099247091033539</v>
      </c>
      <c r="Q88" s="4">
        <f t="shared" si="57"/>
        <v>79183.364302000002</v>
      </c>
      <c r="R88" s="7">
        <f t="shared" si="58"/>
        <v>100</v>
      </c>
      <c r="S88" s="7">
        <f t="shared" si="59"/>
        <v>50.399309259548168</v>
      </c>
      <c r="T88" s="7">
        <f t="shared" si="60"/>
        <v>70.992470910335385</v>
      </c>
      <c r="U88" s="7">
        <f t="shared" si="61"/>
        <v>791833.64302000008</v>
      </c>
      <c r="V88" s="7">
        <f t="shared" si="62"/>
        <v>562142.26867922244</v>
      </c>
      <c r="W88" s="4">
        <f t="shared" si="63"/>
        <v>79183.360000000001</v>
      </c>
      <c r="X88" s="3">
        <f t="shared" si="64"/>
        <v>4</v>
      </c>
      <c r="Y88" s="4">
        <f>INDEX(Categories!$AH:$AH,MATCH(C88,Categories!$A:$A,0))</f>
        <v>80332.662391999998</v>
      </c>
      <c r="Z88" s="3">
        <f>IF(AND(D88="F",Q88&lt;Y88,INDEX(Categories!$AI:$AI,MATCH(C88,Categories!$A:$A,0))&gt;0),1,0)</f>
        <v>1</v>
      </c>
      <c r="AA88" s="4">
        <f t="shared" si="65"/>
        <v>1149.2980899999966</v>
      </c>
      <c r="AB88" s="4">
        <f>IF(Z88=1,INDEX(Categories!$AI:$AI,MATCH(C88,Categories!$A:$A,0))*AA88/INDEX(Categories!$AJ:$AJ,MATCH(C88,Categories!$A:$A,0)),0)</f>
        <v>2287.0524015828441</v>
      </c>
      <c r="AC88" s="4">
        <f t="shared" si="66"/>
        <v>1942.4599979470393</v>
      </c>
      <c r="AD88" s="4">
        <f t="shared" si="67"/>
        <v>69195.189997947033</v>
      </c>
      <c r="AE88" s="3">
        <f t="shared" si="68"/>
        <v>0</v>
      </c>
      <c r="AF88" s="3">
        <f t="shared" si="69"/>
        <v>85</v>
      </c>
      <c r="AG88" s="3">
        <f t="shared" si="70"/>
        <v>12</v>
      </c>
      <c r="AH88" s="3">
        <f t="shared" si="71"/>
        <v>1</v>
      </c>
      <c r="AI88" s="5">
        <f t="shared" si="72"/>
        <v>0.932549730430553</v>
      </c>
      <c r="AJ88" s="3">
        <f>MATCH(AI88,Inputs!$B$31:$B$34,1)</f>
        <v>2</v>
      </c>
      <c r="AK88" s="5">
        <f>INDEX(Inputs!$C$21:$C$25,MATCH(F88,Inputs!$A$21:$A$25,0))</f>
        <v>1</v>
      </c>
      <c r="AL88" s="5">
        <f>INDEX(Inputs!$D$21:$D$25,MATCH(F88,Inputs!$A$21:$A$25,0))</f>
        <v>0</v>
      </c>
      <c r="AM88" s="4">
        <f t="shared" si="73"/>
        <v>74200</v>
      </c>
      <c r="AN88" s="4">
        <f t="shared" si="74"/>
        <v>5004.8100020529673</v>
      </c>
      <c r="AO88" s="3">
        <f t="shared" si="75"/>
        <v>1</v>
      </c>
      <c r="AP88" s="4">
        <f t="shared" si="76"/>
        <v>20758.556999384109</v>
      </c>
      <c r="AQ88" s="4">
        <f t="shared" si="77"/>
        <v>0</v>
      </c>
      <c r="AR88" s="4">
        <f t="shared" si="78"/>
        <v>5004.8100020529673</v>
      </c>
      <c r="AS88" s="3">
        <f t="shared" si="79"/>
        <v>0</v>
      </c>
      <c r="AT88" s="4">
        <f t="shared" si="80"/>
        <v>5004.8100020529673</v>
      </c>
      <c r="AU88" s="4">
        <f t="shared" si="81"/>
        <v>19904.810002052967</v>
      </c>
      <c r="AV88" s="4">
        <f t="shared" si="82"/>
        <v>5004.8100020529673</v>
      </c>
      <c r="AW88" s="4">
        <f t="shared" si="83"/>
        <v>5004.8100020529673</v>
      </c>
      <c r="AX88" s="5">
        <f t="shared" si="84"/>
        <v>7.2328871446143236E-2</v>
      </c>
      <c r="AY88" s="4">
        <f t="shared" si="85"/>
        <v>74200</v>
      </c>
      <c r="AZ88" s="3">
        <f t="shared" si="86"/>
        <v>0</v>
      </c>
      <c r="BA88" s="4">
        <f t="shared" si="87"/>
        <v>79183.364302000002</v>
      </c>
      <c r="BB88" s="4">
        <f t="shared" si="88"/>
        <v>19862.409676740797</v>
      </c>
      <c r="BC88" s="4">
        <f t="shared" si="89"/>
        <v>81470.416703582843</v>
      </c>
      <c r="BD88" s="4">
        <f t="shared" si="90"/>
        <v>19886.19502171726</v>
      </c>
      <c r="BE88" s="4">
        <f t="shared" si="91"/>
        <v>87363.08</v>
      </c>
      <c r="BF88" s="4">
        <f t="shared" si="92"/>
        <v>19947.478719999999</v>
      </c>
      <c r="BG88" s="4">
        <f t="shared" si="93"/>
        <v>1942.4599979470393</v>
      </c>
      <c r="BH88" s="4">
        <f t="shared" si="94"/>
        <v>344.59240363580471</v>
      </c>
      <c r="BI88" s="4">
        <f t="shared" si="95"/>
        <v>23.785344976462511</v>
      </c>
      <c r="BJ88" s="4">
        <f t="shared" si="96"/>
        <v>5004.8100020529673</v>
      </c>
      <c r="BK88" s="4">
        <f t="shared" si="97"/>
        <v>887.85329436419624</v>
      </c>
      <c r="BL88" s="4">
        <f t="shared" si="98"/>
        <v>61.283698282739351</v>
      </c>
      <c r="BM88" s="4">
        <f t="shared" si="99"/>
        <v>69195.189997947033</v>
      </c>
      <c r="BN88" s="4">
        <f t="shared" si="100"/>
        <v>2767.8075999178814</v>
      </c>
      <c r="BO88" s="4">
        <f t="shared" si="101"/>
        <v>2767.8075999178814</v>
      </c>
      <c r="BP88" s="4">
        <f t="shared" si="102"/>
        <v>491.00906822543209</v>
      </c>
      <c r="BQ88" s="4">
        <f t="shared" si="103"/>
        <v>84729.23337172615</v>
      </c>
      <c r="BR88" s="4">
        <f t="shared" si="104"/>
        <v>19920.086715065951</v>
      </c>
      <c r="BS88" s="4">
        <f t="shared" si="105"/>
        <v>33.891693348690751</v>
      </c>
      <c r="BT88" s="4">
        <f t="shared" si="106"/>
        <v>81470.416703582843</v>
      </c>
      <c r="BU88" s="4">
        <f t="shared" si="107"/>
        <v>87363.08</v>
      </c>
      <c r="BV88" s="7">
        <f t="shared" si="108"/>
        <v>873630.8</v>
      </c>
      <c r="BW88" s="7">
        <f t="shared" si="109"/>
        <v>620212.09155373031</v>
      </c>
    </row>
    <row r="89" spans="1:75" x14ac:dyDescent="0.3">
      <c r="A89" s="3">
        <f t="shared" si="55"/>
        <v>85</v>
      </c>
      <c r="B89" t="str">
        <f>INDEX(Employees!$A:$A,A89+1)</f>
        <v>E085</v>
      </c>
      <c r="C89" t="str">
        <f>INDEX(Employees!$A:$Z,MATCH(B89,Employees!$A:$A,0),MATCH("category",Employees!$1:$1,0))</f>
        <v>Legal</v>
      </c>
      <c r="D89" t="str">
        <f>INDEX(Employees!$A:$Z,MATCH(B89,Employees!$A:$A,0),MATCH("gender",Employees!$1:$1,0))</f>
        <v>M</v>
      </c>
      <c r="E89" s="3">
        <f>INDEX(Employees!$A:$Z,MATCH(B89,Employees!$A:$A,0),MATCH("grade",Employees!$1:$1,0))</f>
        <v>12</v>
      </c>
      <c r="F89" s="3">
        <f>INDEX(Employees!$A:$Z,MATCH(B89,Employees!$A:$A,0),MATCH("rating",Employees!$1:$1,0))</f>
        <v>3</v>
      </c>
      <c r="G89" s="22">
        <f>INDEX(Employees!$A:$Z,MATCH(B89,Employees!$A:$A,0),MATCH("hire_date",Employees!$1:$1,0))</f>
        <v>43519</v>
      </c>
      <c r="H89" s="22">
        <f>INDEX(Employees!$A:$Z,MATCH(B89,Employees!$A:$A,0),MATCH("last_change_date",Employees!$1:$1,0))</f>
        <v>46113</v>
      </c>
      <c r="I89" s="4">
        <f>INDEX(Employees!$A:$Z,MATCH(B89,Employees!$A:$A,0),MATCH("base_salary",Employees!$1:$1,0))</f>
        <v>101390.98</v>
      </c>
      <c r="J89" s="5">
        <f>INDEX(Employees!$A:$Z,MATCH(B89,Employees!$A:$A,0),MATCH("bonus_pct",Employees!$1:$1,0))/100</f>
        <v>0.13470000000000001</v>
      </c>
      <c r="K89" s="7">
        <f>INDEX(Employees!$A:$Z,MATCH(B89,Employees!$A:$A,0),MATCH("fte",Employees!$1:$1,0))</f>
        <v>1</v>
      </c>
      <c r="L89" s="3">
        <f>IF(ISNA(MATCH(C89&amp;"|"&amp;E89,Bands!$F:$F,0)),0,1)</f>
        <v>1</v>
      </c>
      <c r="M89" s="4">
        <f>INDEX(Bands!$C:$C,MATCH(C89&amp;"|"&amp;E89,Bands!$F:$F,0))</f>
        <v>76700</v>
      </c>
      <c r="N89" s="4">
        <f>INDEX(Bands!$D:$D,MATCH(C89&amp;"|"&amp;E89,Bands!$F:$F,0))</f>
        <v>99700</v>
      </c>
      <c r="O89" s="4">
        <f>INDEX(Bands!$E:$E,MATCH(C89&amp;"|"&amp;E89,Bands!$F:$F,0))</f>
        <v>122700</v>
      </c>
      <c r="P89" s="7">
        <f t="shared" si="56"/>
        <v>8.1013004791238874</v>
      </c>
      <c r="Q89" s="4">
        <f t="shared" si="57"/>
        <v>115048.345006</v>
      </c>
      <c r="R89" s="7">
        <f t="shared" si="58"/>
        <v>144</v>
      </c>
      <c r="S89" s="7">
        <f t="shared" si="59"/>
        <v>65.63106945305293</v>
      </c>
      <c r="T89" s="7">
        <f t="shared" si="60"/>
        <v>97.215605749486656</v>
      </c>
      <c r="U89" s="7">
        <f t="shared" si="61"/>
        <v>1380580.140072</v>
      </c>
      <c r="V89" s="7">
        <f t="shared" si="62"/>
        <v>932041.2125195181</v>
      </c>
      <c r="W89" s="4">
        <f t="shared" si="63"/>
        <v>115048.35</v>
      </c>
      <c r="X89" s="3">
        <f t="shared" si="64"/>
        <v>8</v>
      </c>
      <c r="Y89" s="4">
        <f>INDEX(Categories!$AH:$AH,MATCH(C89,Categories!$A:$A,0))</f>
        <v>80332.662391999998</v>
      </c>
      <c r="Z89" s="3">
        <f>IF(AND(D89="F",Q89&lt;Y89,INDEX(Categories!$AI:$AI,MATCH(C89,Categories!$A:$A,0))&gt;0),1,0)</f>
        <v>0</v>
      </c>
      <c r="AA89" s="4">
        <f t="shared" si="65"/>
        <v>0</v>
      </c>
      <c r="AB89" s="4">
        <f>IF(Z89=1,INDEX(Categories!$AI:$AI,MATCH(C89,Categories!$A:$A,0))*AA89/INDEX(Categories!$AJ:$AJ,MATCH(C89,Categories!$A:$A,0)),0)</f>
        <v>0</v>
      </c>
      <c r="AC89" s="4">
        <f t="shared" si="66"/>
        <v>0</v>
      </c>
      <c r="AD89" s="4">
        <f t="shared" si="67"/>
        <v>101390.98</v>
      </c>
      <c r="AE89" s="3">
        <f t="shared" si="68"/>
        <v>0</v>
      </c>
      <c r="AF89" s="3">
        <f t="shared" si="69"/>
        <v>97</v>
      </c>
      <c r="AG89" s="3">
        <f t="shared" si="70"/>
        <v>12</v>
      </c>
      <c r="AH89" s="3">
        <f t="shared" si="71"/>
        <v>1</v>
      </c>
      <c r="AI89" s="5">
        <f t="shared" si="72"/>
        <v>1.0169606820461383</v>
      </c>
      <c r="AJ89" s="3">
        <f>MATCH(AI89,Inputs!$B$31:$B$34,1)</f>
        <v>3</v>
      </c>
      <c r="AK89" s="5">
        <f>INDEX(Inputs!$C$21:$C$25,MATCH(F89,Inputs!$A$21:$A$25,0))</f>
        <v>1</v>
      </c>
      <c r="AL89" s="5">
        <f>INDEX(Inputs!$D$21:$D$25,MATCH(F89,Inputs!$A$21:$A$25,0))</f>
        <v>0</v>
      </c>
      <c r="AM89" s="4">
        <f t="shared" si="73"/>
        <v>99700</v>
      </c>
      <c r="AN89" s="4">
        <f t="shared" si="74"/>
        <v>0</v>
      </c>
      <c r="AO89" s="3">
        <f t="shared" si="75"/>
        <v>1</v>
      </c>
      <c r="AP89" s="4">
        <f t="shared" si="76"/>
        <v>30417.293999999998</v>
      </c>
      <c r="AQ89" s="4">
        <f t="shared" si="77"/>
        <v>0</v>
      </c>
      <c r="AR89" s="4">
        <f t="shared" si="78"/>
        <v>0</v>
      </c>
      <c r="AS89" s="3">
        <f t="shared" si="79"/>
        <v>0</v>
      </c>
      <c r="AT89" s="4">
        <f t="shared" si="80"/>
        <v>0</v>
      </c>
      <c r="AU89" s="4">
        <f t="shared" si="81"/>
        <v>21309.020000000004</v>
      </c>
      <c r="AV89" s="4">
        <f t="shared" si="82"/>
        <v>0</v>
      </c>
      <c r="AW89" s="4">
        <f t="shared" si="83"/>
        <v>0</v>
      </c>
      <c r="AX89" s="5">
        <f t="shared" si="84"/>
        <v>0</v>
      </c>
      <c r="AY89" s="4">
        <f t="shared" si="85"/>
        <v>101390.98</v>
      </c>
      <c r="AZ89" s="3">
        <f t="shared" si="86"/>
        <v>0</v>
      </c>
      <c r="BA89" s="4">
        <f t="shared" si="87"/>
        <v>115048.345006</v>
      </c>
      <c r="BB89" s="4">
        <f t="shared" si="88"/>
        <v>20277.213617073197</v>
      </c>
      <c r="BC89" s="4">
        <f t="shared" si="89"/>
        <v>115048.345006</v>
      </c>
      <c r="BD89" s="4">
        <f t="shared" si="90"/>
        <v>20277.213617073197</v>
      </c>
      <c r="BE89" s="4">
        <f t="shared" si="91"/>
        <v>115048.345006</v>
      </c>
      <c r="BF89" s="4">
        <f t="shared" si="92"/>
        <v>20277.213617073197</v>
      </c>
      <c r="BG89" s="4">
        <f t="shared" si="93"/>
        <v>0</v>
      </c>
      <c r="BH89" s="4">
        <f t="shared" si="94"/>
        <v>0</v>
      </c>
      <c r="BI89" s="4">
        <f t="shared" si="95"/>
        <v>0</v>
      </c>
      <c r="BJ89" s="4">
        <f t="shared" si="96"/>
        <v>0</v>
      </c>
      <c r="BK89" s="4">
        <f t="shared" si="97"/>
        <v>0</v>
      </c>
      <c r="BL89" s="4">
        <f t="shared" si="98"/>
        <v>0</v>
      </c>
      <c r="BM89" s="4">
        <f t="shared" si="99"/>
        <v>101390.98</v>
      </c>
      <c r="BN89" s="4">
        <f t="shared" si="100"/>
        <v>4055.6392000000001</v>
      </c>
      <c r="BO89" s="4">
        <f t="shared" si="101"/>
        <v>4055.6392000000001</v>
      </c>
      <c r="BP89" s="4">
        <f t="shared" si="102"/>
        <v>546.29460024000002</v>
      </c>
      <c r="BQ89" s="4">
        <f t="shared" si="103"/>
        <v>119650.27880624001</v>
      </c>
      <c r="BR89" s="4">
        <f t="shared" si="104"/>
        <v>20333.357209436123</v>
      </c>
      <c r="BS89" s="4">
        <f t="shared" si="105"/>
        <v>56.143592362925119</v>
      </c>
      <c r="BT89" s="4">
        <f t="shared" si="106"/>
        <v>115048.345006</v>
      </c>
      <c r="BU89" s="4">
        <f t="shared" si="107"/>
        <v>115048.345006</v>
      </c>
      <c r="BV89" s="7">
        <f t="shared" si="108"/>
        <v>1380580.140072</v>
      </c>
      <c r="BW89" s="7">
        <f t="shared" si="109"/>
        <v>932041.2125195181</v>
      </c>
    </row>
    <row r="90" spans="1:75" x14ac:dyDescent="0.3">
      <c r="A90" s="3">
        <f t="shared" si="55"/>
        <v>86</v>
      </c>
      <c r="B90" t="str">
        <f>INDEX(Employees!$A:$A,A90+1)</f>
        <v>E086</v>
      </c>
      <c r="C90" t="str">
        <f>INDEX(Employees!$A:$Z,MATCH(B90,Employees!$A:$A,0),MATCH("category",Employees!$1:$1,0))</f>
        <v>Legal</v>
      </c>
      <c r="D90" t="str">
        <f>INDEX(Employees!$A:$Z,MATCH(B90,Employees!$A:$A,0),MATCH("gender",Employees!$1:$1,0))</f>
        <v>M</v>
      </c>
      <c r="E90" s="3">
        <f>INDEX(Employees!$A:$Z,MATCH(B90,Employees!$A:$A,0),MATCH("grade",Employees!$1:$1,0))</f>
        <v>11</v>
      </c>
      <c r="F90" s="3">
        <f>INDEX(Employees!$A:$Z,MATCH(B90,Employees!$A:$A,0),MATCH("rating",Employees!$1:$1,0))</f>
        <v>3</v>
      </c>
      <c r="G90" s="22">
        <f>INDEX(Employees!$A:$Z,MATCH(B90,Employees!$A:$A,0),MATCH("hire_date",Employees!$1:$1,0))</f>
        <v>44323</v>
      </c>
      <c r="H90" s="22">
        <f>INDEX(Employees!$A:$Z,MATCH(B90,Employees!$A:$A,0),MATCH("last_change_date",Employees!$1:$1,0))</f>
        <v>46113</v>
      </c>
      <c r="I90" s="4">
        <f>INDEX(Employees!$A:$Z,MATCH(B90,Employees!$A:$A,0),MATCH("base_salary",Employees!$1:$1,0))</f>
        <v>84225.02</v>
      </c>
      <c r="J90" s="5">
        <f>INDEX(Employees!$A:$Z,MATCH(B90,Employees!$A:$A,0),MATCH("bonus_pct",Employees!$1:$1,0))/100</f>
        <v>0.1648</v>
      </c>
      <c r="K90" s="7">
        <f>INDEX(Employees!$A:$Z,MATCH(B90,Employees!$A:$A,0),MATCH("fte",Employees!$1:$1,0))</f>
        <v>1</v>
      </c>
      <c r="L90" s="3">
        <f>IF(ISNA(MATCH(C90&amp;"|"&amp;E90,Bands!$F:$F,0)),0,1)</f>
        <v>1</v>
      </c>
      <c r="M90" s="4">
        <f>INDEX(Bands!$C:$C,MATCH(C90&amp;"|"&amp;E90,Bands!$F:$F,0))</f>
        <v>68900</v>
      </c>
      <c r="N90" s="4">
        <f>INDEX(Bands!$D:$D,MATCH(C90&amp;"|"&amp;E90,Bands!$F:$F,0))</f>
        <v>86100</v>
      </c>
      <c r="O90" s="4">
        <f>INDEX(Bands!$E:$E,MATCH(C90&amp;"|"&amp;E90,Bands!$F:$F,0))</f>
        <v>103400</v>
      </c>
      <c r="P90" s="7">
        <f t="shared" si="56"/>
        <v>5.9000684462696782</v>
      </c>
      <c r="Q90" s="4">
        <f t="shared" si="57"/>
        <v>98105.303296000013</v>
      </c>
      <c r="R90" s="7">
        <f t="shared" si="58"/>
        <v>121</v>
      </c>
      <c r="S90" s="7">
        <f t="shared" si="59"/>
        <v>34.810807670667096</v>
      </c>
      <c r="T90" s="7">
        <f t="shared" si="60"/>
        <v>64.900752908966467</v>
      </c>
      <c r="U90" s="7">
        <f t="shared" si="61"/>
        <v>1079158.3362560002</v>
      </c>
      <c r="V90" s="7">
        <f t="shared" si="62"/>
        <v>578828.00438844634</v>
      </c>
      <c r="W90" s="4">
        <f t="shared" si="63"/>
        <v>98105.3</v>
      </c>
      <c r="X90" s="3">
        <f t="shared" si="64"/>
        <v>7</v>
      </c>
      <c r="Y90" s="4">
        <f>INDEX(Categories!$AH:$AH,MATCH(C90,Categories!$A:$A,0))</f>
        <v>80332.662391999998</v>
      </c>
      <c r="Z90" s="3">
        <f>IF(AND(D90="F",Q90&lt;Y90,INDEX(Categories!$AI:$AI,MATCH(C90,Categories!$A:$A,0))&gt;0),1,0)</f>
        <v>0</v>
      </c>
      <c r="AA90" s="4">
        <f t="shared" si="65"/>
        <v>0</v>
      </c>
      <c r="AB90" s="4">
        <f>IF(Z90=1,INDEX(Categories!$AI:$AI,MATCH(C90,Categories!$A:$A,0))*AA90/INDEX(Categories!$AJ:$AJ,MATCH(C90,Categories!$A:$A,0)),0)</f>
        <v>0</v>
      </c>
      <c r="AC90" s="4">
        <f t="shared" si="66"/>
        <v>0</v>
      </c>
      <c r="AD90" s="4">
        <f t="shared" si="67"/>
        <v>84225.02</v>
      </c>
      <c r="AE90" s="3">
        <f t="shared" si="68"/>
        <v>0</v>
      </c>
      <c r="AF90" s="3">
        <f t="shared" si="69"/>
        <v>70</v>
      </c>
      <c r="AG90" s="3">
        <f t="shared" si="70"/>
        <v>12</v>
      </c>
      <c r="AH90" s="3">
        <f t="shared" si="71"/>
        <v>1</v>
      </c>
      <c r="AI90" s="5">
        <f t="shared" si="72"/>
        <v>0.9782232288037167</v>
      </c>
      <c r="AJ90" s="3">
        <f>MATCH(AI90,Inputs!$B$31:$B$34,1)</f>
        <v>2</v>
      </c>
      <c r="AK90" s="5">
        <f>INDEX(Inputs!$C$21:$C$25,MATCH(F90,Inputs!$A$21:$A$25,0))</f>
        <v>1</v>
      </c>
      <c r="AL90" s="5">
        <f>INDEX(Inputs!$D$21:$D$25,MATCH(F90,Inputs!$A$21:$A$25,0))</f>
        <v>0</v>
      </c>
      <c r="AM90" s="4">
        <f t="shared" si="73"/>
        <v>86100</v>
      </c>
      <c r="AN90" s="4">
        <f t="shared" si="74"/>
        <v>1874.9799999999959</v>
      </c>
      <c r="AO90" s="3">
        <f t="shared" si="75"/>
        <v>1</v>
      </c>
      <c r="AP90" s="4">
        <f t="shared" si="76"/>
        <v>25267.506000000001</v>
      </c>
      <c r="AQ90" s="4">
        <f t="shared" si="77"/>
        <v>0</v>
      </c>
      <c r="AR90" s="4">
        <f t="shared" si="78"/>
        <v>1874.9799999999959</v>
      </c>
      <c r="AS90" s="3">
        <f t="shared" si="79"/>
        <v>0</v>
      </c>
      <c r="AT90" s="4">
        <f t="shared" si="80"/>
        <v>1874.9799999999959</v>
      </c>
      <c r="AU90" s="4">
        <f t="shared" si="81"/>
        <v>19174.979999999996</v>
      </c>
      <c r="AV90" s="4">
        <f t="shared" si="82"/>
        <v>1874.9799999999959</v>
      </c>
      <c r="AW90" s="4">
        <f t="shared" si="83"/>
        <v>1874.9799999999959</v>
      </c>
      <c r="AX90" s="5">
        <f t="shared" si="84"/>
        <v>2.2261556007941535E-2</v>
      </c>
      <c r="AY90" s="4">
        <f t="shared" si="85"/>
        <v>86100</v>
      </c>
      <c r="AZ90" s="3">
        <f t="shared" si="86"/>
        <v>0</v>
      </c>
      <c r="BA90" s="4">
        <f t="shared" si="87"/>
        <v>98105.303296000013</v>
      </c>
      <c r="BB90" s="4">
        <f t="shared" si="88"/>
        <v>20070.508508211195</v>
      </c>
      <c r="BC90" s="4">
        <f t="shared" si="89"/>
        <v>98105.303296000013</v>
      </c>
      <c r="BD90" s="4">
        <f t="shared" si="90"/>
        <v>20070.508508211195</v>
      </c>
      <c r="BE90" s="4">
        <f t="shared" si="91"/>
        <v>100289.28</v>
      </c>
      <c r="BF90" s="4">
        <f t="shared" si="92"/>
        <v>20097.153023999996</v>
      </c>
      <c r="BG90" s="4">
        <f t="shared" si="93"/>
        <v>0</v>
      </c>
      <c r="BH90" s="4">
        <f t="shared" si="94"/>
        <v>0</v>
      </c>
      <c r="BI90" s="4">
        <f t="shared" si="95"/>
        <v>0</v>
      </c>
      <c r="BJ90" s="4">
        <f t="shared" si="96"/>
        <v>1874.9799999999959</v>
      </c>
      <c r="BK90" s="4">
        <f t="shared" si="97"/>
        <v>308.99670399999934</v>
      </c>
      <c r="BL90" s="4">
        <f t="shared" si="98"/>
        <v>26.644515788801073</v>
      </c>
      <c r="BM90" s="4">
        <f t="shared" si="99"/>
        <v>84225.02</v>
      </c>
      <c r="BN90" s="4">
        <f t="shared" si="100"/>
        <v>3369.0008000000003</v>
      </c>
      <c r="BO90" s="4">
        <f t="shared" si="101"/>
        <v>3369.0008000000003</v>
      </c>
      <c r="BP90" s="4">
        <f t="shared" si="102"/>
        <v>555.21133184000007</v>
      </c>
      <c r="BQ90" s="4">
        <f t="shared" si="103"/>
        <v>102029.51542784</v>
      </c>
      <c r="BR90" s="4">
        <f t="shared" si="104"/>
        <v>20118.383896219642</v>
      </c>
      <c r="BS90" s="4">
        <f t="shared" si="105"/>
        <v>47.875388008447771</v>
      </c>
      <c r="BT90" s="4">
        <f t="shared" si="106"/>
        <v>98105.303296000013</v>
      </c>
      <c r="BU90" s="4">
        <f t="shared" si="107"/>
        <v>100289.28</v>
      </c>
      <c r="BV90" s="7">
        <f t="shared" si="108"/>
        <v>1103182.08</v>
      </c>
      <c r="BW90" s="7">
        <f t="shared" si="109"/>
        <v>591713.61642710469</v>
      </c>
    </row>
    <row r="91" spans="1:75" x14ac:dyDescent="0.3">
      <c r="A91" s="3">
        <f t="shared" si="55"/>
        <v>87</v>
      </c>
      <c r="B91" t="str">
        <f>INDEX(Employees!$A:$A,A91+1)</f>
        <v>E087</v>
      </c>
      <c r="C91" t="str">
        <f>INDEX(Employees!$A:$Z,MATCH(B91,Employees!$A:$A,0),MATCH("category",Employees!$1:$1,0))</f>
        <v>Legal</v>
      </c>
      <c r="D91" t="str">
        <f>INDEX(Employees!$A:$Z,MATCH(B91,Employees!$A:$A,0),MATCH("gender",Employees!$1:$1,0))</f>
        <v>F</v>
      </c>
      <c r="E91" s="3">
        <f>INDEX(Employees!$A:$Z,MATCH(B91,Employees!$A:$A,0),MATCH("grade",Employees!$1:$1,0))</f>
        <v>10</v>
      </c>
      <c r="F91" s="3">
        <f>INDEX(Employees!$A:$Z,MATCH(B91,Employees!$A:$A,0),MATCH("rating",Employees!$1:$1,0))</f>
        <v>5</v>
      </c>
      <c r="G91" s="22">
        <f>INDEX(Employees!$A:$Z,MATCH(B91,Employees!$A:$A,0),MATCH("hire_date",Employees!$1:$1,0))</f>
        <v>44615</v>
      </c>
      <c r="H91" s="22">
        <f>INDEX(Employees!$A:$Z,MATCH(B91,Employees!$A:$A,0),MATCH("last_change_date",Employees!$1:$1,0))</f>
        <v>46113</v>
      </c>
      <c r="I91" s="4">
        <f>INDEX(Employees!$A:$Z,MATCH(B91,Employees!$A:$A,0),MATCH("base_salary",Employees!$1:$1,0))</f>
        <v>69875.62</v>
      </c>
      <c r="J91" s="5">
        <f>INDEX(Employees!$A:$Z,MATCH(B91,Employees!$A:$A,0),MATCH("bonus_pct",Employees!$1:$1,0))/100</f>
        <v>0.1661</v>
      </c>
      <c r="K91" s="7">
        <f>INDEX(Employees!$A:$Z,MATCH(B91,Employees!$A:$A,0),MATCH("fte",Employees!$1:$1,0))</f>
        <v>1</v>
      </c>
      <c r="L91" s="3">
        <f>IF(ISNA(MATCH(C91&amp;"|"&amp;E91,Bands!$F:$F,0)),0,1)</f>
        <v>1</v>
      </c>
      <c r="M91" s="4">
        <f>INDEX(Bands!$C:$C,MATCH(C91&amp;"|"&amp;E91,Bands!$F:$F,0))</f>
        <v>59400</v>
      </c>
      <c r="N91" s="4">
        <f>INDEX(Bands!$D:$D,MATCH(C91&amp;"|"&amp;E91,Bands!$F:$F,0))</f>
        <v>74200</v>
      </c>
      <c r="O91" s="4">
        <f>INDEX(Bands!$E:$E,MATCH(C91&amp;"|"&amp;E91,Bands!$F:$F,0))</f>
        <v>89100</v>
      </c>
      <c r="P91" s="7">
        <f t="shared" si="56"/>
        <v>5.1006160164271046</v>
      </c>
      <c r="Q91" s="4">
        <f t="shared" si="57"/>
        <v>81481.960481999995</v>
      </c>
      <c r="R91" s="7">
        <f t="shared" si="58"/>
        <v>100</v>
      </c>
      <c r="S91" s="7">
        <f t="shared" si="59"/>
        <v>26.016283747032706</v>
      </c>
      <c r="T91" s="7">
        <f t="shared" si="60"/>
        <v>51.006160164271044</v>
      </c>
      <c r="U91" s="7">
        <f t="shared" si="61"/>
        <v>814819.60482000001</v>
      </c>
      <c r="V91" s="7">
        <f t="shared" si="62"/>
        <v>415608.19268436957</v>
      </c>
      <c r="W91" s="4">
        <f t="shared" si="63"/>
        <v>81481.960000000006</v>
      </c>
      <c r="X91" s="3">
        <f t="shared" si="64"/>
        <v>5</v>
      </c>
      <c r="Y91" s="4">
        <f>INDEX(Categories!$AH:$AH,MATCH(C91,Categories!$A:$A,0))</f>
        <v>80332.662391999998</v>
      </c>
      <c r="Z91" s="3">
        <f>IF(AND(D91="F",Q91&lt;Y91,INDEX(Categories!$AI:$AI,MATCH(C91,Categories!$A:$A,0))&gt;0),1,0)</f>
        <v>0</v>
      </c>
      <c r="AA91" s="4">
        <f t="shared" si="65"/>
        <v>0</v>
      </c>
      <c r="AB91" s="4">
        <f>IF(Z91=1,INDEX(Categories!$AI:$AI,MATCH(C91,Categories!$A:$A,0))*AA91/INDEX(Categories!$AJ:$AJ,MATCH(C91,Categories!$A:$A,0)),0)</f>
        <v>0</v>
      </c>
      <c r="AC91" s="4">
        <f t="shared" si="66"/>
        <v>0</v>
      </c>
      <c r="AD91" s="4">
        <f t="shared" si="67"/>
        <v>69875.62</v>
      </c>
      <c r="AE91" s="3">
        <f t="shared" si="68"/>
        <v>0</v>
      </c>
      <c r="AF91" s="3">
        <f t="shared" si="69"/>
        <v>61</v>
      </c>
      <c r="AG91" s="3">
        <f t="shared" si="70"/>
        <v>12</v>
      </c>
      <c r="AH91" s="3">
        <f t="shared" si="71"/>
        <v>1</v>
      </c>
      <c r="AI91" s="5">
        <f t="shared" si="72"/>
        <v>0.94171994609164411</v>
      </c>
      <c r="AJ91" s="3">
        <f>MATCH(AI91,Inputs!$B$31:$B$34,1)</f>
        <v>2</v>
      </c>
      <c r="AK91" s="5">
        <f>INDEX(Inputs!$C$21:$C$25,MATCH(F91,Inputs!$A$21:$A$25,0))</f>
        <v>1.1000000000000001</v>
      </c>
      <c r="AL91" s="5">
        <f>INDEX(Inputs!$D$21:$D$25,MATCH(F91,Inputs!$A$21:$A$25,0))</f>
        <v>0.02</v>
      </c>
      <c r="AM91" s="4">
        <f t="shared" si="73"/>
        <v>81620</v>
      </c>
      <c r="AN91" s="4">
        <f t="shared" si="74"/>
        <v>11744.380000000005</v>
      </c>
      <c r="AO91" s="3">
        <f t="shared" si="75"/>
        <v>1</v>
      </c>
      <c r="AP91" s="4">
        <f t="shared" si="76"/>
        <v>20962.685999999998</v>
      </c>
      <c r="AQ91" s="4">
        <f t="shared" si="77"/>
        <v>1397.5123999999998</v>
      </c>
      <c r="AR91" s="4">
        <f t="shared" si="78"/>
        <v>11744.380000000005</v>
      </c>
      <c r="AS91" s="3">
        <f t="shared" si="79"/>
        <v>0</v>
      </c>
      <c r="AT91" s="4">
        <f t="shared" si="80"/>
        <v>11744.380000000005</v>
      </c>
      <c r="AU91" s="4">
        <f t="shared" si="81"/>
        <v>19224.380000000005</v>
      </c>
      <c r="AV91" s="4">
        <f t="shared" si="82"/>
        <v>11744.380000000005</v>
      </c>
      <c r="AW91" s="4">
        <f t="shared" si="83"/>
        <v>11744.380000000005</v>
      </c>
      <c r="AX91" s="5">
        <f t="shared" si="84"/>
        <v>0.1680755033014377</v>
      </c>
      <c r="AY91" s="4">
        <f t="shared" si="85"/>
        <v>81620</v>
      </c>
      <c r="AZ91" s="3">
        <f t="shared" si="86"/>
        <v>0</v>
      </c>
      <c r="BA91" s="4">
        <f t="shared" si="87"/>
        <v>81481.960481999995</v>
      </c>
      <c r="BB91" s="4">
        <f t="shared" si="88"/>
        <v>19886.315077012798</v>
      </c>
      <c r="BC91" s="4">
        <f t="shared" si="89"/>
        <v>81481.960481999995</v>
      </c>
      <c r="BD91" s="4">
        <f t="shared" si="90"/>
        <v>19886.315077012798</v>
      </c>
      <c r="BE91" s="4">
        <f t="shared" si="91"/>
        <v>95177.081999999995</v>
      </c>
      <c r="BF91" s="4">
        <f t="shared" si="92"/>
        <v>20034.784208399997</v>
      </c>
      <c r="BG91" s="4">
        <f t="shared" si="93"/>
        <v>0</v>
      </c>
      <c r="BH91" s="4">
        <f t="shared" si="94"/>
        <v>0</v>
      </c>
      <c r="BI91" s="4">
        <f t="shared" si="95"/>
        <v>0</v>
      </c>
      <c r="BJ91" s="4">
        <f t="shared" si="96"/>
        <v>11744.380000000005</v>
      </c>
      <c r="BK91" s="4">
        <f t="shared" si="97"/>
        <v>1950.7415180000007</v>
      </c>
      <c r="BL91" s="4">
        <f t="shared" si="98"/>
        <v>148.46913138719901</v>
      </c>
      <c r="BM91" s="4">
        <f t="shared" si="99"/>
        <v>69875.62</v>
      </c>
      <c r="BN91" s="4">
        <f t="shared" si="100"/>
        <v>2795.0247999999997</v>
      </c>
      <c r="BO91" s="4">
        <f t="shared" si="101"/>
        <v>2795.0247999999997</v>
      </c>
      <c r="BP91" s="4">
        <f t="shared" si="102"/>
        <v>464.25361927999995</v>
      </c>
      <c r="BQ91" s="4">
        <f t="shared" si="103"/>
        <v>84741.238901279983</v>
      </c>
      <c r="BR91" s="4">
        <f t="shared" si="104"/>
        <v>19920.211572573309</v>
      </c>
      <c r="BS91" s="4">
        <f t="shared" si="105"/>
        <v>33.896495560511539</v>
      </c>
      <c r="BT91" s="4">
        <f t="shared" si="106"/>
        <v>81481.960481999995</v>
      </c>
      <c r="BU91" s="4">
        <f t="shared" si="107"/>
        <v>95177.081999999995</v>
      </c>
      <c r="BV91" s="7">
        <f t="shared" si="108"/>
        <v>951770.82</v>
      </c>
      <c r="BW91" s="7">
        <f t="shared" si="109"/>
        <v>485461.74884599587</v>
      </c>
    </row>
    <row r="92" spans="1:75" x14ac:dyDescent="0.3">
      <c r="A92" s="3">
        <f t="shared" si="55"/>
        <v>88</v>
      </c>
      <c r="B92" t="str">
        <f>INDEX(Employees!$A:$A,A92+1)</f>
        <v>E088</v>
      </c>
      <c r="C92" t="str">
        <f>INDEX(Employees!$A:$Z,MATCH(B92,Employees!$A:$A,0),MATCH("category",Employees!$1:$1,0))</f>
        <v>Legal</v>
      </c>
      <c r="D92" t="str">
        <f>INDEX(Employees!$A:$Z,MATCH(B92,Employees!$A:$A,0),MATCH("gender",Employees!$1:$1,0))</f>
        <v>M</v>
      </c>
      <c r="E92" s="3">
        <f>INDEX(Employees!$A:$Z,MATCH(B92,Employees!$A:$A,0),MATCH("grade",Employees!$1:$1,0))</f>
        <v>10</v>
      </c>
      <c r="F92" s="3">
        <f>INDEX(Employees!$A:$Z,MATCH(B92,Employees!$A:$A,0),MATCH("rating",Employees!$1:$1,0))</f>
        <v>4</v>
      </c>
      <c r="G92" s="22">
        <f>INDEX(Employees!$A:$Z,MATCH(B92,Employees!$A:$A,0),MATCH("hire_date",Employees!$1:$1,0))</f>
        <v>43264</v>
      </c>
      <c r="H92" s="22">
        <f>INDEX(Employees!$A:$Z,MATCH(B92,Employees!$A:$A,0),MATCH("last_change_date",Employees!$1:$1,0))</f>
        <v>46113</v>
      </c>
      <c r="I92" s="4">
        <f>INDEX(Employees!$A:$Z,MATCH(B92,Employees!$A:$A,0),MATCH("base_salary",Employees!$1:$1,0))</f>
        <v>83187.199999999997</v>
      </c>
      <c r="J92" s="5">
        <f>INDEX(Employees!$A:$Z,MATCH(B92,Employees!$A:$A,0),MATCH("bonus_pct",Employees!$1:$1,0))/100</f>
        <v>0.14410000000000001</v>
      </c>
      <c r="K92" s="7">
        <f>INDEX(Employees!$A:$Z,MATCH(B92,Employees!$A:$A,0),MATCH("fte",Employees!$1:$1,0))</f>
        <v>1</v>
      </c>
      <c r="L92" s="3">
        <f>IF(ISNA(MATCH(C92&amp;"|"&amp;E92,Bands!$F:$F,0)),0,1)</f>
        <v>1</v>
      </c>
      <c r="M92" s="4">
        <f>INDEX(Bands!$C:$C,MATCH(C92&amp;"|"&amp;E92,Bands!$F:$F,0))</f>
        <v>59400</v>
      </c>
      <c r="N92" s="4">
        <f>INDEX(Bands!$D:$D,MATCH(C92&amp;"|"&amp;E92,Bands!$F:$F,0))</f>
        <v>74200</v>
      </c>
      <c r="O92" s="4">
        <f>INDEX(Bands!$E:$E,MATCH(C92&amp;"|"&amp;E92,Bands!$F:$F,0))</f>
        <v>89100</v>
      </c>
      <c r="P92" s="7">
        <f t="shared" si="56"/>
        <v>8.7994524298425727</v>
      </c>
      <c r="Q92" s="4">
        <f t="shared" si="57"/>
        <v>95174.475519999993</v>
      </c>
      <c r="R92" s="7">
        <f t="shared" si="58"/>
        <v>100</v>
      </c>
      <c r="S92" s="7">
        <f t="shared" si="59"/>
        <v>77.430363065062352</v>
      </c>
      <c r="T92" s="7">
        <f t="shared" si="60"/>
        <v>87.994524298425731</v>
      </c>
      <c r="U92" s="7">
        <f t="shared" si="61"/>
        <v>951744.7551999999</v>
      </c>
      <c r="V92" s="7">
        <f t="shared" si="62"/>
        <v>837483.26987345633</v>
      </c>
      <c r="W92" s="4">
        <f t="shared" si="63"/>
        <v>95174.48</v>
      </c>
      <c r="X92" s="3">
        <f t="shared" si="64"/>
        <v>6</v>
      </c>
      <c r="Y92" s="4">
        <f>INDEX(Categories!$AH:$AH,MATCH(C92,Categories!$A:$A,0))</f>
        <v>80332.662391999998</v>
      </c>
      <c r="Z92" s="3">
        <f>IF(AND(D92="F",Q92&lt;Y92,INDEX(Categories!$AI:$AI,MATCH(C92,Categories!$A:$A,0))&gt;0),1,0)</f>
        <v>0</v>
      </c>
      <c r="AA92" s="4">
        <f t="shared" si="65"/>
        <v>0</v>
      </c>
      <c r="AB92" s="4">
        <f>IF(Z92=1,INDEX(Categories!$AI:$AI,MATCH(C92,Categories!$A:$A,0))*AA92/INDEX(Categories!$AJ:$AJ,MATCH(C92,Categories!$A:$A,0)),0)</f>
        <v>0</v>
      </c>
      <c r="AC92" s="4">
        <f t="shared" si="66"/>
        <v>0</v>
      </c>
      <c r="AD92" s="4">
        <f t="shared" si="67"/>
        <v>83187.199999999997</v>
      </c>
      <c r="AE92" s="3">
        <f t="shared" si="68"/>
        <v>0</v>
      </c>
      <c r="AF92" s="3">
        <f t="shared" si="69"/>
        <v>105</v>
      </c>
      <c r="AG92" s="3">
        <f t="shared" si="70"/>
        <v>12</v>
      </c>
      <c r="AH92" s="3">
        <f t="shared" si="71"/>
        <v>1</v>
      </c>
      <c r="AI92" s="5">
        <f t="shared" si="72"/>
        <v>1.121121293800539</v>
      </c>
      <c r="AJ92" s="3">
        <f>MATCH(AI92,Inputs!$B$31:$B$34,1)</f>
        <v>4</v>
      </c>
      <c r="AK92" s="5">
        <f>INDEX(Inputs!$C$21:$C$25,MATCH(F92,Inputs!$A$21:$A$25,0))</f>
        <v>1.05</v>
      </c>
      <c r="AL92" s="5">
        <f>INDEX(Inputs!$D$21:$D$25,MATCH(F92,Inputs!$A$21:$A$25,0))</f>
        <v>0.01</v>
      </c>
      <c r="AM92" s="4">
        <f t="shared" si="73"/>
        <v>77910</v>
      </c>
      <c r="AN92" s="4">
        <f t="shared" si="74"/>
        <v>0</v>
      </c>
      <c r="AO92" s="3">
        <f t="shared" si="75"/>
        <v>1</v>
      </c>
      <c r="AP92" s="4">
        <f t="shared" si="76"/>
        <v>24956.16</v>
      </c>
      <c r="AQ92" s="4">
        <f t="shared" si="77"/>
        <v>831.87199999999996</v>
      </c>
      <c r="AR92" s="4">
        <f t="shared" si="78"/>
        <v>831.87199999999996</v>
      </c>
      <c r="AS92" s="3">
        <f t="shared" si="79"/>
        <v>0</v>
      </c>
      <c r="AT92" s="4">
        <f t="shared" si="80"/>
        <v>831.87199999999996</v>
      </c>
      <c r="AU92" s="4">
        <f t="shared" si="81"/>
        <v>5912.8000000000029</v>
      </c>
      <c r="AV92" s="4">
        <f t="shared" si="82"/>
        <v>831.87199999999996</v>
      </c>
      <c r="AW92" s="4">
        <f t="shared" si="83"/>
        <v>831.87199999999996</v>
      </c>
      <c r="AX92" s="5">
        <f t="shared" si="84"/>
        <v>0.01</v>
      </c>
      <c r="AY92" s="4">
        <f t="shared" si="85"/>
        <v>84019.072</v>
      </c>
      <c r="AZ92" s="3">
        <f t="shared" si="86"/>
        <v>0</v>
      </c>
      <c r="BA92" s="4">
        <f t="shared" si="87"/>
        <v>95174.475519999993</v>
      </c>
      <c r="BB92" s="4">
        <f t="shared" si="88"/>
        <v>20034.752409343997</v>
      </c>
      <c r="BC92" s="4">
        <f t="shared" si="89"/>
        <v>95174.475519999993</v>
      </c>
      <c r="BD92" s="4">
        <f t="shared" si="90"/>
        <v>20034.752409343997</v>
      </c>
      <c r="BE92" s="4">
        <f t="shared" si="91"/>
        <v>96126.220275199987</v>
      </c>
      <c r="BF92" s="4">
        <f t="shared" si="92"/>
        <v>20046.363695357435</v>
      </c>
      <c r="BG92" s="4">
        <f t="shared" si="93"/>
        <v>0</v>
      </c>
      <c r="BH92" s="4">
        <f t="shared" si="94"/>
        <v>0</v>
      </c>
      <c r="BI92" s="4">
        <f t="shared" si="95"/>
        <v>0</v>
      </c>
      <c r="BJ92" s="4">
        <f t="shared" si="96"/>
        <v>831.87199999999996</v>
      </c>
      <c r="BK92" s="4">
        <f t="shared" si="97"/>
        <v>119.8727552</v>
      </c>
      <c r="BL92" s="4">
        <f t="shared" si="98"/>
        <v>11.611286013438075</v>
      </c>
      <c r="BM92" s="4">
        <f t="shared" si="99"/>
        <v>83187.199999999997</v>
      </c>
      <c r="BN92" s="4">
        <f t="shared" si="100"/>
        <v>3327.4879999999998</v>
      </c>
      <c r="BO92" s="4">
        <f t="shared" si="101"/>
        <v>3327.4879999999998</v>
      </c>
      <c r="BP92" s="4">
        <f t="shared" si="102"/>
        <v>479.4910208</v>
      </c>
      <c r="BQ92" s="4">
        <f t="shared" si="103"/>
        <v>98981.454540799983</v>
      </c>
      <c r="BR92" s="4">
        <f t="shared" si="104"/>
        <v>20081.197553397757</v>
      </c>
      <c r="BS92" s="4">
        <f t="shared" si="105"/>
        <v>46.445144053759577</v>
      </c>
      <c r="BT92" s="4">
        <f t="shared" si="106"/>
        <v>95174.475519999993</v>
      </c>
      <c r="BU92" s="4">
        <f t="shared" si="107"/>
        <v>96126.220275199987</v>
      </c>
      <c r="BV92" s="7">
        <f t="shared" si="108"/>
        <v>961262.20275199984</v>
      </c>
      <c r="BW92" s="7">
        <f t="shared" si="109"/>
        <v>845858.10257219092</v>
      </c>
    </row>
    <row r="93" spans="1:75" x14ac:dyDescent="0.3">
      <c r="A93" s="3">
        <f t="shared" si="55"/>
        <v>89</v>
      </c>
      <c r="B93" t="str">
        <f>INDEX(Employees!$A:$A,A93+1)</f>
        <v>E089</v>
      </c>
      <c r="C93" t="str">
        <f>INDEX(Employees!$A:$Z,MATCH(B93,Employees!$A:$A,0),MATCH("category",Employees!$1:$1,0))</f>
        <v>Legal</v>
      </c>
      <c r="D93" t="str">
        <f>INDEX(Employees!$A:$Z,MATCH(B93,Employees!$A:$A,0),MATCH("gender",Employees!$1:$1,0))</f>
        <v>M</v>
      </c>
      <c r="E93" s="3">
        <f>INDEX(Employees!$A:$Z,MATCH(B93,Employees!$A:$A,0),MATCH("grade",Employees!$1:$1,0))</f>
        <v>9</v>
      </c>
      <c r="F93" s="3">
        <f>INDEX(Employees!$A:$Z,MATCH(B93,Employees!$A:$A,0),MATCH("rating",Employees!$1:$1,0))</f>
        <v>3</v>
      </c>
      <c r="G93" s="22">
        <f>INDEX(Employees!$A:$Z,MATCH(B93,Employees!$A:$A,0),MATCH("hire_date",Employees!$1:$1,0))</f>
        <v>46304</v>
      </c>
      <c r="H93" s="22">
        <f>INDEX(Employees!$A:$Z,MATCH(B93,Employees!$A:$A,0),MATCH("last_change_date",Employees!$1:$1,0))</f>
        <v>46304</v>
      </c>
      <c r="I93" s="4">
        <f>INDEX(Employees!$A:$Z,MATCH(B93,Employees!$A:$A,0),MATCH("base_salary",Employees!$1:$1,0))</f>
        <v>63590.21</v>
      </c>
      <c r="J93" s="5">
        <f>INDEX(Employees!$A:$Z,MATCH(B93,Employees!$A:$A,0),MATCH("bonus_pct",Employees!$1:$1,0))/100</f>
        <v>0.14180000000000001</v>
      </c>
      <c r="K93" s="7">
        <f>INDEX(Employees!$A:$Z,MATCH(B93,Employees!$A:$A,0),MATCH("fte",Employees!$1:$1,0))</f>
        <v>1</v>
      </c>
      <c r="L93" s="3">
        <f>IF(ISNA(MATCH(C93&amp;"|"&amp;E93,Bands!$F:$F,0)),0,1)</f>
        <v>1</v>
      </c>
      <c r="M93" s="4">
        <f>INDEX(Bands!$C:$C,MATCH(C93&amp;"|"&amp;E93,Bands!$F:$F,0))</f>
        <v>53300</v>
      </c>
      <c r="N93" s="4">
        <f>INDEX(Bands!$D:$D,MATCH(C93&amp;"|"&amp;E93,Bands!$F:$F,0))</f>
        <v>63900</v>
      </c>
      <c r="O93" s="4">
        <f>INDEX(Bands!$E:$E,MATCH(C93&amp;"|"&amp;E93,Bands!$F:$F,0))</f>
        <v>74600</v>
      </c>
      <c r="P93" s="7">
        <f t="shared" si="56"/>
        <v>0.47638603696098564</v>
      </c>
      <c r="Q93" s="4">
        <f t="shared" si="57"/>
        <v>72607.301777999994</v>
      </c>
      <c r="R93" s="7">
        <f t="shared" si="58"/>
        <v>81</v>
      </c>
      <c r="S93" s="7">
        <f t="shared" si="59"/>
        <v>0.22694365621139356</v>
      </c>
      <c r="T93" s="7">
        <f t="shared" si="60"/>
        <v>4.2874743326488707</v>
      </c>
      <c r="U93" s="7">
        <f t="shared" si="61"/>
        <v>653465.71600199991</v>
      </c>
      <c r="V93" s="7">
        <f t="shared" si="62"/>
        <v>34589.10474845174</v>
      </c>
      <c r="W93" s="4">
        <f t="shared" si="63"/>
        <v>72607.3</v>
      </c>
      <c r="X93" s="3">
        <f t="shared" si="64"/>
        <v>2</v>
      </c>
      <c r="Y93" s="4">
        <f>INDEX(Categories!$AH:$AH,MATCH(C93,Categories!$A:$A,0))</f>
        <v>80332.662391999998</v>
      </c>
      <c r="Z93" s="3">
        <f>IF(AND(D93="F",Q93&lt;Y93,INDEX(Categories!$AI:$AI,MATCH(C93,Categories!$A:$A,0))&gt;0),1,0)</f>
        <v>0</v>
      </c>
      <c r="AA93" s="4">
        <f t="shared" si="65"/>
        <v>0</v>
      </c>
      <c r="AB93" s="4">
        <f>IF(Z93=1,INDEX(Categories!$AI:$AI,MATCH(C93,Categories!$A:$A,0))*AA93/INDEX(Categories!$AJ:$AJ,MATCH(C93,Categories!$A:$A,0)),0)</f>
        <v>0</v>
      </c>
      <c r="AC93" s="4">
        <f t="shared" si="66"/>
        <v>0</v>
      </c>
      <c r="AD93" s="4">
        <f t="shared" si="67"/>
        <v>63590.21</v>
      </c>
      <c r="AE93" s="3">
        <f t="shared" si="68"/>
        <v>0</v>
      </c>
      <c r="AF93" s="3">
        <f t="shared" si="69"/>
        <v>5</v>
      </c>
      <c r="AG93" s="3">
        <f t="shared" si="70"/>
        <v>5</v>
      </c>
      <c r="AH93" s="3">
        <f t="shared" si="71"/>
        <v>0</v>
      </c>
      <c r="AI93" s="5">
        <f t="shared" si="72"/>
        <v>0.99515195618153363</v>
      </c>
      <c r="AJ93" s="3">
        <f>MATCH(AI93,Inputs!$B$31:$B$34,1)</f>
        <v>2</v>
      </c>
      <c r="AK93" s="5">
        <f>INDEX(Inputs!$C$21:$C$25,MATCH(F93,Inputs!$A$21:$A$25,0))</f>
        <v>1</v>
      </c>
      <c r="AL93" s="5">
        <f>INDEX(Inputs!$D$21:$D$25,MATCH(F93,Inputs!$A$21:$A$25,0))</f>
        <v>0</v>
      </c>
      <c r="AM93" s="4">
        <f t="shared" si="73"/>
        <v>63900</v>
      </c>
      <c r="AN93" s="4">
        <f t="shared" si="74"/>
        <v>309.79000000000087</v>
      </c>
      <c r="AO93" s="3">
        <f t="shared" si="75"/>
        <v>1</v>
      </c>
      <c r="AP93" s="4">
        <f t="shared" si="76"/>
        <v>19077.062999999998</v>
      </c>
      <c r="AQ93" s="4">
        <f t="shared" si="77"/>
        <v>0</v>
      </c>
      <c r="AR93" s="4">
        <f t="shared" si="78"/>
        <v>309.79000000000087</v>
      </c>
      <c r="AS93" s="3">
        <f t="shared" si="79"/>
        <v>0</v>
      </c>
      <c r="AT93" s="4">
        <f t="shared" si="80"/>
        <v>309.79000000000087</v>
      </c>
      <c r="AU93" s="4">
        <f t="shared" si="81"/>
        <v>11009.79</v>
      </c>
      <c r="AV93" s="4">
        <f t="shared" si="82"/>
        <v>309.79000000000087</v>
      </c>
      <c r="AW93" s="4">
        <f t="shared" si="83"/>
        <v>0</v>
      </c>
      <c r="AX93" s="5">
        <f t="shared" si="84"/>
        <v>0</v>
      </c>
      <c r="AY93" s="4">
        <f t="shared" si="85"/>
        <v>63590.21</v>
      </c>
      <c r="AZ93" s="3">
        <f t="shared" si="86"/>
        <v>0</v>
      </c>
      <c r="BA93" s="4">
        <f t="shared" si="87"/>
        <v>72607.301777999994</v>
      </c>
      <c r="BB93" s="4">
        <f t="shared" si="88"/>
        <v>19794.018626491197</v>
      </c>
      <c r="BC93" s="4">
        <f t="shared" si="89"/>
        <v>72607.301777999994</v>
      </c>
      <c r="BD93" s="4">
        <f t="shared" si="90"/>
        <v>19794.018626491197</v>
      </c>
      <c r="BE93" s="4">
        <f t="shared" si="91"/>
        <v>72607.301777999994</v>
      </c>
      <c r="BF93" s="4">
        <f t="shared" si="92"/>
        <v>19794.018626491197</v>
      </c>
      <c r="BG93" s="4">
        <f t="shared" si="93"/>
        <v>0</v>
      </c>
      <c r="BH93" s="4">
        <f t="shared" si="94"/>
        <v>0</v>
      </c>
      <c r="BI93" s="4">
        <f t="shared" si="95"/>
        <v>0</v>
      </c>
      <c r="BJ93" s="4">
        <f t="shared" si="96"/>
        <v>0</v>
      </c>
      <c r="BK93" s="4">
        <f t="shared" si="97"/>
        <v>0</v>
      </c>
      <c r="BL93" s="4">
        <f t="shared" si="98"/>
        <v>0</v>
      </c>
      <c r="BM93" s="4">
        <f t="shared" si="99"/>
        <v>0</v>
      </c>
      <c r="BN93" s="4">
        <f t="shared" si="100"/>
        <v>0</v>
      </c>
      <c r="BO93" s="4">
        <f t="shared" si="101"/>
        <v>0</v>
      </c>
      <c r="BP93" s="4">
        <f t="shared" si="102"/>
        <v>0</v>
      </c>
      <c r="BQ93" s="4">
        <f t="shared" si="103"/>
        <v>72607.301777999994</v>
      </c>
      <c r="BR93" s="4">
        <f t="shared" si="104"/>
        <v>19794.018626491197</v>
      </c>
      <c r="BS93" s="4">
        <f t="shared" si="105"/>
        <v>0</v>
      </c>
      <c r="BT93" s="4">
        <f t="shared" si="106"/>
        <v>72607.301777999994</v>
      </c>
      <c r="BU93" s="4">
        <f t="shared" si="107"/>
        <v>72607.301777999994</v>
      </c>
      <c r="BV93" s="7">
        <f t="shared" si="108"/>
        <v>653465.71600199991</v>
      </c>
      <c r="BW93" s="7">
        <f t="shared" si="109"/>
        <v>34589.10474845174</v>
      </c>
    </row>
    <row r="94" spans="1:75" x14ac:dyDescent="0.3">
      <c r="A94" s="3">
        <f t="shared" si="55"/>
        <v>90</v>
      </c>
      <c r="B94" t="str">
        <f>INDEX(Employees!$A:$A,A94+1)</f>
        <v>E090</v>
      </c>
      <c r="C94" t="str">
        <f>INDEX(Employees!$A:$Z,MATCH(B94,Employees!$A:$A,0),MATCH("category",Employees!$1:$1,0))</f>
        <v>Legal</v>
      </c>
      <c r="D94" t="str">
        <f>INDEX(Employees!$A:$Z,MATCH(B94,Employees!$A:$A,0),MATCH("gender",Employees!$1:$1,0))</f>
        <v>M</v>
      </c>
      <c r="E94" s="3">
        <f>INDEX(Employees!$A:$Z,MATCH(B94,Employees!$A:$A,0),MATCH("grade",Employees!$1:$1,0))</f>
        <v>10</v>
      </c>
      <c r="F94" s="3">
        <f>INDEX(Employees!$A:$Z,MATCH(B94,Employees!$A:$A,0),MATCH("rating",Employees!$1:$1,0))</f>
        <v>3</v>
      </c>
      <c r="G94" s="22">
        <f>INDEX(Employees!$A:$Z,MATCH(B94,Employees!$A:$A,0),MATCH("hire_date",Employees!$1:$1,0))</f>
        <v>45492</v>
      </c>
      <c r="H94" s="22">
        <f>INDEX(Employees!$A:$Z,MATCH(B94,Employees!$A:$A,0),MATCH("last_change_date",Employees!$1:$1,0))</f>
        <v>46113</v>
      </c>
      <c r="I94" s="4">
        <f>INDEX(Employees!$A:$Z,MATCH(B94,Employees!$A:$A,0),MATCH("base_salary",Employees!$1:$1,0))</f>
        <v>53412.91</v>
      </c>
      <c r="J94" s="5">
        <f>INDEX(Employees!$A:$Z,MATCH(B94,Employees!$A:$A,0),MATCH("bonus_pct",Employees!$1:$1,0))/100</f>
        <v>0.14050000000000001</v>
      </c>
      <c r="K94" s="7">
        <f>INDEX(Employees!$A:$Z,MATCH(B94,Employees!$A:$A,0),MATCH("fte",Employees!$1:$1,0))</f>
        <v>1</v>
      </c>
      <c r="L94" s="3">
        <f>IF(ISNA(MATCH(C94&amp;"|"&amp;E94,Bands!$F:$F,0)),0,1)</f>
        <v>1</v>
      </c>
      <c r="M94" s="4">
        <f>INDEX(Bands!$C:$C,MATCH(C94&amp;"|"&amp;E94,Bands!$F:$F,0))</f>
        <v>59400</v>
      </c>
      <c r="N94" s="4">
        <f>INDEX(Bands!$D:$D,MATCH(C94&amp;"|"&amp;E94,Bands!$F:$F,0))</f>
        <v>74200</v>
      </c>
      <c r="O94" s="4">
        <f>INDEX(Bands!$E:$E,MATCH(C94&amp;"|"&amp;E94,Bands!$F:$F,0))</f>
        <v>89100</v>
      </c>
      <c r="P94" s="7">
        <f t="shared" si="56"/>
        <v>2.6995208761122518</v>
      </c>
      <c r="Q94" s="4">
        <f t="shared" si="57"/>
        <v>60917.423855000008</v>
      </c>
      <c r="R94" s="7">
        <f t="shared" si="58"/>
        <v>100</v>
      </c>
      <c r="S94" s="7">
        <f t="shared" si="59"/>
        <v>7.2874129605658595</v>
      </c>
      <c r="T94" s="7">
        <f t="shared" si="60"/>
        <v>26.99520876112252</v>
      </c>
      <c r="U94" s="7">
        <f t="shared" si="61"/>
        <v>609174.23855000013</v>
      </c>
      <c r="V94" s="7">
        <f t="shared" si="62"/>
        <v>164447.857415551</v>
      </c>
      <c r="W94" s="4">
        <f t="shared" si="63"/>
        <v>60917.42</v>
      </c>
      <c r="X94" s="3">
        <f t="shared" si="64"/>
        <v>1</v>
      </c>
      <c r="Y94" s="4">
        <f>INDEX(Categories!$AH:$AH,MATCH(C94,Categories!$A:$A,0))</f>
        <v>80332.662391999998</v>
      </c>
      <c r="Z94" s="3">
        <f>IF(AND(D94="F",Q94&lt;Y94,INDEX(Categories!$AI:$AI,MATCH(C94,Categories!$A:$A,0))&gt;0),1,0)</f>
        <v>0</v>
      </c>
      <c r="AA94" s="4">
        <f t="shared" si="65"/>
        <v>0</v>
      </c>
      <c r="AB94" s="4">
        <f>IF(Z94=1,INDEX(Categories!$AI:$AI,MATCH(C94,Categories!$A:$A,0))*AA94/INDEX(Categories!$AJ:$AJ,MATCH(C94,Categories!$A:$A,0)),0)</f>
        <v>0</v>
      </c>
      <c r="AC94" s="4">
        <f t="shared" si="66"/>
        <v>0</v>
      </c>
      <c r="AD94" s="4">
        <f t="shared" si="67"/>
        <v>53412.91</v>
      </c>
      <c r="AE94" s="3">
        <f t="shared" si="68"/>
        <v>0</v>
      </c>
      <c r="AF94" s="3">
        <f t="shared" si="69"/>
        <v>32</v>
      </c>
      <c r="AG94" s="3">
        <f t="shared" si="70"/>
        <v>12</v>
      </c>
      <c r="AH94" s="3">
        <f t="shared" si="71"/>
        <v>1</v>
      </c>
      <c r="AI94" s="5">
        <f t="shared" si="72"/>
        <v>0.71985053908355801</v>
      </c>
      <c r="AJ94" s="3">
        <f>MATCH(AI94,Inputs!$B$31:$B$34,1)</f>
        <v>1</v>
      </c>
      <c r="AK94" s="5">
        <f>INDEX(Inputs!$C$21:$C$25,MATCH(F94,Inputs!$A$21:$A$25,0))</f>
        <v>1</v>
      </c>
      <c r="AL94" s="5">
        <f>INDEX(Inputs!$D$21:$D$25,MATCH(F94,Inputs!$A$21:$A$25,0))</f>
        <v>0</v>
      </c>
      <c r="AM94" s="4">
        <f t="shared" si="73"/>
        <v>74200</v>
      </c>
      <c r="AN94" s="4">
        <f t="shared" si="74"/>
        <v>20787.089999999997</v>
      </c>
      <c r="AO94" s="3">
        <f t="shared" si="75"/>
        <v>1</v>
      </c>
      <c r="AP94" s="4">
        <f t="shared" si="76"/>
        <v>16023.873</v>
      </c>
      <c r="AQ94" s="4">
        <f t="shared" si="77"/>
        <v>0</v>
      </c>
      <c r="AR94" s="4">
        <f t="shared" si="78"/>
        <v>16023.873</v>
      </c>
      <c r="AS94" s="3">
        <f t="shared" si="79"/>
        <v>0</v>
      </c>
      <c r="AT94" s="4">
        <f t="shared" si="80"/>
        <v>16023.873</v>
      </c>
      <c r="AU94" s="4">
        <f t="shared" si="81"/>
        <v>35687.089999999997</v>
      </c>
      <c r="AV94" s="4">
        <f t="shared" si="82"/>
        <v>16023.873</v>
      </c>
      <c r="AW94" s="4">
        <f t="shared" si="83"/>
        <v>16023.873</v>
      </c>
      <c r="AX94" s="5">
        <f t="shared" si="84"/>
        <v>0.3</v>
      </c>
      <c r="AY94" s="4">
        <f t="shared" si="85"/>
        <v>69436.782999999996</v>
      </c>
      <c r="AZ94" s="3">
        <f t="shared" si="86"/>
        <v>0</v>
      </c>
      <c r="BA94" s="4">
        <f t="shared" si="87"/>
        <v>60917.423855000008</v>
      </c>
      <c r="BB94" s="4">
        <f t="shared" si="88"/>
        <v>19584.951769382504</v>
      </c>
      <c r="BC94" s="4">
        <f t="shared" si="89"/>
        <v>60917.423855000008</v>
      </c>
      <c r="BD94" s="4">
        <f t="shared" si="90"/>
        <v>19584.951769382504</v>
      </c>
      <c r="BE94" s="4">
        <f t="shared" si="91"/>
        <v>79192.651011499998</v>
      </c>
      <c r="BF94" s="4">
        <f t="shared" si="92"/>
        <v>19862.506258519599</v>
      </c>
      <c r="BG94" s="4">
        <f t="shared" si="93"/>
        <v>0</v>
      </c>
      <c r="BH94" s="4">
        <f t="shared" si="94"/>
        <v>0</v>
      </c>
      <c r="BI94" s="4">
        <f t="shared" si="95"/>
        <v>0</v>
      </c>
      <c r="BJ94" s="4">
        <f t="shared" si="96"/>
        <v>16023.873</v>
      </c>
      <c r="BK94" s="4">
        <f t="shared" si="97"/>
        <v>2251.3541565</v>
      </c>
      <c r="BL94" s="4">
        <f t="shared" si="98"/>
        <v>277.55448913709552</v>
      </c>
      <c r="BM94" s="4">
        <f t="shared" si="99"/>
        <v>53412.91</v>
      </c>
      <c r="BN94" s="4">
        <f t="shared" si="100"/>
        <v>2136.5164</v>
      </c>
      <c r="BO94" s="4">
        <f t="shared" si="101"/>
        <v>2136.5164</v>
      </c>
      <c r="BP94" s="4">
        <f t="shared" si="102"/>
        <v>300.18055420000002</v>
      </c>
      <c r="BQ94" s="4">
        <f t="shared" si="103"/>
        <v>63354.120809200009</v>
      </c>
      <c r="BR94" s="4">
        <f t="shared" si="104"/>
        <v>19700.970919768319</v>
      </c>
      <c r="BS94" s="4">
        <f t="shared" si="105"/>
        <v>116.01915038581501</v>
      </c>
      <c r="BT94" s="4">
        <f t="shared" si="106"/>
        <v>60917.423855000008</v>
      </c>
      <c r="BU94" s="4">
        <f t="shared" si="107"/>
        <v>79192.651011499998</v>
      </c>
      <c r="BV94" s="7">
        <f t="shared" si="108"/>
        <v>791926.51011499995</v>
      </c>
      <c r="BW94" s="7">
        <f t="shared" si="109"/>
        <v>213782.21464021629</v>
      </c>
    </row>
    <row r="95" spans="1:75" x14ac:dyDescent="0.3">
      <c r="A95" s="3">
        <f t="shared" si="55"/>
        <v>91</v>
      </c>
      <c r="B95" t="str">
        <f>INDEX(Employees!$A:$A,A95+1)</f>
        <v>E091</v>
      </c>
      <c r="C95" t="str">
        <f>INDEX(Employees!$A:$Z,MATCH(B95,Employees!$A:$A,0),MATCH("category",Employees!$1:$1,0))</f>
        <v>Marketing</v>
      </c>
      <c r="D95" t="str">
        <f>INDEX(Employees!$A:$Z,MATCH(B95,Employees!$A:$A,0),MATCH("gender",Employees!$1:$1,0))</f>
        <v>M</v>
      </c>
      <c r="E95" s="3">
        <f>INDEX(Employees!$A:$Z,MATCH(B95,Employees!$A:$A,0),MATCH("grade",Employees!$1:$1,0))</f>
        <v>10</v>
      </c>
      <c r="F95" s="3">
        <f>INDEX(Employees!$A:$Z,MATCH(B95,Employees!$A:$A,0),MATCH("rating",Employees!$1:$1,0))</f>
        <v>2</v>
      </c>
      <c r="G95" s="22">
        <f>INDEX(Employees!$A:$Z,MATCH(B95,Employees!$A:$A,0),MATCH("hire_date",Employees!$1:$1,0))</f>
        <v>43446</v>
      </c>
      <c r="H95" s="22">
        <f>INDEX(Employees!$A:$Z,MATCH(B95,Employees!$A:$A,0),MATCH("last_change_date",Employees!$1:$1,0))</f>
        <v>46113</v>
      </c>
      <c r="I95" s="4">
        <f>INDEX(Employees!$A:$Z,MATCH(B95,Employees!$A:$A,0),MATCH("base_salary",Employees!$1:$1,0))</f>
        <v>70084.95</v>
      </c>
      <c r="J95" s="5">
        <f>INDEX(Employees!$A:$Z,MATCH(B95,Employees!$A:$A,0),MATCH("bonus_pct",Employees!$1:$1,0))/100</f>
        <v>0.12210000000000001</v>
      </c>
      <c r="K95" s="7">
        <f>INDEX(Employees!$A:$Z,MATCH(B95,Employees!$A:$A,0),MATCH("fte",Employees!$1:$1,0))</f>
        <v>1</v>
      </c>
      <c r="L95" s="3">
        <f>IF(ISNA(MATCH(C95&amp;"|"&amp;E95,Bands!$F:$F,0)),0,1)</f>
        <v>1</v>
      </c>
      <c r="M95" s="4">
        <f>INDEX(Bands!$C:$C,MATCH(C95&amp;"|"&amp;E95,Bands!$F:$F,0))</f>
        <v>66200</v>
      </c>
      <c r="N95" s="4">
        <f>INDEX(Bands!$D:$D,MATCH(C95&amp;"|"&amp;E95,Bands!$F:$F,0))</f>
        <v>82700</v>
      </c>
      <c r="O95" s="4">
        <f>INDEX(Bands!$E:$E,MATCH(C95&amp;"|"&amp;E95,Bands!$F:$F,0))</f>
        <v>99300</v>
      </c>
      <c r="P95" s="7">
        <f t="shared" si="56"/>
        <v>8.301163586584531</v>
      </c>
      <c r="Q95" s="4">
        <f t="shared" si="57"/>
        <v>78642.32239500001</v>
      </c>
      <c r="R95" s="7">
        <f t="shared" si="58"/>
        <v>100</v>
      </c>
      <c r="S95" s="7">
        <f t="shared" si="59"/>
        <v>68.909316891236955</v>
      </c>
      <c r="T95" s="7">
        <f t="shared" si="60"/>
        <v>83.011635865845307</v>
      </c>
      <c r="U95" s="7">
        <f t="shared" si="61"/>
        <v>786423.22395000013</v>
      </c>
      <c r="V95" s="7">
        <f t="shared" si="62"/>
        <v>652822.7830298153</v>
      </c>
      <c r="W95" s="4">
        <f t="shared" si="63"/>
        <v>78642.320000000007</v>
      </c>
      <c r="X95" s="3">
        <f t="shared" si="64"/>
        <v>18</v>
      </c>
      <c r="Y95" s="4">
        <f>INDEX(Categories!$AH:$AH,MATCH(C95,Categories!$A:$A,0))</f>
        <v>75605.01810049999</v>
      </c>
      <c r="Z95" s="3">
        <f>IF(AND(D95="F",Q95&lt;Y95,INDEX(Categories!$AI:$AI,MATCH(C95,Categories!$A:$A,0))&gt;0),1,0)</f>
        <v>0</v>
      </c>
      <c r="AA95" s="4">
        <f t="shared" si="65"/>
        <v>0</v>
      </c>
      <c r="AB95" s="4">
        <f>IF(Z95=1,INDEX(Categories!$AI:$AI,MATCH(C95,Categories!$A:$A,0))*AA95/INDEX(Categories!$AJ:$AJ,MATCH(C95,Categories!$A:$A,0)),0)</f>
        <v>0</v>
      </c>
      <c r="AC95" s="4">
        <f t="shared" si="66"/>
        <v>0</v>
      </c>
      <c r="AD95" s="4">
        <f t="shared" si="67"/>
        <v>70084.95</v>
      </c>
      <c r="AE95" s="3">
        <f t="shared" si="68"/>
        <v>0</v>
      </c>
      <c r="AF95" s="3">
        <f t="shared" si="69"/>
        <v>99</v>
      </c>
      <c r="AG95" s="3">
        <f t="shared" si="70"/>
        <v>12</v>
      </c>
      <c r="AH95" s="3">
        <f t="shared" si="71"/>
        <v>1</v>
      </c>
      <c r="AI95" s="5">
        <f t="shared" si="72"/>
        <v>0.84746009673518741</v>
      </c>
      <c r="AJ95" s="3">
        <f>MATCH(AI95,Inputs!$B$31:$B$34,1)</f>
        <v>1</v>
      </c>
      <c r="AK95" s="5">
        <f>INDEX(Inputs!$C$21:$C$25,MATCH(F95,Inputs!$A$21:$A$25,0))</f>
        <v>0.95</v>
      </c>
      <c r="AL95" s="5">
        <f>INDEX(Inputs!$D$21:$D$25,MATCH(F95,Inputs!$A$21:$A$25,0))</f>
        <v>0</v>
      </c>
      <c r="AM95" s="4">
        <f t="shared" si="73"/>
        <v>78565</v>
      </c>
      <c r="AN95" s="4">
        <f t="shared" si="74"/>
        <v>8480.0500000000029</v>
      </c>
      <c r="AO95" s="3">
        <f t="shared" si="75"/>
        <v>1</v>
      </c>
      <c r="AP95" s="4">
        <f t="shared" si="76"/>
        <v>21025.484999999997</v>
      </c>
      <c r="AQ95" s="4">
        <f t="shared" si="77"/>
        <v>0</v>
      </c>
      <c r="AR95" s="4">
        <f t="shared" si="78"/>
        <v>8480.0500000000029</v>
      </c>
      <c r="AS95" s="3">
        <f t="shared" si="79"/>
        <v>0</v>
      </c>
      <c r="AT95" s="4">
        <f t="shared" si="80"/>
        <v>8480.0500000000029</v>
      </c>
      <c r="AU95" s="4">
        <f t="shared" si="81"/>
        <v>29215.050000000003</v>
      </c>
      <c r="AV95" s="4">
        <f t="shared" si="82"/>
        <v>8480.0500000000029</v>
      </c>
      <c r="AW95" s="4">
        <f t="shared" si="83"/>
        <v>8480.0500000000029</v>
      </c>
      <c r="AX95" s="5">
        <f t="shared" si="84"/>
        <v>0.12099673325014862</v>
      </c>
      <c r="AY95" s="4">
        <f t="shared" si="85"/>
        <v>78565</v>
      </c>
      <c r="AZ95" s="3">
        <f t="shared" si="86"/>
        <v>0</v>
      </c>
      <c r="BA95" s="4">
        <f t="shared" si="87"/>
        <v>78642.32239500001</v>
      </c>
      <c r="BB95" s="4">
        <f t="shared" si="88"/>
        <v>19856.782840907999</v>
      </c>
      <c r="BC95" s="4">
        <f t="shared" si="89"/>
        <v>78642.32239500001</v>
      </c>
      <c r="BD95" s="4">
        <f t="shared" si="90"/>
        <v>19856.782840907999</v>
      </c>
      <c r="BE95" s="4">
        <f t="shared" si="91"/>
        <v>88157.786500000002</v>
      </c>
      <c r="BF95" s="4">
        <f t="shared" si="92"/>
        <v>19955.743667599996</v>
      </c>
      <c r="BG95" s="4">
        <f t="shared" si="93"/>
        <v>0</v>
      </c>
      <c r="BH95" s="4">
        <f t="shared" si="94"/>
        <v>0</v>
      </c>
      <c r="BI95" s="4">
        <f t="shared" si="95"/>
        <v>0</v>
      </c>
      <c r="BJ95" s="4">
        <f t="shared" si="96"/>
        <v>8480.0500000000029</v>
      </c>
      <c r="BK95" s="4">
        <f t="shared" si="97"/>
        <v>1035.4141050000005</v>
      </c>
      <c r="BL95" s="4">
        <f t="shared" si="98"/>
        <v>98.960826691996772</v>
      </c>
      <c r="BM95" s="4">
        <f t="shared" si="99"/>
        <v>70084.95</v>
      </c>
      <c r="BN95" s="4">
        <f t="shared" si="100"/>
        <v>2803.3980000000001</v>
      </c>
      <c r="BO95" s="4">
        <f t="shared" si="101"/>
        <v>2803.3980000000001</v>
      </c>
      <c r="BP95" s="4">
        <f t="shared" si="102"/>
        <v>342.29489580000006</v>
      </c>
      <c r="BQ95" s="4">
        <f t="shared" si="103"/>
        <v>81788.015290800002</v>
      </c>
      <c r="BR95" s="4">
        <f t="shared" si="104"/>
        <v>19889.498047024317</v>
      </c>
      <c r="BS95" s="4">
        <f t="shared" si="105"/>
        <v>32.715206116317859</v>
      </c>
      <c r="BT95" s="4">
        <f t="shared" si="106"/>
        <v>78642.32239500001</v>
      </c>
      <c r="BU95" s="4">
        <f t="shared" si="107"/>
        <v>88157.786500000002</v>
      </c>
      <c r="BV95" s="7">
        <f t="shared" si="108"/>
        <v>881577.86499999999</v>
      </c>
      <c r="BW95" s="7">
        <f t="shared" si="109"/>
        <v>731812.20716769341</v>
      </c>
    </row>
    <row r="96" spans="1:75" x14ac:dyDescent="0.3">
      <c r="A96" s="3">
        <f t="shared" si="55"/>
        <v>92</v>
      </c>
      <c r="B96" t="str">
        <f>INDEX(Employees!$A:$A,A96+1)</f>
        <v>E092</v>
      </c>
      <c r="C96" t="str">
        <f>INDEX(Employees!$A:$Z,MATCH(B96,Employees!$A:$A,0),MATCH("category",Employees!$1:$1,0))</f>
        <v>Marketing</v>
      </c>
      <c r="D96" t="str">
        <f>INDEX(Employees!$A:$Z,MATCH(B96,Employees!$A:$A,0),MATCH("gender",Employees!$1:$1,0))</f>
        <v>F</v>
      </c>
      <c r="E96" s="3">
        <f>INDEX(Employees!$A:$Z,MATCH(B96,Employees!$A:$A,0),MATCH("grade",Employees!$1:$1,0))</f>
        <v>9</v>
      </c>
      <c r="F96" s="3">
        <f>INDEX(Employees!$A:$Z,MATCH(B96,Employees!$A:$A,0),MATCH("rating",Employees!$1:$1,0))</f>
        <v>3</v>
      </c>
      <c r="G96" s="22">
        <f>INDEX(Employees!$A:$Z,MATCH(B96,Employees!$A:$A,0),MATCH("hire_date",Employees!$1:$1,0))</f>
        <v>42570</v>
      </c>
      <c r="H96" s="22">
        <f>INDEX(Employees!$A:$Z,MATCH(B96,Employees!$A:$A,0),MATCH("last_change_date",Employees!$1:$1,0))</f>
        <v>46113</v>
      </c>
      <c r="I96" s="4">
        <f>INDEX(Employees!$A:$Z,MATCH(B96,Employees!$A:$A,0),MATCH("base_salary",Employees!$1:$1,0))</f>
        <v>69752.62</v>
      </c>
      <c r="J96" s="5">
        <f>INDEX(Employees!$A:$Z,MATCH(B96,Employees!$A:$A,0),MATCH("bonus_pct",Employees!$1:$1,0))/100</f>
        <v>8.3100000000000007E-2</v>
      </c>
      <c r="K96" s="7">
        <f>INDEX(Employees!$A:$Z,MATCH(B96,Employees!$A:$A,0),MATCH("fte",Employees!$1:$1,0))</f>
        <v>1</v>
      </c>
      <c r="L96" s="3">
        <f>IF(ISNA(MATCH(C96&amp;"|"&amp;E96,Bands!$F:$F,0)),0,1)</f>
        <v>1</v>
      </c>
      <c r="M96" s="4">
        <f>INDEX(Bands!$C:$C,MATCH(C96&amp;"|"&amp;E96,Bands!$F:$F,0))</f>
        <v>60000</v>
      </c>
      <c r="N96" s="4">
        <f>INDEX(Bands!$D:$D,MATCH(C96&amp;"|"&amp;E96,Bands!$F:$F,0))</f>
        <v>72000</v>
      </c>
      <c r="O96" s="4">
        <f>INDEX(Bands!$E:$E,MATCH(C96&amp;"|"&amp;E96,Bands!$F:$F,0))</f>
        <v>84000</v>
      </c>
      <c r="P96" s="7">
        <f t="shared" si="56"/>
        <v>10.699520876112253</v>
      </c>
      <c r="Q96" s="4">
        <f t="shared" si="57"/>
        <v>75549.062721999988</v>
      </c>
      <c r="R96" s="7">
        <f t="shared" si="58"/>
        <v>81</v>
      </c>
      <c r="S96" s="7">
        <f t="shared" si="59"/>
        <v>114.4797469783619</v>
      </c>
      <c r="T96" s="7">
        <f t="shared" si="60"/>
        <v>96.295687885010267</v>
      </c>
      <c r="U96" s="7">
        <f t="shared" si="61"/>
        <v>679941.56449799985</v>
      </c>
      <c r="V96" s="7">
        <f t="shared" si="62"/>
        <v>808338.77376475278</v>
      </c>
      <c r="W96" s="4">
        <f t="shared" si="63"/>
        <v>75549.06</v>
      </c>
      <c r="X96" s="3">
        <f t="shared" si="64"/>
        <v>13</v>
      </c>
      <c r="Y96" s="4">
        <f>INDEX(Categories!$AH:$AH,MATCH(C96,Categories!$A:$A,0))</f>
        <v>75605.01810049999</v>
      </c>
      <c r="Z96" s="3">
        <f>IF(AND(D96="F",Q96&lt;Y96,INDEX(Categories!$AI:$AI,MATCH(C96,Categories!$A:$A,0))&gt;0),1,0)</f>
        <v>0</v>
      </c>
      <c r="AA96" s="4">
        <f t="shared" si="65"/>
        <v>0</v>
      </c>
      <c r="AB96" s="4">
        <f>IF(Z96=1,INDEX(Categories!$AI:$AI,MATCH(C96,Categories!$A:$A,0))*AA96/INDEX(Categories!$AJ:$AJ,MATCH(C96,Categories!$A:$A,0)),0)</f>
        <v>0</v>
      </c>
      <c r="AC96" s="4">
        <f t="shared" si="66"/>
        <v>0</v>
      </c>
      <c r="AD96" s="4">
        <f t="shared" si="67"/>
        <v>69752.62</v>
      </c>
      <c r="AE96" s="3">
        <f t="shared" si="68"/>
        <v>0</v>
      </c>
      <c r="AF96" s="3">
        <f t="shared" si="69"/>
        <v>128</v>
      </c>
      <c r="AG96" s="3">
        <f t="shared" si="70"/>
        <v>12</v>
      </c>
      <c r="AH96" s="3">
        <f t="shared" si="71"/>
        <v>1</v>
      </c>
      <c r="AI96" s="5">
        <f t="shared" si="72"/>
        <v>0.96878638888888879</v>
      </c>
      <c r="AJ96" s="3">
        <f>MATCH(AI96,Inputs!$B$31:$B$34,1)</f>
        <v>2</v>
      </c>
      <c r="AK96" s="5">
        <f>INDEX(Inputs!$C$21:$C$25,MATCH(F96,Inputs!$A$21:$A$25,0))</f>
        <v>1</v>
      </c>
      <c r="AL96" s="5">
        <f>INDEX(Inputs!$D$21:$D$25,MATCH(F96,Inputs!$A$21:$A$25,0))</f>
        <v>0</v>
      </c>
      <c r="AM96" s="4">
        <f t="shared" si="73"/>
        <v>72000</v>
      </c>
      <c r="AN96" s="4">
        <f t="shared" si="74"/>
        <v>2247.3800000000047</v>
      </c>
      <c r="AO96" s="3">
        <f t="shared" si="75"/>
        <v>1</v>
      </c>
      <c r="AP96" s="4">
        <f t="shared" si="76"/>
        <v>20925.785999999996</v>
      </c>
      <c r="AQ96" s="4">
        <f t="shared" si="77"/>
        <v>0</v>
      </c>
      <c r="AR96" s="4">
        <f t="shared" si="78"/>
        <v>2247.3800000000047</v>
      </c>
      <c r="AS96" s="3">
        <f t="shared" si="79"/>
        <v>0</v>
      </c>
      <c r="AT96" s="4">
        <f t="shared" si="80"/>
        <v>2247.3800000000047</v>
      </c>
      <c r="AU96" s="4">
        <f t="shared" si="81"/>
        <v>14247.380000000005</v>
      </c>
      <c r="AV96" s="4">
        <f t="shared" si="82"/>
        <v>2247.3800000000047</v>
      </c>
      <c r="AW96" s="4">
        <f t="shared" si="83"/>
        <v>2247.3800000000047</v>
      </c>
      <c r="AX96" s="5">
        <f t="shared" si="84"/>
        <v>3.2219291547758419E-2</v>
      </c>
      <c r="AY96" s="4">
        <f t="shared" si="85"/>
        <v>72000</v>
      </c>
      <c r="AZ96" s="3">
        <f t="shared" si="86"/>
        <v>0</v>
      </c>
      <c r="BA96" s="4">
        <f t="shared" si="87"/>
        <v>75549.062721999988</v>
      </c>
      <c r="BB96" s="4">
        <f t="shared" si="88"/>
        <v>19824.612940308798</v>
      </c>
      <c r="BC96" s="4">
        <f t="shared" si="89"/>
        <v>75549.062721999988</v>
      </c>
      <c r="BD96" s="4">
        <f t="shared" si="90"/>
        <v>19824.612940308798</v>
      </c>
      <c r="BE96" s="4">
        <f t="shared" si="91"/>
        <v>77983.199999999997</v>
      </c>
      <c r="BF96" s="4">
        <f t="shared" si="92"/>
        <v>19849.927967999996</v>
      </c>
      <c r="BG96" s="4">
        <f t="shared" si="93"/>
        <v>0</v>
      </c>
      <c r="BH96" s="4">
        <f t="shared" si="94"/>
        <v>0</v>
      </c>
      <c r="BI96" s="4">
        <f t="shared" si="95"/>
        <v>0</v>
      </c>
      <c r="BJ96" s="4">
        <f t="shared" si="96"/>
        <v>2247.3800000000047</v>
      </c>
      <c r="BK96" s="4">
        <f t="shared" si="97"/>
        <v>186.75727800000041</v>
      </c>
      <c r="BL96" s="4">
        <f t="shared" si="98"/>
        <v>25.315027691198338</v>
      </c>
      <c r="BM96" s="4">
        <f t="shared" si="99"/>
        <v>69752.62</v>
      </c>
      <c r="BN96" s="4">
        <f t="shared" si="100"/>
        <v>2790.1048000000001</v>
      </c>
      <c r="BO96" s="4">
        <f t="shared" si="101"/>
        <v>2790.1048000000001</v>
      </c>
      <c r="BP96" s="4">
        <f t="shared" si="102"/>
        <v>231.85770888000002</v>
      </c>
      <c r="BQ96" s="4">
        <f t="shared" si="103"/>
        <v>78571.025230879997</v>
      </c>
      <c r="BR96" s="4">
        <f t="shared" si="104"/>
        <v>19856.041350401149</v>
      </c>
      <c r="BS96" s="4">
        <f t="shared" si="105"/>
        <v>31.428410092350532</v>
      </c>
      <c r="BT96" s="4">
        <f t="shared" si="106"/>
        <v>75549.062721999988</v>
      </c>
      <c r="BU96" s="4">
        <f t="shared" si="107"/>
        <v>77983.199999999997</v>
      </c>
      <c r="BV96" s="7">
        <f t="shared" si="108"/>
        <v>701848.79999999993</v>
      </c>
      <c r="BW96" s="7">
        <f t="shared" si="109"/>
        <v>834382.87638603698</v>
      </c>
    </row>
    <row r="97" spans="1:75" x14ac:dyDescent="0.3">
      <c r="A97" s="3">
        <f t="shared" si="55"/>
        <v>93</v>
      </c>
      <c r="B97" t="str">
        <f>INDEX(Employees!$A:$A,A97+1)</f>
        <v>E093</v>
      </c>
      <c r="C97" t="str">
        <f>INDEX(Employees!$A:$Z,MATCH(B97,Employees!$A:$A,0),MATCH("category",Employees!$1:$1,0))</f>
        <v>Marketing</v>
      </c>
      <c r="D97" t="str">
        <f>INDEX(Employees!$A:$Z,MATCH(B97,Employees!$A:$A,0),MATCH("gender",Employees!$1:$1,0))</f>
        <v>M</v>
      </c>
      <c r="E97" s="3">
        <f>INDEX(Employees!$A:$Z,MATCH(B97,Employees!$A:$A,0),MATCH("grade",Employees!$1:$1,0))</f>
        <v>9</v>
      </c>
      <c r="F97" s="3">
        <f>INDEX(Employees!$A:$Z,MATCH(B97,Employees!$A:$A,0),MATCH("rating",Employees!$1:$1,0))</f>
        <v>3</v>
      </c>
      <c r="G97" s="22">
        <f>INDEX(Employees!$A:$Z,MATCH(B97,Employees!$A:$A,0),MATCH("hire_date",Employees!$1:$1,0))</f>
        <v>43227</v>
      </c>
      <c r="H97" s="22">
        <f>INDEX(Employees!$A:$Z,MATCH(B97,Employees!$A:$A,0),MATCH("last_change_date",Employees!$1:$1,0))</f>
        <v>46113</v>
      </c>
      <c r="I97" s="4">
        <f>INDEX(Employees!$A:$Z,MATCH(B97,Employees!$A:$A,0),MATCH("base_salary",Employees!$1:$1,0))</f>
        <v>68978.22</v>
      </c>
      <c r="J97" s="5">
        <f>INDEX(Employees!$A:$Z,MATCH(B97,Employees!$A:$A,0),MATCH("bonus_pct",Employees!$1:$1,0))/100</f>
        <v>0.1066</v>
      </c>
      <c r="K97" s="7">
        <f>INDEX(Employees!$A:$Z,MATCH(B97,Employees!$A:$A,0),MATCH("fte",Employees!$1:$1,0))</f>
        <v>1</v>
      </c>
      <c r="L97" s="3">
        <f>IF(ISNA(MATCH(C97&amp;"|"&amp;E97,Bands!$F:$F,0)),0,1)</f>
        <v>1</v>
      </c>
      <c r="M97" s="4">
        <f>INDEX(Bands!$C:$C,MATCH(C97&amp;"|"&amp;E97,Bands!$F:$F,0))</f>
        <v>60000</v>
      </c>
      <c r="N97" s="4">
        <f>INDEX(Bands!$D:$D,MATCH(C97&amp;"|"&amp;E97,Bands!$F:$F,0))</f>
        <v>72000</v>
      </c>
      <c r="O97" s="4">
        <f>INDEX(Bands!$E:$E,MATCH(C97&amp;"|"&amp;E97,Bands!$F:$F,0))</f>
        <v>84000</v>
      </c>
      <c r="P97" s="7">
        <f t="shared" si="56"/>
        <v>8.9007529089664619</v>
      </c>
      <c r="Q97" s="4">
        <f t="shared" si="57"/>
        <v>76331.298252000008</v>
      </c>
      <c r="R97" s="7">
        <f t="shared" si="58"/>
        <v>81</v>
      </c>
      <c r="S97" s="7">
        <f t="shared" si="59"/>
        <v>79.223402346474927</v>
      </c>
      <c r="T97" s="7">
        <f t="shared" si="60"/>
        <v>80.106776180698162</v>
      </c>
      <c r="U97" s="7">
        <f t="shared" si="61"/>
        <v>686981.68426800007</v>
      </c>
      <c r="V97" s="7">
        <f t="shared" si="62"/>
        <v>679406.02496167563</v>
      </c>
      <c r="W97" s="4">
        <f t="shared" si="63"/>
        <v>76331.3</v>
      </c>
      <c r="X97" s="3">
        <f t="shared" si="64"/>
        <v>15</v>
      </c>
      <c r="Y97" s="4">
        <f>INDEX(Categories!$AH:$AH,MATCH(C97,Categories!$A:$A,0))</f>
        <v>75605.01810049999</v>
      </c>
      <c r="Z97" s="3">
        <f>IF(AND(D97="F",Q97&lt;Y97,INDEX(Categories!$AI:$AI,MATCH(C97,Categories!$A:$A,0))&gt;0),1,0)</f>
        <v>0</v>
      </c>
      <c r="AA97" s="4">
        <f t="shared" si="65"/>
        <v>0</v>
      </c>
      <c r="AB97" s="4">
        <f>IF(Z97=1,INDEX(Categories!$AI:$AI,MATCH(C97,Categories!$A:$A,0))*AA97/INDEX(Categories!$AJ:$AJ,MATCH(C97,Categories!$A:$A,0)),0)</f>
        <v>0</v>
      </c>
      <c r="AC97" s="4">
        <f t="shared" si="66"/>
        <v>0</v>
      </c>
      <c r="AD97" s="4">
        <f t="shared" si="67"/>
        <v>68978.22</v>
      </c>
      <c r="AE97" s="3">
        <f t="shared" si="68"/>
        <v>0</v>
      </c>
      <c r="AF97" s="3">
        <f t="shared" si="69"/>
        <v>106</v>
      </c>
      <c r="AG97" s="3">
        <f t="shared" si="70"/>
        <v>12</v>
      </c>
      <c r="AH97" s="3">
        <f t="shared" si="71"/>
        <v>1</v>
      </c>
      <c r="AI97" s="5">
        <f t="shared" si="72"/>
        <v>0.95803083333333339</v>
      </c>
      <c r="AJ97" s="3">
        <f>MATCH(AI97,Inputs!$B$31:$B$34,1)</f>
        <v>2</v>
      </c>
      <c r="AK97" s="5">
        <f>INDEX(Inputs!$C$21:$C$25,MATCH(F97,Inputs!$A$21:$A$25,0))</f>
        <v>1</v>
      </c>
      <c r="AL97" s="5">
        <f>INDEX(Inputs!$D$21:$D$25,MATCH(F97,Inputs!$A$21:$A$25,0))</f>
        <v>0</v>
      </c>
      <c r="AM97" s="4">
        <f t="shared" si="73"/>
        <v>72000</v>
      </c>
      <c r="AN97" s="4">
        <f t="shared" si="74"/>
        <v>3021.7799999999988</v>
      </c>
      <c r="AO97" s="3">
        <f t="shared" si="75"/>
        <v>1</v>
      </c>
      <c r="AP97" s="4">
        <f t="shared" si="76"/>
        <v>20693.466</v>
      </c>
      <c r="AQ97" s="4">
        <f t="shared" si="77"/>
        <v>0</v>
      </c>
      <c r="AR97" s="4">
        <f t="shared" si="78"/>
        <v>3021.7799999999988</v>
      </c>
      <c r="AS97" s="3">
        <f t="shared" si="79"/>
        <v>0</v>
      </c>
      <c r="AT97" s="4">
        <f t="shared" si="80"/>
        <v>3021.7799999999988</v>
      </c>
      <c r="AU97" s="4">
        <f t="shared" si="81"/>
        <v>15021.779999999999</v>
      </c>
      <c r="AV97" s="4">
        <f t="shared" si="82"/>
        <v>3021.7799999999988</v>
      </c>
      <c r="AW97" s="4">
        <f t="shared" si="83"/>
        <v>3021.7799999999988</v>
      </c>
      <c r="AX97" s="5">
        <f t="shared" si="84"/>
        <v>4.3807741052175581E-2</v>
      </c>
      <c r="AY97" s="4">
        <f t="shared" si="85"/>
        <v>72000</v>
      </c>
      <c r="AZ97" s="3">
        <f t="shared" si="86"/>
        <v>0</v>
      </c>
      <c r="BA97" s="4">
        <f t="shared" si="87"/>
        <v>76331.298252000008</v>
      </c>
      <c r="BB97" s="4">
        <f t="shared" si="88"/>
        <v>19832.748189820799</v>
      </c>
      <c r="BC97" s="4">
        <f t="shared" si="89"/>
        <v>76331.298252000008</v>
      </c>
      <c r="BD97" s="4">
        <f t="shared" si="90"/>
        <v>19832.748189820799</v>
      </c>
      <c r="BE97" s="4">
        <f t="shared" si="91"/>
        <v>79675.199999999997</v>
      </c>
      <c r="BF97" s="4">
        <f t="shared" si="92"/>
        <v>19867.524767999999</v>
      </c>
      <c r="BG97" s="4">
        <f t="shared" si="93"/>
        <v>0</v>
      </c>
      <c r="BH97" s="4">
        <f t="shared" si="94"/>
        <v>0</v>
      </c>
      <c r="BI97" s="4">
        <f t="shared" si="95"/>
        <v>0</v>
      </c>
      <c r="BJ97" s="4">
        <f t="shared" si="96"/>
        <v>3021.7799999999988</v>
      </c>
      <c r="BK97" s="4">
        <f t="shared" si="97"/>
        <v>322.12174799999985</v>
      </c>
      <c r="BL97" s="4">
        <f t="shared" si="98"/>
        <v>34.776578179200442</v>
      </c>
      <c r="BM97" s="4">
        <f t="shared" si="99"/>
        <v>68978.22</v>
      </c>
      <c r="BN97" s="4">
        <f t="shared" si="100"/>
        <v>2759.1288</v>
      </c>
      <c r="BO97" s="4">
        <f t="shared" si="101"/>
        <v>2759.1288</v>
      </c>
      <c r="BP97" s="4">
        <f t="shared" si="102"/>
        <v>294.12313008000001</v>
      </c>
      <c r="BQ97" s="4">
        <f t="shared" si="103"/>
        <v>79384.550182080013</v>
      </c>
      <c r="BR97" s="4">
        <f t="shared" si="104"/>
        <v>19864.502009893629</v>
      </c>
      <c r="BS97" s="4">
        <f t="shared" si="105"/>
        <v>31.753820072830422</v>
      </c>
      <c r="BT97" s="4">
        <f t="shared" si="106"/>
        <v>76331.298252000008</v>
      </c>
      <c r="BU97" s="4">
        <f t="shared" si="107"/>
        <v>79675.199999999997</v>
      </c>
      <c r="BV97" s="7">
        <f t="shared" si="108"/>
        <v>717076.79999999993</v>
      </c>
      <c r="BW97" s="7">
        <f t="shared" si="109"/>
        <v>709169.26817248459</v>
      </c>
    </row>
    <row r="98" spans="1:75" x14ac:dyDescent="0.3">
      <c r="A98" s="3">
        <f t="shared" si="55"/>
        <v>94</v>
      </c>
      <c r="B98" t="str">
        <f>INDEX(Employees!$A:$A,A98+1)</f>
        <v>E094</v>
      </c>
      <c r="C98" t="str">
        <f>INDEX(Employees!$A:$Z,MATCH(B98,Employees!$A:$A,0),MATCH("category",Employees!$1:$1,0))</f>
        <v>Marketing</v>
      </c>
      <c r="D98" t="str">
        <f>INDEX(Employees!$A:$Z,MATCH(B98,Employees!$A:$A,0),MATCH("gender",Employees!$1:$1,0))</f>
        <v>F</v>
      </c>
      <c r="E98" s="3">
        <f>INDEX(Employees!$A:$Z,MATCH(B98,Employees!$A:$A,0),MATCH("grade",Employees!$1:$1,0))</f>
        <v>9</v>
      </c>
      <c r="F98" s="3">
        <f>INDEX(Employees!$A:$Z,MATCH(B98,Employees!$A:$A,0),MATCH("rating",Employees!$1:$1,0))</f>
        <v>3</v>
      </c>
      <c r="G98" s="22">
        <f>INDEX(Employees!$A:$Z,MATCH(B98,Employees!$A:$A,0),MATCH("hire_date",Employees!$1:$1,0))</f>
        <v>42862</v>
      </c>
      <c r="H98" s="22">
        <f>INDEX(Employees!$A:$Z,MATCH(B98,Employees!$A:$A,0),MATCH("last_change_date",Employees!$1:$1,0))</f>
        <v>46113</v>
      </c>
      <c r="I98" s="4">
        <f>INDEX(Employees!$A:$Z,MATCH(B98,Employees!$A:$A,0),MATCH("base_salary",Employees!$1:$1,0))</f>
        <v>72180</v>
      </c>
      <c r="J98" s="5">
        <f>INDEX(Employees!$A:$Z,MATCH(B98,Employees!$A:$A,0),MATCH("bonus_pct",Employees!$1:$1,0))/100</f>
        <v>0.10369999999999999</v>
      </c>
      <c r="K98" s="7">
        <f>INDEX(Employees!$A:$Z,MATCH(B98,Employees!$A:$A,0),MATCH("fte",Employees!$1:$1,0))</f>
        <v>1</v>
      </c>
      <c r="L98" s="3">
        <f>IF(ISNA(MATCH(C98&amp;"|"&amp;E98,Bands!$F:$F,0)),0,1)</f>
        <v>1</v>
      </c>
      <c r="M98" s="4">
        <f>INDEX(Bands!$C:$C,MATCH(C98&amp;"|"&amp;E98,Bands!$F:$F,0))</f>
        <v>60000</v>
      </c>
      <c r="N98" s="4">
        <f>INDEX(Bands!$D:$D,MATCH(C98&amp;"|"&amp;E98,Bands!$F:$F,0))</f>
        <v>72000</v>
      </c>
      <c r="O98" s="4">
        <f>INDEX(Bands!$E:$E,MATCH(C98&amp;"|"&amp;E98,Bands!$F:$F,0))</f>
        <v>84000</v>
      </c>
      <c r="P98" s="7">
        <f t="shared" si="56"/>
        <v>9.9000684462696782</v>
      </c>
      <c r="Q98" s="4">
        <f t="shared" si="57"/>
        <v>79665.065999999992</v>
      </c>
      <c r="R98" s="7">
        <f t="shared" si="58"/>
        <v>81</v>
      </c>
      <c r="S98" s="7">
        <f t="shared" si="59"/>
        <v>98.011355240824514</v>
      </c>
      <c r="T98" s="7">
        <f t="shared" si="60"/>
        <v>89.100616016427097</v>
      </c>
      <c r="U98" s="7">
        <f t="shared" si="61"/>
        <v>716985.59399999992</v>
      </c>
      <c r="V98" s="7">
        <f t="shared" si="62"/>
        <v>788689.60617659125</v>
      </c>
      <c r="W98" s="4">
        <f t="shared" si="63"/>
        <v>79665.070000000007</v>
      </c>
      <c r="X98" s="3">
        <f t="shared" si="64"/>
        <v>20</v>
      </c>
      <c r="Y98" s="4">
        <f>INDEX(Categories!$AH:$AH,MATCH(C98,Categories!$A:$A,0))</f>
        <v>75605.01810049999</v>
      </c>
      <c r="Z98" s="3">
        <f>IF(AND(D98="F",Q98&lt;Y98,INDEX(Categories!$AI:$AI,MATCH(C98,Categories!$A:$A,0))&gt;0),1,0)</f>
        <v>0</v>
      </c>
      <c r="AA98" s="4">
        <f t="shared" si="65"/>
        <v>0</v>
      </c>
      <c r="AB98" s="4">
        <f>IF(Z98=1,INDEX(Categories!$AI:$AI,MATCH(C98,Categories!$A:$A,0))*AA98/INDEX(Categories!$AJ:$AJ,MATCH(C98,Categories!$A:$A,0)),0)</f>
        <v>0</v>
      </c>
      <c r="AC98" s="4">
        <f t="shared" si="66"/>
        <v>0</v>
      </c>
      <c r="AD98" s="4">
        <f t="shared" si="67"/>
        <v>72180</v>
      </c>
      <c r="AE98" s="3">
        <f t="shared" si="68"/>
        <v>0</v>
      </c>
      <c r="AF98" s="3">
        <f t="shared" si="69"/>
        <v>118</v>
      </c>
      <c r="AG98" s="3">
        <f t="shared" si="70"/>
        <v>12</v>
      </c>
      <c r="AH98" s="3">
        <f t="shared" si="71"/>
        <v>1</v>
      </c>
      <c r="AI98" s="5">
        <f t="shared" si="72"/>
        <v>1.0024999999999999</v>
      </c>
      <c r="AJ98" s="3">
        <f>MATCH(AI98,Inputs!$B$31:$B$34,1)</f>
        <v>3</v>
      </c>
      <c r="AK98" s="5">
        <f>INDEX(Inputs!$C$21:$C$25,MATCH(F98,Inputs!$A$21:$A$25,0))</f>
        <v>1</v>
      </c>
      <c r="AL98" s="5">
        <f>INDEX(Inputs!$D$21:$D$25,MATCH(F98,Inputs!$A$21:$A$25,0))</f>
        <v>0</v>
      </c>
      <c r="AM98" s="4">
        <f t="shared" si="73"/>
        <v>72000</v>
      </c>
      <c r="AN98" s="4">
        <f t="shared" si="74"/>
        <v>0</v>
      </c>
      <c r="AO98" s="3">
        <f t="shared" si="75"/>
        <v>1</v>
      </c>
      <c r="AP98" s="4">
        <f t="shared" si="76"/>
        <v>21654</v>
      </c>
      <c r="AQ98" s="4">
        <f t="shared" si="77"/>
        <v>0</v>
      </c>
      <c r="AR98" s="4">
        <f t="shared" si="78"/>
        <v>0</v>
      </c>
      <c r="AS98" s="3">
        <f t="shared" si="79"/>
        <v>0</v>
      </c>
      <c r="AT98" s="4">
        <f t="shared" si="80"/>
        <v>0</v>
      </c>
      <c r="AU98" s="4">
        <f t="shared" si="81"/>
        <v>11820</v>
      </c>
      <c r="AV98" s="4">
        <f t="shared" si="82"/>
        <v>0</v>
      </c>
      <c r="AW98" s="4">
        <f t="shared" si="83"/>
        <v>0</v>
      </c>
      <c r="AX98" s="5">
        <f t="shared" si="84"/>
        <v>0</v>
      </c>
      <c r="AY98" s="4">
        <f t="shared" si="85"/>
        <v>72180</v>
      </c>
      <c r="AZ98" s="3">
        <f t="shared" si="86"/>
        <v>0</v>
      </c>
      <c r="BA98" s="4">
        <f t="shared" si="87"/>
        <v>79665.065999999992</v>
      </c>
      <c r="BB98" s="4">
        <f t="shared" si="88"/>
        <v>19867.419374399997</v>
      </c>
      <c r="BC98" s="4">
        <f t="shared" si="89"/>
        <v>79665.065999999992</v>
      </c>
      <c r="BD98" s="4">
        <f t="shared" si="90"/>
        <v>19867.419374399997</v>
      </c>
      <c r="BE98" s="4">
        <f t="shared" si="91"/>
        <v>79665.065999999992</v>
      </c>
      <c r="BF98" s="4">
        <f t="shared" si="92"/>
        <v>19867.419374399997</v>
      </c>
      <c r="BG98" s="4">
        <f t="shared" si="93"/>
        <v>0</v>
      </c>
      <c r="BH98" s="4">
        <f t="shared" si="94"/>
        <v>0</v>
      </c>
      <c r="BI98" s="4">
        <f t="shared" si="95"/>
        <v>0</v>
      </c>
      <c r="BJ98" s="4">
        <f t="shared" si="96"/>
        <v>0</v>
      </c>
      <c r="BK98" s="4">
        <f t="shared" si="97"/>
        <v>0</v>
      </c>
      <c r="BL98" s="4">
        <f t="shared" si="98"/>
        <v>0</v>
      </c>
      <c r="BM98" s="4">
        <f t="shared" si="99"/>
        <v>72180</v>
      </c>
      <c r="BN98" s="4">
        <f t="shared" si="100"/>
        <v>2887.2000000000003</v>
      </c>
      <c r="BO98" s="4">
        <f t="shared" si="101"/>
        <v>2887.2000000000003</v>
      </c>
      <c r="BP98" s="4">
        <f t="shared" si="102"/>
        <v>299.40263999999996</v>
      </c>
      <c r="BQ98" s="4">
        <f t="shared" si="103"/>
        <v>82851.668639999989</v>
      </c>
      <c r="BR98" s="4">
        <f t="shared" si="104"/>
        <v>19900.560041855999</v>
      </c>
      <c r="BS98" s="4">
        <f t="shared" si="105"/>
        <v>33.14066745600212</v>
      </c>
      <c r="BT98" s="4">
        <f t="shared" si="106"/>
        <v>79665.065999999992</v>
      </c>
      <c r="BU98" s="4">
        <f t="shared" si="107"/>
        <v>79665.065999999992</v>
      </c>
      <c r="BV98" s="7">
        <f t="shared" si="108"/>
        <v>716985.59399999992</v>
      </c>
      <c r="BW98" s="7">
        <f t="shared" si="109"/>
        <v>788689.60617659125</v>
      </c>
    </row>
    <row r="99" spans="1:75" x14ac:dyDescent="0.3">
      <c r="A99" s="3">
        <f t="shared" si="55"/>
        <v>95</v>
      </c>
      <c r="B99" t="str">
        <f>INDEX(Employees!$A:$A,A99+1)</f>
        <v>E095</v>
      </c>
      <c r="C99" t="str">
        <f>INDEX(Employees!$A:$Z,MATCH(B99,Employees!$A:$A,0),MATCH("category",Employees!$1:$1,0))</f>
        <v>Marketing</v>
      </c>
      <c r="D99" t="str">
        <f>INDEX(Employees!$A:$Z,MATCH(B99,Employees!$A:$A,0),MATCH("gender",Employees!$1:$1,0))</f>
        <v>M</v>
      </c>
      <c r="E99" s="3">
        <f>INDEX(Employees!$A:$Z,MATCH(B99,Employees!$A:$A,0),MATCH("grade",Employees!$1:$1,0))</f>
        <v>7</v>
      </c>
      <c r="F99" s="3">
        <f>INDEX(Employees!$A:$Z,MATCH(B99,Employees!$A:$A,0),MATCH("rating",Employees!$1:$1,0))</f>
        <v>3</v>
      </c>
      <c r="G99" s="22">
        <f>INDEX(Employees!$A:$Z,MATCH(B99,Employees!$A:$A,0),MATCH("hire_date",Employees!$1:$1,0))</f>
        <v>44725</v>
      </c>
      <c r="H99" s="22">
        <f>INDEX(Employees!$A:$Z,MATCH(B99,Employees!$A:$A,0),MATCH("last_change_date",Employees!$1:$1,0))</f>
        <v>46113</v>
      </c>
      <c r="I99" s="4">
        <f>INDEX(Employees!$A:$Z,MATCH(B99,Employees!$A:$A,0),MATCH("base_salary",Employees!$1:$1,0))</f>
        <v>53309.32</v>
      </c>
      <c r="J99" s="5">
        <f>INDEX(Employees!$A:$Z,MATCH(B99,Employees!$A:$A,0),MATCH("bonus_pct",Employees!$1:$1,0))/100</f>
        <v>0.1246</v>
      </c>
      <c r="K99" s="7">
        <f>INDEX(Employees!$A:$Z,MATCH(B99,Employees!$A:$A,0),MATCH("fte",Employees!$1:$1,0))</f>
        <v>1</v>
      </c>
      <c r="L99" s="3">
        <f>IF(ISNA(MATCH(C99&amp;"|"&amp;E99,Bands!$F:$F,0)),0,1)</f>
        <v>1</v>
      </c>
      <c r="M99" s="4">
        <f>INDEX(Bands!$C:$C,MATCH(C99&amp;"|"&amp;E99,Bands!$F:$F,0))</f>
        <v>45400</v>
      </c>
      <c r="N99" s="4">
        <f>INDEX(Bands!$D:$D,MATCH(C99&amp;"|"&amp;E99,Bands!$F:$F,0))</f>
        <v>54500</v>
      </c>
      <c r="O99" s="4">
        <f>INDEX(Bands!$E:$E,MATCH(C99&amp;"|"&amp;E99,Bands!$F:$F,0))</f>
        <v>63600</v>
      </c>
      <c r="P99" s="7">
        <f t="shared" si="56"/>
        <v>4.7994524298425736</v>
      </c>
      <c r="Q99" s="4">
        <f t="shared" si="57"/>
        <v>59951.661272000005</v>
      </c>
      <c r="R99" s="7">
        <f t="shared" si="58"/>
        <v>49</v>
      </c>
      <c r="S99" s="7">
        <f t="shared" si="59"/>
        <v>23.034743626321784</v>
      </c>
      <c r="T99" s="7">
        <f t="shared" si="60"/>
        <v>33.596167008898014</v>
      </c>
      <c r="U99" s="7">
        <f t="shared" si="61"/>
        <v>419661.62890400004</v>
      </c>
      <c r="V99" s="7">
        <f t="shared" si="62"/>
        <v>287735.14636499935</v>
      </c>
      <c r="W99" s="4">
        <f t="shared" si="63"/>
        <v>59951.66</v>
      </c>
      <c r="X99" s="3">
        <f t="shared" si="64"/>
        <v>7</v>
      </c>
      <c r="Y99" s="4">
        <f>INDEX(Categories!$AH:$AH,MATCH(C99,Categories!$A:$A,0))</f>
        <v>75605.01810049999</v>
      </c>
      <c r="Z99" s="3">
        <f>IF(AND(D99="F",Q99&lt;Y99,INDEX(Categories!$AI:$AI,MATCH(C99,Categories!$A:$A,0))&gt;0),1,0)</f>
        <v>0</v>
      </c>
      <c r="AA99" s="4">
        <f t="shared" si="65"/>
        <v>0</v>
      </c>
      <c r="AB99" s="4">
        <f>IF(Z99=1,INDEX(Categories!$AI:$AI,MATCH(C99,Categories!$A:$A,0))*AA99/INDEX(Categories!$AJ:$AJ,MATCH(C99,Categories!$A:$A,0)),0)</f>
        <v>0</v>
      </c>
      <c r="AC99" s="4">
        <f t="shared" si="66"/>
        <v>0</v>
      </c>
      <c r="AD99" s="4">
        <f t="shared" si="67"/>
        <v>53309.32</v>
      </c>
      <c r="AE99" s="3">
        <f t="shared" si="68"/>
        <v>0</v>
      </c>
      <c r="AF99" s="3">
        <f t="shared" si="69"/>
        <v>57</v>
      </c>
      <c r="AG99" s="3">
        <f t="shared" si="70"/>
        <v>12</v>
      </c>
      <c r="AH99" s="3">
        <f t="shared" si="71"/>
        <v>1</v>
      </c>
      <c r="AI99" s="5">
        <f t="shared" si="72"/>
        <v>0.97815266055045869</v>
      </c>
      <c r="AJ99" s="3">
        <f>MATCH(AI99,Inputs!$B$31:$B$34,1)</f>
        <v>2</v>
      </c>
      <c r="AK99" s="5">
        <f>INDEX(Inputs!$C$21:$C$25,MATCH(F99,Inputs!$A$21:$A$25,0))</f>
        <v>1</v>
      </c>
      <c r="AL99" s="5">
        <f>INDEX(Inputs!$D$21:$D$25,MATCH(F99,Inputs!$A$21:$A$25,0))</f>
        <v>0</v>
      </c>
      <c r="AM99" s="4">
        <f t="shared" si="73"/>
        <v>54500</v>
      </c>
      <c r="AN99" s="4">
        <f t="shared" si="74"/>
        <v>1190.6800000000003</v>
      </c>
      <c r="AO99" s="3">
        <f t="shared" si="75"/>
        <v>1</v>
      </c>
      <c r="AP99" s="4">
        <f t="shared" si="76"/>
        <v>15992.795999999998</v>
      </c>
      <c r="AQ99" s="4">
        <f t="shared" si="77"/>
        <v>0</v>
      </c>
      <c r="AR99" s="4">
        <f t="shared" si="78"/>
        <v>1190.6800000000003</v>
      </c>
      <c r="AS99" s="3">
        <f t="shared" si="79"/>
        <v>0</v>
      </c>
      <c r="AT99" s="4">
        <f t="shared" si="80"/>
        <v>1190.6800000000003</v>
      </c>
      <c r="AU99" s="4">
        <f t="shared" si="81"/>
        <v>10290.68</v>
      </c>
      <c r="AV99" s="4">
        <f t="shared" si="82"/>
        <v>1190.6800000000003</v>
      </c>
      <c r="AW99" s="4">
        <f t="shared" si="83"/>
        <v>1190.6800000000003</v>
      </c>
      <c r="AX99" s="5">
        <f t="shared" si="84"/>
        <v>2.2335306471738908E-2</v>
      </c>
      <c r="AY99" s="4">
        <f t="shared" si="85"/>
        <v>54500</v>
      </c>
      <c r="AZ99" s="3">
        <f t="shared" si="86"/>
        <v>0</v>
      </c>
      <c r="BA99" s="4">
        <f t="shared" si="87"/>
        <v>59951.661272000005</v>
      </c>
      <c r="BB99" s="4">
        <f t="shared" si="88"/>
        <v>19274.459098948002</v>
      </c>
      <c r="BC99" s="4">
        <f t="shared" si="89"/>
        <v>59951.661272000005</v>
      </c>
      <c r="BD99" s="4">
        <f t="shared" si="90"/>
        <v>19274.459098948002</v>
      </c>
      <c r="BE99" s="4">
        <f t="shared" si="91"/>
        <v>61290.700000000004</v>
      </c>
      <c r="BF99" s="4">
        <f t="shared" si="92"/>
        <v>19681.162079999998</v>
      </c>
      <c r="BG99" s="4">
        <f t="shared" si="93"/>
        <v>0</v>
      </c>
      <c r="BH99" s="4">
        <f t="shared" si="94"/>
        <v>0</v>
      </c>
      <c r="BI99" s="4">
        <f t="shared" si="95"/>
        <v>0</v>
      </c>
      <c r="BJ99" s="4">
        <f t="shared" si="96"/>
        <v>1190.6800000000003</v>
      </c>
      <c r="BK99" s="4">
        <f t="shared" si="97"/>
        <v>148.35872800000004</v>
      </c>
      <c r="BL99" s="4">
        <f t="shared" si="98"/>
        <v>406.70298105199618</v>
      </c>
      <c r="BM99" s="4">
        <f t="shared" si="99"/>
        <v>53309.32</v>
      </c>
      <c r="BN99" s="4">
        <f t="shared" si="100"/>
        <v>2132.3728000000001</v>
      </c>
      <c r="BO99" s="4">
        <f t="shared" si="101"/>
        <v>2132.3728000000001</v>
      </c>
      <c r="BP99" s="4">
        <f t="shared" si="102"/>
        <v>265.69365088000001</v>
      </c>
      <c r="BQ99" s="4">
        <f t="shared" si="103"/>
        <v>62349.727722880001</v>
      </c>
      <c r="BR99" s="4">
        <f t="shared" si="104"/>
        <v>19691.328746139647</v>
      </c>
      <c r="BS99" s="4">
        <f t="shared" si="105"/>
        <v>416.86964719164462</v>
      </c>
      <c r="BT99" s="4">
        <f t="shared" si="106"/>
        <v>59951.661272000005</v>
      </c>
      <c r="BU99" s="4">
        <f t="shared" si="107"/>
        <v>61290.700000000004</v>
      </c>
      <c r="BV99" s="7">
        <f t="shared" si="108"/>
        <v>429034.9</v>
      </c>
      <c r="BW99" s="7">
        <f t="shared" si="109"/>
        <v>294161.79904175224</v>
      </c>
    </row>
    <row r="100" spans="1:75" x14ac:dyDescent="0.3">
      <c r="A100" s="3">
        <f t="shared" si="55"/>
        <v>96</v>
      </c>
      <c r="B100" t="str">
        <f>INDEX(Employees!$A:$A,A100+1)</f>
        <v>E096</v>
      </c>
      <c r="C100" t="str">
        <f>INDEX(Employees!$A:$Z,MATCH(B100,Employees!$A:$A,0),MATCH("category",Employees!$1:$1,0))</f>
        <v>Marketing</v>
      </c>
      <c r="D100" t="str">
        <f>INDEX(Employees!$A:$Z,MATCH(B100,Employees!$A:$A,0),MATCH("gender",Employees!$1:$1,0))</f>
        <v>M</v>
      </c>
      <c r="E100" s="3">
        <f>INDEX(Employees!$A:$Z,MATCH(B100,Employees!$A:$A,0),MATCH("grade",Employees!$1:$1,0))</f>
        <v>10</v>
      </c>
      <c r="F100" s="3">
        <f>INDEX(Employees!$A:$Z,MATCH(B100,Employees!$A:$A,0),MATCH("rating",Employees!$1:$1,0))</f>
        <v>3</v>
      </c>
      <c r="G100" s="22">
        <f>INDEX(Employees!$A:$Z,MATCH(B100,Employees!$A:$A,0),MATCH("hire_date",Employees!$1:$1,0))</f>
        <v>41730</v>
      </c>
      <c r="H100" s="22">
        <f>INDEX(Employees!$A:$Z,MATCH(B100,Employees!$A:$A,0),MATCH("last_change_date",Employees!$1:$1,0))</f>
        <v>46113</v>
      </c>
      <c r="I100" s="4">
        <f>INDEX(Employees!$A:$Z,MATCH(B100,Employees!$A:$A,0),MATCH("base_salary",Employees!$1:$1,0))</f>
        <v>82563.039999999994</v>
      </c>
      <c r="J100" s="5">
        <f>INDEX(Employees!$A:$Z,MATCH(B100,Employees!$A:$A,0),MATCH("bonus_pct",Employees!$1:$1,0))/100</f>
        <v>7.7899999999999997E-2</v>
      </c>
      <c r="K100" s="7">
        <f>INDEX(Employees!$A:$Z,MATCH(B100,Employees!$A:$A,0),MATCH("fte",Employees!$1:$1,0))</f>
        <v>1</v>
      </c>
      <c r="L100" s="3">
        <f>IF(ISNA(MATCH(C100&amp;"|"&amp;E100,Bands!$F:$F,0)),0,1)</f>
        <v>1</v>
      </c>
      <c r="M100" s="4">
        <f>INDEX(Bands!$C:$C,MATCH(C100&amp;"|"&amp;E100,Bands!$F:$F,0))</f>
        <v>66200</v>
      </c>
      <c r="N100" s="4">
        <f>INDEX(Bands!$D:$D,MATCH(C100&amp;"|"&amp;E100,Bands!$F:$F,0))</f>
        <v>82700</v>
      </c>
      <c r="O100" s="4">
        <f>INDEX(Bands!$E:$E,MATCH(C100&amp;"|"&amp;E100,Bands!$F:$F,0))</f>
        <v>99300</v>
      </c>
      <c r="P100" s="7">
        <f t="shared" si="56"/>
        <v>12.999315537303216</v>
      </c>
      <c r="Q100" s="4">
        <f t="shared" si="57"/>
        <v>88994.700815999997</v>
      </c>
      <c r="R100" s="7">
        <f t="shared" si="58"/>
        <v>100</v>
      </c>
      <c r="S100" s="7">
        <f t="shared" si="59"/>
        <v>168.9822044383728</v>
      </c>
      <c r="T100" s="7">
        <f t="shared" si="60"/>
        <v>129.99315537303215</v>
      </c>
      <c r="U100" s="7">
        <f t="shared" si="61"/>
        <v>889947.00815999997</v>
      </c>
      <c r="V100" s="7">
        <f t="shared" si="62"/>
        <v>1156870.19705508</v>
      </c>
      <c r="W100" s="4">
        <f t="shared" si="63"/>
        <v>88994.7</v>
      </c>
      <c r="X100" s="3">
        <f t="shared" si="64"/>
        <v>24</v>
      </c>
      <c r="Y100" s="4">
        <f>INDEX(Categories!$AH:$AH,MATCH(C100,Categories!$A:$A,0))</f>
        <v>75605.01810049999</v>
      </c>
      <c r="Z100" s="3">
        <f>IF(AND(D100="F",Q100&lt;Y100,INDEX(Categories!$AI:$AI,MATCH(C100,Categories!$A:$A,0))&gt;0),1,0)</f>
        <v>0</v>
      </c>
      <c r="AA100" s="4">
        <f t="shared" si="65"/>
        <v>0</v>
      </c>
      <c r="AB100" s="4">
        <f>IF(Z100=1,INDEX(Categories!$AI:$AI,MATCH(C100,Categories!$A:$A,0))*AA100/INDEX(Categories!$AJ:$AJ,MATCH(C100,Categories!$A:$A,0)),0)</f>
        <v>0</v>
      </c>
      <c r="AC100" s="4">
        <f t="shared" si="66"/>
        <v>0</v>
      </c>
      <c r="AD100" s="4">
        <f t="shared" si="67"/>
        <v>82563.039999999994</v>
      </c>
      <c r="AE100" s="3">
        <f t="shared" si="68"/>
        <v>0</v>
      </c>
      <c r="AF100" s="3">
        <f t="shared" si="69"/>
        <v>156</v>
      </c>
      <c r="AG100" s="3">
        <f t="shared" si="70"/>
        <v>12</v>
      </c>
      <c r="AH100" s="3">
        <f t="shared" si="71"/>
        <v>1</v>
      </c>
      <c r="AI100" s="5">
        <f t="shared" si="72"/>
        <v>0.99834389359129372</v>
      </c>
      <c r="AJ100" s="3">
        <f>MATCH(AI100,Inputs!$B$31:$B$34,1)</f>
        <v>2</v>
      </c>
      <c r="AK100" s="5">
        <f>INDEX(Inputs!$C$21:$C$25,MATCH(F100,Inputs!$A$21:$A$25,0))</f>
        <v>1</v>
      </c>
      <c r="AL100" s="5">
        <f>INDEX(Inputs!$D$21:$D$25,MATCH(F100,Inputs!$A$21:$A$25,0))</f>
        <v>0</v>
      </c>
      <c r="AM100" s="4">
        <f t="shared" si="73"/>
        <v>82700</v>
      </c>
      <c r="AN100" s="4">
        <f t="shared" si="74"/>
        <v>136.9600000000064</v>
      </c>
      <c r="AO100" s="3">
        <f t="shared" si="75"/>
        <v>1</v>
      </c>
      <c r="AP100" s="4">
        <f t="shared" si="76"/>
        <v>24768.911999999997</v>
      </c>
      <c r="AQ100" s="4">
        <f t="shared" si="77"/>
        <v>0</v>
      </c>
      <c r="AR100" s="4">
        <f t="shared" si="78"/>
        <v>136.9600000000064</v>
      </c>
      <c r="AS100" s="3">
        <f t="shared" si="79"/>
        <v>0</v>
      </c>
      <c r="AT100" s="4">
        <f t="shared" si="80"/>
        <v>136.9600000000064</v>
      </c>
      <c r="AU100" s="4">
        <f t="shared" si="81"/>
        <v>16736.960000000006</v>
      </c>
      <c r="AV100" s="4">
        <f t="shared" si="82"/>
        <v>136.9600000000064</v>
      </c>
      <c r="AW100" s="4">
        <f t="shared" si="83"/>
        <v>136.9600000000064</v>
      </c>
      <c r="AX100" s="5">
        <f t="shared" si="84"/>
        <v>1.658853646861918E-3</v>
      </c>
      <c r="AY100" s="4">
        <f t="shared" si="85"/>
        <v>82700</v>
      </c>
      <c r="AZ100" s="3">
        <f t="shared" si="86"/>
        <v>0</v>
      </c>
      <c r="BA100" s="4">
        <f t="shared" si="87"/>
        <v>88994.700815999997</v>
      </c>
      <c r="BB100" s="4">
        <f t="shared" si="88"/>
        <v>19964.447576486396</v>
      </c>
      <c r="BC100" s="4">
        <f t="shared" si="89"/>
        <v>88994.700815999997</v>
      </c>
      <c r="BD100" s="4">
        <f t="shared" si="90"/>
        <v>19964.447576486396</v>
      </c>
      <c r="BE100" s="4">
        <f t="shared" si="91"/>
        <v>89142.33</v>
      </c>
      <c r="BF100" s="4">
        <f t="shared" si="92"/>
        <v>19965.982919999999</v>
      </c>
      <c r="BG100" s="4">
        <f t="shared" si="93"/>
        <v>0</v>
      </c>
      <c r="BH100" s="4">
        <f t="shared" si="94"/>
        <v>0</v>
      </c>
      <c r="BI100" s="4">
        <f t="shared" si="95"/>
        <v>0</v>
      </c>
      <c r="BJ100" s="4">
        <f t="shared" si="96"/>
        <v>136.9600000000064</v>
      </c>
      <c r="BK100" s="4">
        <f t="shared" si="97"/>
        <v>10.669184000000499</v>
      </c>
      <c r="BL100" s="4">
        <f t="shared" si="98"/>
        <v>1.535343513602129</v>
      </c>
      <c r="BM100" s="4">
        <f t="shared" si="99"/>
        <v>82563.039999999994</v>
      </c>
      <c r="BN100" s="4">
        <f t="shared" si="100"/>
        <v>3302.5216</v>
      </c>
      <c r="BO100" s="4">
        <f t="shared" si="101"/>
        <v>3302.5216</v>
      </c>
      <c r="BP100" s="4">
        <f t="shared" si="102"/>
        <v>257.26643264</v>
      </c>
      <c r="BQ100" s="4">
        <f t="shared" si="103"/>
        <v>92554.488848639987</v>
      </c>
      <c r="BR100" s="4">
        <f t="shared" si="104"/>
        <v>20002.788571953402</v>
      </c>
      <c r="BS100" s="4">
        <f t="shared" si="105"/>
        <v>38.340995467005996</v>
      </c>
      <c r="BT100" s="4">
        <f t="shared" si="106"/>
        <v>88994.700815999997</v>
      </c>
      <c r="BU100" s="4">
        <f t="shared" si="107"/>
        <v>89142.33</v>
      </c>
      <c r="BV100" s="7">
        <f t="shared" si="108"/>
        <v>891423.3</v>
      </c>
      <c r="BW100" s="7">
        <f t="shared" si="109"/>
        <v>1158789.2754004106</v>
      </c>
    </row>
    <row r="101" spans="1:75" x14ac:dyDescent="0.3">
      <c r="A101" s="3">
        <f t="shared" si="55"/>
        <v>97</v>
      </c>
      <c r="B101" t="str">
        <f>INDEX(Employees!$A:$A,A101+1)</f>
        <v>E097</v>
      </c>
      <c r="C101" t="str">
        <f>INDEX(Employees!$A:$Z,MATCH(B101,Employees!$A:$A,0),MATCH("category",Employees!$1:$1,0))</f>
        <v>Marketing</v>
      </c>
      <c r="D101" t="str">
        <f>INDEX(Employees!$A:$Z,MATCH(B101,Employees!$A:$A,0),MATCH("gender",Employees!$1:$1,0))</f>
        <v>M</v>
      </c>
      <c r="E101" s="3">
        <f>INDEX(Employees!$A:$Z,MATCH(B101,Employees!$A:$A,0),MATCH("grade",Employees!$1:$1,0))</f>
        <v>10</v>
      </c>
      <c r="F101" s="3">
        <f>INDEX(Employees!$A:$Z,MATCH(B101,Employees!$A:$A,0),MATCH("rating",Employees!$1:$1,0))</f>
        <v>4</v>
      </c>
      <c r="G101" s="22">
        <f>INDEX(Employees!$A:$Z,MATCH(B101,Employees!$A:$A,0),MATCH("hire_date",Employees!$1:$1,0))</f>
        <v>43483</v>
      </c>
      <c r="H101" s="22">
        <f>INDEX(Employees!$A:$Z,MATCH(B101,Employees!$A:$A,0),MATCH("last_change_date",Employees!$1:$1,0))</f>
        <v>46113</v>
      </c>
      <c r="I101" s="4">
        <f>INDEX(Employees!$A:$Z,MATCH(B101,Employees!$A:$A,0),MATCH("base_salary",Employees!$1:$1,0))</f>
        <v>67851.289999999994</v>
      </c>
      <c r="J101" s="5">
        <f>INDEX(Employees!$A:$Z,MATCH(B101,Employees!$A:$A,0),MATCH("bonus_pct",Employees!$1:$1,0))/100</f>
        <v>0.11509999999999999</v>
      </c>
      <c r="K101" s="7">
        <f>INDEX(Employees!$A:$Z,MATCH(B101,Employees!$A:$A,0),MATCH("fte",Employees!$1:$1,0))</f>
        <v>1</v>
      </c>
      <c r="L101" s="3">
        <f>IF(ISNA(MATCH(C101&amp;"|"&amp;E101,Bands!$F:$F,0)),0,1)</f>
        <v>1</v>
      </c>
      <c r="M101" s="4">
        <f>INDEX(Bands!$C:$C,MATCH(C101&amp;"|"&amp;E101,Bands!$F:$F,0))</f>
        <v>66200</v>
      </c>
      <c r="N101" s="4">
        <f>INDEX(Bands!$D:$D,MATCH(C101&amp;"|"&amp;E101,Bands!$F:$F,0))</f>
        <v>82700</v>
      </c>
      <c r="O101" s="4">
        <f>INDEX(Bands!$E:$E,MATCH(C101&amp;"|"&amp;E101,Bands!$F:$F,0))</f>
        <v>99300</v>
      </c>
      <c r="P101" s="7">
        <f t="shared" si="56"/>
        <v>8.1998631074606436</v>
      </c>
      <c r="Q101" s="4">
        <f t="shared" si="57"/>
        <v>75660.973478999993</v>
      </c>
      <c r="R101" s="7">
        <f t="shared" si="58"/>
        <v>100</v>
      </c>
      <c r="S101" s="7">
        <f t="shared" si="59"/>
        <v>67.237754981094128</v>
      </c>
      <c r="T101" s="7">
        <f t="shared" si="60"/>
        <v>81.998631074606436</v>
      </c>
      <c r="U101" s="7">
        <f t="shared" si="61"/>
        <v>756609.7347899999</v>
      </c>
      <c r="V101" s="7">
        <f t="shared" si="62"/>
        <v>620409.62510501023</v>
      </c>
      <c r="W101" s="4">
        <f t="shared" si="63"/>
        <v>75660.97</v>
      </c>
      <c r="X101" s="3">
        <f t="shared" si="64"/>
        <v>14</v>
      </c>
      <c r="Y101" s="4">
        <f>INDEX(Categories!$AH:$AH,MATCH(C101,Categories!$A:$A,0))</f>
        <v>75605.01810049999</v>
      </c>
      <c r="Z101" s="3">
        <f>IF(AND(D101="F",Q101&lt;Y101,INDEX(Categories!$AI:$AI,MATCH(C101,Categories!$A:$A,0))&gt;0),1,0)</f>
        <v>0</v>
      </c>
      <c r="AA101" s="4">
        <f t="shared" si="65"/>
        <v>0</v>
      </c>
      <c r="AB101" s="4">
        <f>IF(Z101=1,INDEX(Categories!$AI:$AI,MATCH(C101,Categories!$A:$A,0))*AA101/INDEX(Categories!$AJ:$AJ,MATCH(C101,Categories!$A:$A,0)),0)</f>
        <v>0</v>
      </c>
      <c r="AC101" s="4">
        <f t="shared" si="66"/>
        <v>0</v>
      </c>
      <c r="AD101" s="4">
        <f t="shared" si="67"/>
        <v>67851.289999999994</v>
      </c>
      <c r="AE101" s="3">
        <f t="shared" si="68"/>
        <v>0</v>
      </c>
      <c r="AF101" s="3">
        <f t="shared" si="69"/>
        <v>98</v>
      </c>
      <c r="AG101" s="3">
        <f t="shared" si="70"/>
        <v>12</v>
      </c>
      <c r="AH101" s="3">
        <f t="shared" si="71"/>
        <v>1</v>
      </c>
      <c r="AI101" s="5">
        <f t="shared" si="72"/>
        <v>0.82045090689238198</v>
      </c>
      <c r="AJ101" s="3">
        <f>MATCH(AI101,Inputs!$B$31:$B$34,1)</f>
        <v>1</v>
      </c>
      <c r="AK101" s="5">
        <f>INDEX(Inputs!$C$21:$C$25,MATCH(F101,Inputs!$A$21:$A$25,0))</f>
        <v>1.05</v>
      </c>
      <c r="AL101" s="5">
        <f>INDEX(Inputs!$D$21:$D$25,MATCH(F101,Inputs!$A$21:$A$25,0))</f>
        <v>0.01</v>
      </c>
      <c r="AM101" s="4">
        <f t="shared" si="73"/>
        <v>86835</v>
      </c>
      <c r="AN101" s="4">
        <f t="shared" si="74"/>
        <v>18983.710000000006</v>
      </c>
      <c r="AO101" s="3">
        <f t="shared" si="75"/>
        <v>1</v>
      </c>
      <c r="AP101" s="4">
        <f t="shared" si="76"/>
        <v>20355.386999999999</v>
      </c>
      <c r="AQ101" s="4">
        <f t="shared" si="77"/>
        <v>678.51289999999995</v>
      </c>
      <c r="AR101" s="4">
        <f t="shared" si="78"/>
        <v>18983.710000000006</v>
      </c>
      <c r="AS101" s="3">
        <f t="shared" si="79"/>
        <v>0</v>
      </c>
      <c r="AT101" s="4">
        <f t="shared" si="80"/>
        <v>18983.710000000006</v>
      </c>
      <c r="AU101" s="4">
        <f t="shared" si="81"/>
        <v>31448.710000000006</v>
      </c>
      <c r="AV101" s="4">
        <f t="shared" si="82"/>
        <v>18983.710000000006</v>
      </c>
      <c r="AW101" s="4">
        <f t="shared" si="83"/>
        <v>18983.710000000006</v>
      </c>
      <c r="AX101" s="5">
        <f t="shared" si="84"/>
        <v>0.27978406895432656</v>
      </c>
      <c r="AY101" s="4">
        <f t="shared" si="85"/>
        <v>86835</v>
      </c>
      <c r="AZ101" s="3">
        <f t="shared" si="86"/>
        <v>0</v>
      </c>
      <c r="BA101" s="4">
        <f t="shared" si="87"/>
        <v>75660.973478999993</v>
      </c>
      <c r="BB101" s="4">
        <f t="shared" si="88"/>
        <v>19825.776812181597</v>
      </c>
      <c r="BC101" s="4">
        <f t="shared" si="89"/>
        <v>75660.973478999993</v>
      </c>
      <c r="BD101" s="4">
        <f t="shared" si="90"/>
        <v>19825.776812181597</v>
      </c>
      <c r="BE101" s="4">
        <f t="shared" si="91"/>
        <v>96829.708499999993</v>
      </c>
      <c r="BF101" s="4">
        <f t="shared" si="92"/>
        <v>20054.946251699996</v>
      </c>
      <c r="BG101" s="4">
        <f t="shared" si="93"/>
        <v>0</v>
      </c>
      <c r="BH101" s="4">
        <f t="shared" si="94"/>
        <v>0</v>
      </c>
      <c r="BI101" s="4">
        <f t="shared" si="95"/>
        <v>0</v>
      </c>
      <c r="BJ101" s="4">
        <f t="shared" si="96"/>
        <v>18983.710000000006</v>
      </c>
      <c r="BK101" s="4">
        <f t="shared" si="97"/>
        <v>2185.0250210000008</v>
      </c>
      <c r="BL101" s="4">
        <f t="shared" si="98"/>
        <v>229.16943951839858</v>
      </c>
      <c r="BM101" s="4">
        <f t="shared" si="99"/>
        <v>67851.289999999994</v>
      </c>
      <c r="BN101" s="4">
        <f t="shared" si="100"/>
        <v>2714.0515999999998</v>
      </c>
      <c r="BO101" s="4">
        <f t="shared" si="101"/>
        <v>2714.0515999999998</v>
      </c>
      <c r="BP101" s="4">
        <f t="shared" si="102"/>
        <v>312.38733915999995</v>
      </c>
      <c r="BQ101" s="4">
        <f t="shared" si="103"/>
        <v>78687.412418160005</v>
      </c>
      <c r="BR101" s="4">
        <f t="shared" si="104"/>
        <v>19857.25177714886</v>
      </c>
      <c r="BS101" s="4">
        <f t="shared" si="105"/>
        <v>31.474964967263077</v>
      </c>
      <c r="BT101" s="4">
        <f t="shared" si="106"/>
        <v>75660.973478999993</v>
      </c>
      <c r="BU101" s="4">
        <f t="shared" si="107"/>
        <v>96829.708499999993</v>
      </c>
      <c r="BV101" s="7">
        <f t="shared" si="108"/>
        <v>968297.08499999996</v>
      </c>
      <c r="BW101" s="7">
        <f t="shared" si="109"/>
        <v>793990.35443531827</v>
      </c>
    </row>
    <row r="102" spans="1:75" x14ac:dyDescent="0.3">
      <c r="A102" s="3">
        <f t="shared" si="55"/>
        <v>98</v>
      </c>
      <c r="B102" t="str">
        <f>INDEX(Employees!$A:$A,A102+1)</f>
        <v>E098</v>
      </c>
      <c r="C102" t="str">
        <f>INDEX(Employees!$A:$Z,MATCH(B102,Employees!$A:$A,0),MATCH("category",Employees!$1:$1,0))</f>
        <v>Marketing</v>
      </c>
      <c r="D102" t="str">
        <f>INDEX(Employees!$A:$Z,MATCH(B102,Employees!$A:$A,0),MATCH("gender",Employees!$1:$1,0))</f>
        <v>F</v>
      </c>
      <c r="E102" s="3">
        <f>INDEX(Employees!$A:$Z,MATCH(B102,Employees!$A:$A,0),MATCH("grade",Employees!$1:$1,0))</f>
        <v>10</v>
      </c>
      <c r="F102" s="3">
        <f>INDEX(Employees!$A:$Z,MATCH(B102,Employees!$A:$A,0),MATCH("rating",Employees!$1:$1,0))</f>
        <v>3</v>
      </c>
      <c r="G102" s="22">
        <f>INDEX(Employees!$A:$Z,MATCH(B102,Employees!$A:$A,0),MATCH("hire_date",Employees!$1:$1,0))</f>
        <v>43410</v>
      </c>
      <c r="H102" s="22">
        <f>INDEX(Employees!$A:$Z,MATCH(B102,Employees!$A:$A,0),MATCH("last_change_date",Employees!$1:$1,0))</f>
        <v>46113</v>
      </c>
      <c r="I102" s="4">
        <f>INDEX(Employees!$A:$Z,MATCH(B102,Employees!$A:$A,0),MATCH("base_salary",Employees!$1:$1,0))</f>
        <v>82737.47</v>
      </c>
      <c r="J102" s="5">
        <f>INDEX(Employees!$A:$Z,MATCH(B102,Employees!$A:$A,0),MATCH("bonus_pct",Employees!$1:$1,0))/100</f>
        <v>9.2300000000000007E-2</v>
      </c>
      <c r="K102" s="7">
        <f>INDEX(Employees!$A:$Z,MATCH(B102,Employees!$A:$A,0),MATCH("fte",Employees!$1:$1,0))</f>
        <v>1</v>
      </c>
      <c r="L102" s="3">
        <f>IF(ISNA(MATCH(C102&amp;"|"&amp;E102,Bands!$F:$F,0)),0,1)</f>
        <v>1</v>
      </c>
      <c r="M102" s="4">
        <f>INDEX(Bands!$C:$C,MATCH(C102&amp;"|"&amp;E102,Bands!$F:$F,0))</f>
        <v>66200</v>
      </c>
      <c r="N102" s="4">
        <f>INDEX(Bands!$D:$D,MATCH(C102&amp;"|"&amp;E102,Bands!$F:$F,0))</f>
        <v>82700</v>
      </c>
      <c r="O102" s="4">
        <f>INDEX(Bands!$E:$E,MATCH(C102&amp;"|"&amp;E102,Bands!$F:$F,0))</f>
        <v>99300</v>
      </c>
      <c r="P102" s="7">
        <f t="shared" si="56"/>
        <v>8.3997262149212872</v>
      </c>
      <c r="Q102" s="4">
        <f t="shared" si="57"/>
        <v>90374.138481000002</v>
      </c>
      <c r="R102" s="7">
        <f t="shared" si="58"/>
        <v>100</v>
      </c>
      <c r="S102" s="7">
        <f t="shared" si="59"/>
        <v>70.5554004856359</v>
      </c>
      <c r="T102" s="7">
        <f t="shared" si="60"/>
        <v>83.997262149212872</v>
      </c>
      <c r="U102" s="7">
        <f t="shared" si="61"/>
        <v>903741.38480999996</v>
      </c>
      <c r="V102" s="7">
        <f t="shared" si="62"/>
        <v>759118.02014978242</v>
      </c>
      <c r="W102" s="4">
        <f t="shared" si="63"/>
        <v>90374.14</v>
      </c>
      <c r="X102" s="3">
        <f t="shared" si="64"/>
        <v>25</v>
      </c>
      <c r="Y102" s="4">
        <f>INDEX(Categories!$AH:$AH,MATCH(C102,Categories!$A:$A,0))</f>
        <v>75605.01810049999</v>
      </c>
      <c r="Z102" s="3">
        <f>IF(AND(D102="F",Q102&lt;Y102,INDEX(Categories!$AI:$AI,MATCH(C102,Categories!$A:$A,0))&gt;0),1,0)</f>
        <v>0</v>
      </c>
      <c r="AA102" s="4">
        <f t="shared" si="65"/>
        <v>0</v>
      </c>
      <c r="AB102" s="4">
        <f>IF(Z102=1,INDEX(Categories!$AI:$AI,MATCH(C102,Categories!$A:$A,0))*AA102/INDEX(Categories!$AJ:$AJ,MATCH(C102,Categories!$A:$A,0)),0)</f>
        <v>0</v>
      </c>
      <c r="AC102" s="4">
        <f t="shared" si="66"/>
        <v>0</v>
      </c>
      <c r="AD102" s="4">
        <f t="shared" si="67"/>
        <v>82737.47</v>
      </c>
      <c r="AE102" s="3">
        <f t="shared" si="68"/>
        <v>0</v>
      </c>
      <c r="AF102" s="3">
        <f t="shared" si="69"/>
        <v>100</v>
      </c>
      <c r="AG102" s="3">
        <f t="shared" si="70"/>
        <v>12</v>
      </c>
      <c r="AH102" s="3">
        <f t="shared" si="71"/>
        <v>1</v>
      </c>
      <c r="AI102" s="5">
        <f t="shared" si="72"/>
        <v>1.0004530834340992</v>
      </c>
      <c r="AJ102" s="3">
        <f>MATCH(AI102,Inputs!$B$31:$B$34,1)</f>
        <v>3</v>
      </c>
      <c r="AK102" s="5">
        <f>INDEX(Inputs!$C$21:$C$25,MATCH(F102,Inputs!$A$21:$A$25,0))</f>
        <v>1</v>
      </c>
      <c r="AL102" s="5">
        <f>INDEX(Inputs!$D$21:$D$25,MATCH(F102,Inputs!$A$21:$A$25,0))</f>
        <v>0</v>
      </c>
      <c r="AM102" s="4">
        <f t="shared" si="73"/>
        <v>82700</v>
      </c>
      <c r="AN102" s="4">
        <f t="shared" si="74"/>
        <v>0</v>
      </c>
      <c r="AO102" s="3">
        <f t="shared" si="75"/>
        <v>1</v>
      </c>
      <c r="AP102" s="4">
        <f t="shared" si="76"/>
        <v>24821.240999999998</v>
      </c>
      <c r="AQ102" s="4">
        <f t="shared" si="77"/>
        <v>0</v>
      </c>
      <c r="AR102" s="4">
        <f t="shared" si="78"/>
        <v>0</v>
      </c>
      <c r="AS102" s="3">
        <f t="shared" si="79"/>
        <v>0</v>
      </c>
      <c r="AT102" s="4">
        <f t="shared" si="80"/>
        <v>0</v>
      </c>
      <c r="AU102" s="4">
        <f t="shared" si="81"/>
        <v>16562.53</v>
      </c>
      <c r="AV102" s="4">
        <f t="shared" si="82"/>
        <v>0</v>
      </c>
      <c r="AW102" s="4">
        <f t="shared" si="83"/>
        <v>0</v>
      </c>
      <c r="AX102" s="5">
        <f t="shared" si="84"/>
        <v>0</v>
      </c>
      <c r="AY102" s="4">
        <f t="shared" si="85"/>
        <v>82737.47</v>
      </c>
      <c r="AZ102" s="3">
        <f t="shared" si="86"/>
        <v>0</v>
      </c>
      <c r="BA102" s="4">
        <f t="shared" si="87"/>
        <v>90374.138481000002</v>
      </c>
      <c r="BB102" s="4">
        <f t="shared" si="88"/>
        <v>19978.793728202396</v>
      </c>
      <c r="BC102" s="4">
        <f t="shared" si="89"/>
        <v>90374.138481000002</v>
      </c>
      <c r="BD102" s="4">
        <f t="shared" si="90"/>
        <v>19978.793728202396</v>
      </c>
      <c r="BE102" s="4">
        <f t="shared" si="91"/>
        <v>90374.138481000002</v>
      </c>
      <c r="BF102" s="4">
        <f t="shared" si="92"/>
        <v>19978.793728202396</v>
      </c>
      <c r="BG102" s="4">
        <f t="shared" si="93"/>
        <v>0</v>
      </c>
      <c r="BH102" s="4">
        <f t="shared" si="94"/>
        <v>0</v>
      </c>
      <c r="BI102" s="4">
        <f t="shared" si="95"/>
        <v>0</v>
      </c>
      <c r="BJ102" s="4">
        <f t="shared" si="96"/>
        <v>0</v>
      </c>
      <c r="BK102" s="4">
        <f t="shared" si="97"/>
        <v>0</v>
      </c>
      <c r="BL102" s="4">
        <f t="shared" si="98"/>
        <v>0</v>
      </c>
      <c r="BM102" s="4">
        <f t="shared" si="99"/>
        <v>82737.47</v>
      </c>
      <c r="BN102" s="4">
        <f t="shared" si="100"/>
        <v>3309.4988000000003</v>
      </c>
      <c r="BO102" s="4">
        <f t="shared" si="101"/>
        <v>3309.4988000000003</v>
      </c>
      <c r="BP102" s="4">
        <f t="shared" si="102"/>
        <v>305.46673924000004</v>
      </c>
      <c r="BQ102" s="4">
        <f t="shared" si="103"/>
        <v>93989.104020240004</v>
      </c>
      <c r="BR102" s="4">
        <f t="shared" si="104"/>
        <v>20020.290877046926</v>
      </c>
      <c r="BS102" s="4">
        <f t="shared" si="105"/>
        <v>41.497148844529875</v>
      </c>
      <c r="BT102" s="4">
        <f t="shared" si="106"/>
        <v>90374.138481000002</v>
      </c>
      <c r="BU102" s="4">
        <f t="shared" si="107"/>
        <v>90374.138481000002</v>
      </c>
      <c r="BV102" s="7">
        <f t="shared" si="108"/>
        <v>903741.38480999996</v>
      </c>
      <c r="BW102" s="7">
        <f t="shared" si="109"/>
        <v>759118.02014978242</v>
      </c>
    </row>
    <row r="103" spans="1:75" x14ac:dyDescent="0.3">
      <c r="A103" s="3">
        <f t="shared" si="55"/>
        <v>99</v>
      </c>
      <c r="B103" t="str">
        <f>INDEX(Employees!$A:$A,A103+1)</f>
        <v>E099</v>
      </c>
      <c r="C103" t="str">
        <f>INDEX(Employees!$A:$Z,MATCH(B103,Employees!$A:$A,0),MATCH("category",Employees!$1:$1,0))</f>
        <v>Marketing</v>
      </c>
      <c r="D103" t="str">
        <f>INDEX(Employees!$A:$Z,MATCH(B103,Employees!$A:$A,0),MATCH("gender",Employees!$1:$1,0))</f>
        <v>F</v>
      </c>
      <c r="E103" s="3">
        <f>INDEX(Employees!$A:$Z,MATCH(B103,Employees!$A:$A,0),MATCH("grade",Employees!$1:$1,0))</f>
        <v>8</v>
      </c>
      <c r="F103" s="3">
        <f>INDEX(Employees!$A:$Z,MATCH(B103,Employees!$A:$A,0),MATCH("rating",Employees!$1:$1,0))</f>
        <v>4</v>
      </c>
      <c r="G103" s="22">
        <f>INDEX(Employees!$A:$Z,MATCH(B103,Employees!$A:$A,0),MATCH("hire_date",Employees!$1:$1,0))</f>
        <v>43519</v>
      </c>
      <c r="H103" s="22">
        <f>INDEX(Employees!$A:$Z,MATCH(B103,Employees!$A:$A,0),MATCH("last_change_date",Employees!$1:$1,0))</f>
        <v>46113</v>
      </c>
      <c r="I103" s="4">
        <f>INDEX(Employees!$A:$Z,MATCH(B103,Employees!$A:$A,0),MATCH("base_salary",Employees!$1:$1,0))</f>
        <v>60805.54</v>
      </c>
      <c r="J103" s="5">
        <f>INDEX(Employees!$A:$Z,MATCH(B103,Employees!$A:$A,0),MATCH("bonus_pct",Employees!$1:$1,0))/100</f>
        <v>0.12269999999999999</v>
      </c>
      <c r="K103" s="7">
        <f>INDEX(Employees!$A:$Z,MATCH(B103,Employees!$A:$A,0),MATCH("fte",Employees!$1:$1,0))</f>
        <v>1</v>
      </c>
      <c r="L103" s="3">
        <f>IF(ISNA(MATCH(C103&amp;"|"&amp;E103,Bands!$F:$F,0)),0,1)</f>
        <v>1</v>
      </c>
      <c r="M103" s="4">
        <f>INDEX(Bands!$C:$C,MATCH(C103&amp;"|"&amp;E103,Bands!$F:$F,0))</f>
        <v>52300</v>
      </c>
      <c r="N103" s="4">
        <f>INDEX(Bands!$D:$D,MATCH(C103&amp;"|"&amp;E103,Bands!$F:$F,0))</f>
        <v>62700</v>
      </c>
      <c r="O103" s="4">
        <f>INDEX(Bands!$E:$E,MATCH(C103&amp;"|"&amp;E103,Bands!$F:$F,0))</f>
        <v>73200</v>
      </c>
      <c r="P103" s="7">
        <f t="shared" si="56"/>
        <v>8.1013004791238874</v>
      </c>
      <c r="Q103" s="4">
        <f t="shared" si="57"/>
        <v>68266.37975800001</v>
      </c>
      <c r="R103" s="7">
        <f t="shared" si="58"/>
        <v>64</v>
      </c>
      <c r="S103" s="7">
        <f t="shared" si="59"/>
        <v>65.63106945305293</v>
      </c>
      <c r="T103" s="7">
        <f t="shared" si="60"/>
        <v>64.810403832991099</v>
      </c>
      <c r="U103" s="7">
        <f t="shared" si="61"/>
        <v>546131.03806400008</v>
      </c>
      <c r="V103" s="7">
        <f t="shared" si="62"/>
        <v>553046.45504153869</v>
      </c>
      <c r="W103" s="4">
        <f t="shared" si="63"/>
        <v>68266.38</v>
      </c>
      <c r="X103" s="3">
        <f t="shared" si="64"/>
        <v>10</v>
      </c>
      <c r="Y103" s="4">
        <f>INDEX(Categories!$AH:$AH,MATCH(C103,Categories!$A:$A,0))</f>
        <v>75605.01810049999</v>
      </c>
      <c r="Z103" s="3">
        <f>IF(AND(D103="F",Q103&lt;Y103,INDEX(Categories!$AI:$AI,MATCH(C103,Categories!$A:$A,0))&gt;0),1,0)</f>
        <v>0</v>
      </c>
      <c r="AA103" s="4">
        <f t="shared" si="65"/>
        <v>0</v>
      </c>
      <c r="AB103" s="4">
        <f>IF(Z103=1,INDEX(Categories!$AI:$AI,MATCH(C103,Categories!$A:$A,0))*AA103/INDEX(Categories!$AJ:$AJ,MATCH(C103,Categories!$A:$A,0)),0)</f>
        <v>0</v>
      </c>
      <c r="AC103" s="4">
        <f t="shared" si="66"/>
        <v>0</v>
      </c>
      <c r="AD103" s="4">
        <f t="shared" si="67"/>
        <v>60805.54</v>
      </c>
      <c r="AE103" s="3">
        <f t="shared" si="68"/>
        <v>0</v>
      </c>
      <c r="AF103" s="3">
        <f t="shared" si="69"/>
        <v>97</v>
      </c>
      <c r="AG103" s="3">
        <f t="shared" si="70"/>
        <v>12</v>
      </c>
      <c r="AH103" s="3">
        <f t="shared" si="71"/>
        <v>1</v>
      </c>
      <c r="AI103" s="5">
        <f t="shared" si="72"/>
        <v>0.96978532695374797</v>
      </c>
      <c r="AJ103" s="3">
        <f>MATCH(AI103,Inputs!$B$31:$B$34,1)</f>
        <v>2</v>
      </c>
      <c r="AK103" s="5">
        <f>INDEX(Inputs!$C$21:$C$25,MATCH(F103,Inputs!$A$21:$A$25,0))</f>
        <v>1.05</v>
      </c>
      <c r="AL103" s="5">
        <f>INDEX(Inputs!$D$21:$D$25,MATCH(F103,Inputs!$A$21:$A$25,0))</f>
        <v>0.01</v>
      </c>
      <c r="AM103" s="4">
        <f t="shared" si="73"/>
        <v>65835</v>
      </c>
      <c r="AN103" s="4">
        <f t="shared" si="74"/>
        <v>5029.4599999999991</v>
      </c>
      <c r="AO103" s="3">
        <f t="shared" si="75"/>
        <v>1</v>
      </c>
      <c r="AP103" s="4">
        <f t="shared" si="76"/>
        <v>18241.662</v>
      </c>
      <c r="AQ103" s="4">
        <f t="shared" si="77"/>
        <v>608.05540000000008</v>
      </c>
      <c r="AR103" s="4">
        <f t="shared" si="78"/>
        <v>5029.4599999999991</v>
      </c>
      <c r="AS103" s="3">
        <f t="shared" si="79"/>
        <v>0</v>
      </c>
      <c r="AT103" s="4">
        <f t="shared" si="80"/>
        <v>5029.4599999999991</v>
      </c>
      <c r="AU103" s="4">
        <f t="shared" si="81"/>
        <v>12394.46</v>
      </c>
      <c r="AV103" s="4">
        <f t="shared" si="82"/>
        <v>5029.4599999999991</v>
      </c>
      <c r="AW103" s="4">
        <f t="shared" si="83"/>
        <v>5029.4599999999991</v>
      </c>
      <c r="AX103" s="5">
        <f t="shared" si="84"/>
        <v>8.2713844824007801E-2</v>
      </c>
      <c r="AY103" s="4">
        <f t="shared" si="85"/>
        <v>65835</v>
      </c>
      <c r="AZ103" s="3">
        <f t="shared" si="86"/>
        <v>0</v>
      </c>
      <c r="BA103" s="4">
        <f t="shared" si="87"/>
        <v>68266.37975800001</v>
      </c>
      <c r="BB103" s="4">
        <f t="shared" si="88"/>
        <v>19748.873037483198</v>
      </c>
      <c r="BC103" s="4">
        <f t="shared" si="89"/>
        <v>68266.37975800001</v>
      </c>
      <c r="BD103" s="4">
        <f t="shared" si="90"/>
        <v>19748.873037483198</v>
      </c>
      <c r="BE103" s="4">
        <f t="shared" si="91"/>
        <v>73912.954500000007</v>
      </c>
      <c r="BF103" s="4">
        <f t="shared" si="92"/>
        <v>19807.597414799999</v>
      </c>
      <c r="BG103" s="4">
        <f t="shared" si="93"/>
        <v>0</v>
      </c>
      <c r="BH103" s="4">
        <f t="shared" si="94"/>
        <v>0</v>
      </c>
      <c r="BI103" s="4">
        <f t="shared" si="95"/>
        <v>0</v>
      </c>
      <c r="BJ103" s="4">
        <f t="shared" si="96"/>
        <v>5029.4599999999991</v>
      </c>
      <c r="BK103" s="4">
        <f t="shared" si="97"/>
        <v>617.11474199999986</v>
      </c>
      <c r="BL103" s="4">
        <f t="shared" si="98"/>
        <v>58.72437731680111</v>
      </c>
      <c r="BM103" s="4">
        <f t="shared" si="99"/>
        <v>60805.54</v>
      </c>
      <c r="BN103" s="4">
        <f t="shared" si="100"/>
        <v>2432.2216000000003</v>
      </c>
      <c r="BO103" s="4">
        <f t="shared" si="101"/>
        <v>2432.2216000000003</v>
      </c>
      <c r="BP103" s="4">
        <f t="shared" si="102"/>
        <v>298.43359032000001</v>
      </c>
      <c r="BQ103" s="4">
        <f t="shared" si="103"/>
        <v>70997.034948319997</v>
      </c>
      <c r="BR103" s="4">
        <f t="shared" si="104"/>
        <v>19777.271851462527</v>
      </c>
      <c r="BS103" s="4">
        <f t="shared" si="105"/>
        <v>28.398813979329134</v>
      </c>
      <c r="BT103" s="4">
        <f t="shared" si="106"/>
        <v>68266.37975800001</v>
      </c>
      <c r="BU103" s="4">
        <f t="shared" si="107"/>
        <v>73912.954500000007</v>
      </c>
      <c r="BV103" s="7">
        <f t="shared" si="108"/>
        <v>591303.63600000006</v>
      </c>
      <c r="BW103" s="7">
        <f t="shared" si="109"/>
        <v>598791.05370431219</v>
      </c>
    </row>
    <row r="104" spans="1:75" x14ac:dyDescent="0.3">
      <c r="A104" s="3">
        <f t="shared" si="55"/>
        <v>100</v>
      </c>
      <c r="B104" t="str">
        <f>INDEX(Employees!$A:$A,A104+1)</f>
        <v>E100</v>
      </c>
      <c r="C104" t="str">
        <f>INDEX(Employees!$A:$Z,MATCH(B104,Employees!$A:$A,0),MATCH("category",Employees!$1:$1,0))</f>
        <v>Marketing</v>
      </c>
      <c r="D104" t="str">
        <f>INDEX(Employees!$A:$Z,MATCH(B104,Employees!$A:$A,0),MATCH("gender",Employees!$1:$1,0))</f>
        <v>F</v>
      </c>
      <c r="E104" s="3">
        <f>INDEX(Employees!$A:$Z,MATCH(B104,Employees!$A:$A,0),MATCH("grade",Employees!$1:$1,0))</f>
        <v>10</v>
      </c>
      <c r="F104" s="3">
        <f>INDEX(Employees!$A:$Z,MATCH(B104,Employees!$A:$A,0),MATCH("rating",Employees!$1:$1,0))</f>
        <v>3</v>
      </c>
      <c r="G104" s="22">
        <f>INDEX(Employees!$A:$Z,MATCH(B104,Employees!$A:$A,0),MATCH("hire_date",Employees!$1:$1,0))</f>
        <v>41766</v>
      </c>
      <c r="H104" s="22">
        <f>INDEX(Employees!$A:$Z,MATCH(B104,Employees!$A:$A,0),MATCH("last_change_date",Employees!$1:$1,0))</f>
        <v>46113</v>
      </c>
      <c r="I104" s="4">
        <f>INDEX(Employees!$A:$Z,MATCH(B104,Employees!$A:$A,0),MATCH("base_salary",Employees!$1:$1,0))</f>
        <v>83818.69</v>
      </c>
      <c r="J104" s="5">
        <f>INDEX(Employees!$A:$Z,MATCH(B104,Employees!$A:$A,0),MATCH("bonus_pct",Employees!$1:$1,0))/100</f>
        <v>9.9299999999999999E-2</v>
      </c>
      <c r="K104" s="7">
        <f>INDEX(Employees!$A:$Z,MATCH(B104,Employees!$A:$A,0),MATCH("fte",Employees!$1:$1,0))</f>
        <v>1</v>
      </c>
      <c r="L104" s="3">
        <f>IF(ISNA(MATCH(C104&amp;"|"&amp;E104,Bands!$F:$F,0)),0,1)</f>
        <v>1</v>
      </c>
      <c r="M104" s="4">
        <f>INDEX(Bands!$C:$C,MATCH(C104&amp;"|"&amp;E104,Bands!$F:$F,0))</f>
        <v>66200</v>
      </c>
      <c r="N104" s="4">
        <f>INDEX(Bands!$D:$D,MATCH(C104&amp;"|"&amp;E104,Bands!$F:$F,0))</f>
        <v>82700</v>
      </c>
      <c r="O104" s="4">
        <f>INDEX(Bands!$E:$E,MATCH(C104&amp;"|"&amp;E104,Bands!$F:$F,0))</f>
        <v>99300</v>
      </c>
      <c r="P104" s="7">
        <f t="shared" si="56"/>
        <v>12.900752908966462</v>
      </c>
      <c r="Q104" s="4">
        <f t="shared" si="57"/>
        <v>92141.885916999992</v>
      </c>
      <c r="R104" s="7">
        <f t="shared" si="58"/>
        <v>100</v>
      </c>
      <c r="S104" s="7">
        <f t="shared" si="59"/>
        <v>166.42942561820664</v>
      </c>
      <c r="T104" s="7">
        <f t="shared" si="60"/>
        <v>129.00752908966462</v>
      </c>
      <c r="U104" s="7">
        <f t="shared" si="61"/>
        <v>921418.85916999995</v>
      </c>
      <c r="V104" s="7">
        <f t="shared" si="62"/>
        <v>1188699.7027813934</v>
      </c>
      <c r="W104" s="4">
        <f t="shared" si="63"/>
        <v>92141.89</v>
      </c>
      <c r="X104" s="3">
        <f t="shared" si="64"/>
        <v>26</v>
      </c>
      <c r="Y104" s="4">
        <f>INDEX(Categories!$AH:$AH,MATCH(C104,Categories!$A:$A,0))</f>
        <v>75605.01810049999</v>
      </c>
      <c r="Z104" s="3">
        <f>IF(AND(D104="F",Q104&lt;Y104,INDEX(Categories!$AI:$AI,MATCH(C104,Categories!$A:$A,0))&gt;0),1,0)</f>
        <v>0</v>
      </c>
      <c r="AA104" s="4">
        <f t="shared" si="65"/>
        <v>0</v>
      </c>
      <c r="AB104" s="4">
        <f>IF(Z104=1,INDEX(Categories!$AI:$AI,MATCH(C104,Categories!$A:$A,0))*AA104/INDEX(Categories!$AJ:$AJ,MATCH(C104,Categories!$A:$A,0)),0)</f>
        <v>0</v>
      </c>
      <c r="AC104" s="4">
        <f t="shared" si="66"/>
        <v>0</v>
      </c>
      <c r="AD104" s="4">
        <f t="shared" si="67"/>
        <v>83818.69</v>
      </c>
      <c r="AE104" s="3">
        <f t="shared" si="68"/>
        <v>0</v>
      </c>
      <c r="AF104" s="3">
        <f t="shared" si="69"/>
        <v>154</v>
      </c>
      <c r="AG104" s="3">
        <f t="shared" si="70"/>
        <v>12</v>
      </c>
      <c r="AH104" s="3">
        <f t="shared" si="71"/>
        <v>1</v>
      </c>
      <c r="AI104" s="5">
        <f t="shared" si="72"/>
        <v>1.013527085852479</v>
      </c>
      <c r="AJ104" s="3">
        <f>MATCH(AI104,Inputs!$B$31:$B$34,1)</f>
        <v>3</v>
      </c>
      <c r="AK104" s="5">
        <f>INDEX(Inputs!$C$21:$C$25,MATCH(F104,Inputs!$A$21:$A$25,0))</f>
        <v>1</v>
      </c>
      <c r="AL104" s="5">
        <f>INDEX(Inputs!$D$21:$D$25,MATCH(F104,Inputs!$A$21:$A$25,0))</f>
        <v>0</v>
      </c>
      <c r="AM104" s="4">
        <f t="shared" si="73"/>
        <v>82700</v>
      </c>
      <c r="AN104" s="4">
        <f t="shared" si="74"/>
        <v>0</v>
      </c>
      <c r="AO104" s="3">
        <f t="shared" si="75"/>
        <v>1</v>
      </c>
      <c r="AP104" s="4">
        <f t="shared" si="76"/>
        <v>25145.607</v>
      </c>
      <c r="AQ104" s="4">
        <f t="shared" si="77"/>
        <v>0</v>
      </c>
      <c r="AR104" s="4">
        <f t="shared" si="78"/>
        <v>0</v>
      </c>
      <c r="AS104" s="3">
        <f t="shared" si="79"/>
        <v>0</v>
      </c>
      <c r="AT104" s="4">
        <f t="shared" si="80"/>
        <v>0</v>
      </c>
      <c r="AU104" s="4">
        <f t="shared" si="81"/>
        <v>15481.309999999998</v>
      </c>
      <c r="AV104" s="4">
        <f t="shared" si="82"/>
        <v>0</v>
      </c>
      <c r="AW104" s="4">
        <f t="shared" si="83"/>
        <v>0</v>
      </c>
      <c r="AX104" s="5">
        <f t="shared" si="84"/>
        <v>0</v>
      </c>
      <c r="AY104" s="4">
        <f t="shared" si="85"/>
        <v>83818.69</v>
      </c>
      <c r="AZ104" s="3">
        <f t="shared" si="86"/>
        <v>0</v>
      </c>
      <c r="BA104" s="4">
        <f t="shared" si="87"/>
        <v>92141.885916999992</v>
      </c>
      <c r="BB104" s="4">
        <f t="shared" si="88"/>
        <v>19997.754816187397</v>
      </c>
      <c r="BC104" s="4">
        <f t="shared" si="89"/>
        <v>92141.885916999992</v>
      </c>
      <c r="BD104" s="4">
        <f t="shared" si="90"/>
        <v>19997.754816187397</v>
      </c>
      <c r="BE104" s="4">
        <f t="shared" si="91"/>
        <v>92141.885916999992</v>
      </c>
      <c r="BF104" s="4">
        <f t="shared" si="92"/>
        <v>19997.754816187397</v>
      </c>
      <c r="BG104" s="4">
        <f t="shared" si="93"/>
        <v>0</v>
      </c>
      <c r="BH104" s="4">
        <f t="shared" si="94"/>
        <v>0</v>
      </c>
      <c r="BI104" s="4">
        <f t="shared" si="95"/>
        <v>0</v>
      </c>
      <c r="BJ104" s="4">
        <f t="shared" si="96"/>
        <v>0</v>
      </c>
      <c r="BK104" s="4">
        <f t="shared" si="97"/>
        <v>0</v>
      </c>
      <c r="BL104" s="4">
        <f t="shared" si="98"/>
        <v>0</v>
      </c>
      <c r="BM104" s="4">
        <f t="shared" si="99"/>
        <v>83818.69</v>
      </c>
      <c r="BN104" s="4">
        <f t="shared" si="100"/>
        <v>3352.7476000000001</v>
      </c>
      <c r="BO104" s="4">
        <f t="shared" si="101"/>
        <v>3352.7476000000001</v>
      </c>
      <c r="BP104" s="4">
        <f t="shared" si="102"/>
        <v>332.92783667999998</v>
      </c>
      <c r="BQ104" s="4">
        <f t="shared" si="103"/>
        <v>95827.561353679994</v>
      </c>
      <c r="BR104" s="4">
        <f t="shared" si="104"/>
        <v>20042.720056514892</v>
      </c>
      <c r="BS104" s="4">
        <f t="shared" si="105"/>
        <v>44.965240327495849</v>
      </c>
      <c r="BT104" s="4">
        <f t="shared" si="106"/>
        <v>92141.885916999992</v>
      </c>
      <c r="BU104" s="4">
        <f t="shared" si="107"/>
        <v>92141.885916999992</v>
      </c>
      <c r="BV104" s="7">
        <f t="shared" si="108"/>
        <v>921418.85916999995</v>
      </c>
      <c r="BW104" s="7">
        <f t="shared" si="109"/>
        <v>1188699.7027813934</v>
      </c>
    </row>
    <row r="105" spans="1:75" x14ac:dyDescent="0.3">
      <c r="A105" s="3">
        <f t="shared" si="55"/>
        <v>101</v>
      </c>
      <c r="B105" t="str">
        <f>INDEX(Employees!$A:$A,A105+1)</f>
        <v>E101</v>
      </c>
      <c r="C105" t="str">
        <f>INDEX(Employees!$A:$Z,MATCH(B105,Employees!$A:$A,0),MATCH("category",Employees!$1:$1,0))</f>
        <v>Marketing</v>
      </c>
      <c r="D105" t="str">
        <f>INDEX(Employees!$A:$Z,MATCH(B105,Employees!$A:$A,0),MATCH("gender",Employees!$1:$1,0))</f>
        <v>M</v>
      </c>
      <c r="E105" s="3">
        <f>INDEX(Employees!$A:$Z,MATCH(B105,Employees!$A:$A,0),MATCH("grade",Employees!$1:$1,0))</f>
        <v>10</v>
      </c>
      <c r="F105" s="3">
        <f>INDEX(Employees!$A:$Z,MATCH(B105,Employees!$A:$A,0),MATCH("rating",Employees!$1:$1,0))</f>
        <v>3</v>
      </c>
      <c r="G105" s="22">
        <f>INDEX(Employees!$A:$Z,MATCH(B105,Employees!$A:$A,0),MATCH("hire_date",Employees!$1:$1,0))</f>
        <v>43483</v>
      </c>
      <c r="H105" s="22">
        <f>INDEX(Employees!$A:$Z,MATCH(B105,Employees!$A:$A,0),MATCH("last_change_date",Employees!$1:$1,0))</f>
        <v>46113</v>
      </c>
      <c r="I105" s="4">
        <f>INDEX(Employees!$A:$Z,MATCH(B105,Employees!$A:$A,0),MATCH("base_salary",Employees!$1:$1,0))</f>
        <v>68599.05</v>
      </c>
      <c r="J105" s="5">
        <f>INDEX(Employees!$A:$Z,MATCH(B105,Employees!$A:$A,0),MATCH("bonus_pct",Employees!$1:$1,0))/100</f>
        <v>0.12039999999999999</v>
      </c>
      <c r="K105" s="7">
        <f>INDEX(Employees!$A:$Z,MATCH(B105,Employees!$A:$A,0),MATCH("fte",Employees!$1:$1,0))</f>
        <v>1</v>
      </c>
      <c r="L105" s="3">
        <f>IF(ISNA(MATCH(C105&amp;"|"&amp;E105,Bands!$F:$F,0)),0,1)</f>
        <v>1</v>
      </c>
      <c r="M105" s="4">
        <f>INDEX(Bands!$C:$C,MATCH(C105&amp;"|"&amp;E105,Bands!$F:$F,0))</f>
        <v>66200</v>
      </c>
      <c r="N105" s="4">
        <f>INDEX(Bands!$D:$D,MATCH(C105&amp;"|"&amp;E105,Bands!$F:$F,0))</f>
        <v>82700</v>
      </c>
      <c r="O105" s="4">
        <f>INDEX(Bands!$E:$E,MATCH(C105&amp;"|"&amp;E105,Bands!$F:$F,0))</f>
        <v>99300</v>
      </c>
      <c r="P105" s="7">
        <f t="shared" si="56"/>
        <v>8.1998631074606436</v>
      </c>
      <c r="Q105" s="4">
        <f t="shared" si="57"/>
        <v>76858.375620000006</v>
      </c>
      <c r="R105" s="7">
        <f t="shared" si="58"/>
        <v>100</v>
      </c>
      <c r="S105" s="7">
        <f t="shared" si="59"/>
        <v>67.237754981094128</v>
      </c>
      <c r="T105" s="7">
        <f t="shared" si="60"/>
        <v>81.998631074606436</v>
      </c>
      <c r="U105" s="7">
        <f t="shared" si="61"/>
        <v>768583.75620000006</v>
      </c>
      <c r="V105" s="7">
        <f t="shared" si="62"/>
        <v>630228.1587457906</v>
      </c>
      <c r="W105" s="4">
        <f t="shared" si="63"/>
        <v>76858.38</v>
      </c>
      <c r="X105" s="3">
        <f t="shared" si="64"/>
        <v>16</v>
      </c>
      <c r="Y105" s="4">
        <f>INDEX(Categories!$AH:$AH,MATCH(C105,Categories!$A:$A,0))</f>
        <v>75605.01810049999</v>
      </c>
      <c r="Z105" s="3">
        <f>IF(AND(D105="F",Q105&lt;Y105,INDEX(Categories!$AI:$AI,MATCH(C105,Categories!$A:$A,0))&gt;0),1,0)</f>
        <v>0</v>
      </c>
      <c r="AA105" s="4">
        <f t="shared" si="65"/>
        <v>0</v>
      </c>
      <c r="AB105" s="4">
        <f>IF(Z105=1,INDEX(Categories!$AI:$AI,MATCH(C105,Categories!$A:$A,0))*AA105/INDEX(Categories!$AJ:$AJ,MATCH(C105,Categories!$A:$A,0)),0)</f>
        <v>0</v>
      </c>
      <c r="AC105" s="4">
        <f t="shared" si="66"/>
        <v>0</v>
      </c>
      <c r="AD105" s="4">
        <f t="shared" si="67"/>
        <v>68599.05</v>
      </c>
      <c r="AE105" s="3">
        <f t="shared" si="68"/>
        <v>0</v>
      </c>
      <c r="AF105" s="3">
        <f t="shared" si="69"/>
        <v>98</v>
      </c>
      <c r="AG105" s="3">
        <f t="shared" si="70"/>
        <v>12</v>
      </c>
      <c r="AH105" s="3">
        <f t="shared" si="71"/>
        <v>1</v>
      </c>
      <c r="AI105" s="5">
        <f t="shared" si="72"/>
        <v>0.82949274486094315</v>
      </c>
      <c r="AJ105" s="3">
        <f>MATCH(AI105,Inputs!$B$31:$B$34,1)</f>
        <v>1</v>
      </c>
      <c r="AK105" s="5">
        <f>INDEX(Inputs!$C$21:$C$25,MATCH(F105,Inputs!$A$21:$A$25,0))</f>
        <v>1</v>
      </c>
      <c r="AL105" s="5">
        <f>INDEX(Inputs!$D$21:$D$25,MATCH(F105,Inputs!$A$21:$A$25,0))</f>
        <v>0</v>
      </c>
      <c r="AM105" s="4">
        <f t="shared" si="73"/>
        <v>82700</v>
      </c>
      <c r="AN105" s="4">
        <f t="shared" si="74"/>
        <v>14100.949999999997</v>
      </c>
      <c r="AO105" s="3">
        <f t="shared" si="75"/>
        <v>1</v>
      </c>
      <c r="AP105" s="4">
        <f t="shared" si="76"/>
        <v>20579.715</v>
      </c>
      <c r="AQ105" s="4">
        <f t="shared" si="77"/>
        <v>0</v>
      </c>
      <c r="AR105" s="4">
        <f t="shared" si="78"/>
        <v>14100.949999999997</v>
      </c>
      <c r="AS105" s="3">
        <f t="shared" si="79"/>
        <v>0</v>
      </c>
      <c r="AT105" s="4">
        <f t="shared" si="80"/>
        <v>14100.949999999997</v>
      </c>
      <c r="AU105" s="4">
        <f t="shared" si="81"/>
        <v>30700.949999999997</v>
      </c>
      <c r="AV105" s="4">
        <f t="shared" si="82"/>
        <v>14100.949999999997</v>
      </c>
      <c r="AW105" s="4">
        <f t="shared" si="83"/>
        <v>14100.949999999997</v>
      </c>
      <c r="AX105" s="5">
        <f t="shared" si="84"/>
        <v>0.20555605361881829</v>
      </c>
      <c r="AY105" s="4">
        <f t="shared" si="85"/>
        <v>82700</v>
      </c>
      <c r="AZ105" s="3">
        <f t="shared" si="86"/>
        <v>0</v>
      </c>
      <c r="BA105" s="4">
        <f t="shared" si="87"/>
        <v>76858.375620000006</v>
      </c>
      <c r="BB105" s="4">
        <f t="shared" si="88"/>
        <v>19838.229794447998</v>
      </c>
      <c r="BC105" s="4">
        <f t="shared" si="89"/>
        <v>76858.375620000006</v>
      </c>
      <c r="BD105" s="4">
        <f t="shared" si="90"/>
        <v>19838.229794447998</v>
      </c>
      <c r="BE105" s="4">
        <f t="shared" si="91"/>
        <v>92657.08</v>
      </c>
      <c r="BF105" s="4">
        <f t="shared" si="92"/>
        <v>20004.040183999998</v>
      </c>
      <c r="BG105" s="4">
        <f t="shared" si="93"/>
        <v>0</v>
      </c>
      <c r="BH105" s="4">
        <f t="shared" si="94"/>
        <v>0</v>
      </c>
      <c r="BI105" s="4">
        <f t="shared" si="95"/>
        <v>0</v>
      </c>
      <c r="BJ105" s="4">
        <f t="shared" si="96"/>
        <v>14100.949999999997</v>
      </c>
      <c r="BK105" s="4">
        <f t="shared" si="97"/>
        <v>1697.7543799999996</v>
      </c>
      <c r="BL105" s="4">
        <f t="shared" si="98"/>
        <v>165.81038955199983</v>
      </c>
      <c r="BM105" s="4">
        <f t="shared" si="99"/>
        <v>68599.05</v>
      </c>
      <c r="BN105" s="4">
        <f t="shared" si="100"/>
        <v>2743.962</v>
      </c>
      <c r="BO105" s="4">
        <f t="shared" si="101"/>
        <v>2743.962</v>
      </c>
      <c r="BP105" s="4">
        <f t="shared" si="102"/>
        <v>330.3730248</v>
      </c>
      <c r="BQ105" s="4">
        <f t="shared" si="103"/>
        <v>79932.710644800012</v>
      </c>
      <c r="BR105" s="4">
        <f t="shared" si="104"/>
        <v>19870.202878705917</v>
      </c>
      <c r="BS105" s="4">
        <f t="shared" si="105"/>
        <v>31.973084257919254</v>
      </c>
      <c r="BT105" s="4">
        <f t="shared" si="106"/>
        <v>76858.375620000006</v>
      </c>
      <c r="BU105" s="4">
        <f t="shared" si="107"/>
        <v>92657.08</v>
      </c>
      <c r="BV105" s="7">
        <f t="shared" si="108"/>
        <v>926570.8</v>
      </c>
      <c r="BW105" s="7">
        <f t="shared" si="109"/>
        <v>759775.37193702941</v>
      </c>
    </row>
    <row r="106" spans="1:75" x14ac:dyDescent="0.3">
      <c r="A106" s="3">
        <f t="shared" si="55"/>
        <v>102</v>
      </c>
      <c r="B106" t="str">
        <f>INDEX(Employees!$A:$A,A106+1)</f>
        <v>E102</v>
      </c>
      <c r="C106" t="str">
        <f>INDEX(Employees!$A:$Z,MATCH(B106,Employees!$A:$A,0),MATCH("category",Employees!$1:$1,0))</f>
        <v>Marketing</v>
      </c>
      <c r="D106" t="str">
        <f>INDEX(Employees!$A:$Z,MATCH(B106,Employees!$A:$A,0),MATCH("gender",Employees!$1:$1,0))</f>
        <v>M</v>
      </c>
      <c r="E106" s="3">
        <f>INDEX(Employees!$A:$Z,MATCH(B106,Employees!$A:$A,0),MATCH("grade",Employees!$1:$1,0))</f>
        <v>8</v>
      </c>
      <c r="F106" s="3">
        <f>INDEX(Employees!$A:$Z,MATCH(B106,Employees!$A:$A,0),MATCH("rating",Employees!$1:$1,0))</f>
        <v>3</v>
      </c>
      <c r="G106" s="22">
        <f>INDEX(Employees!$A:$Z,MATCH(B106,Employees!$A:$A,0),MATCH("hire_date",Employees!$1:$1,0))</f>
        <v>43921</v>
      </c>
      <c r="H106" s="22">
        <f>INDEX(Employees!$A:$Z,MATCH(B106,Employees!$A:$A,0),MATCH("last_change_date",Employees!$1:$1,0))</f>
        <v>46113</v>
      </c>
      <c r="I106" s="4">
        <f>INDEX(Employees!$A:$Z,MATCH(B106,Employees!$A:$A,0),MATCH("base_salary",Employees!$1:$1,0))</f>
        <v>64077.78</v>
      </c>
      <c r="J106" s="5">
        <f>INDEX(Employees!$A:$Z,MATCH(B106,Employees!$A:$A,0),MATCH("bonus_pct",Employees!$1:$1,0))/100</f>
        <v>9.8000000000000004E-2</v>
      </c>
      <c r="K106" s="7">
        <f>INDEX(Employees!$A:$Z,MATCH(B106,Employees!$A:$A,0),MATCH("fte",Employees!$1:$1,0))</f>
        <v>1</v>
      </c>
      <c r="L106" s="3">
        <f>IF(ISNA(MATCH(C106&amp;"|"&amp;E106,Bands!$F:$F,0)),0,1)</f>
        <v>1</v>
      </c>
      <c r="M106" s="4">
        <f>INDEX(Bands!$C:$C,MATCH(C106&amp;"|"&amp;E106,Bands!$F:$F,0))</f>
        <v>52300</v>
      </c>
      <c r="N106" s="4">
        <f>INDEX(Bands!$D:$D,MATCH(C106&amp;"|"&amp;E106,Bands!$F:$F,0))</f>
        <v>62700</v>
      </c>
      <c r="O106" s="4">
        <f>INDEX(Bands!$E:$E,MATCH(C106&amp;"|"&amp;E106,Bands!$F:$F,0))</f>
        <v>73200</v>
      </c>
      <c r="P106" s="7">
        <f t="shared" si="56"/>
        <v>7.0006844626967828</v>
      </c>
      <c r="Q106" s="4">
        <f t="shared" si="57"/>
        <v>70357.402440000005</v>
      </c>
      <c r="R106" s="7">
        <f t="shared" si="58"/>
        <v>64</v>
      </c>
      <c r="S106" s="7">
        <f t="shared" si="59"/>
        <v>49.009582946244144</v>
      </c>
      <c r="T106" s="7">
        <f t="shared" si="60"/>
        <v>56.005475701574262</v>
      </c>
      <c r="U106" s="7">
        <f t="shared" si="61"/>
        <v>562859.21952000004</v>
      </c>
      <c r="V106" s="7">
        <f t="shared" si="62"/>
        <v>492549.97409741278</v>
      </c>
      <c r="W106" s="4">
        <f t="shared" si="63"/>
        <v>70357.399999999994</v>
      </c>
      <c r="X106" s="3">
        <f t="shared" si="64"/>
        <v>11</v>
      </c>
      <c r="Y106" s="4">
        <f>INDEX(Categories!$AH:$AH,MATCH(C106,Categories!$A:$A,0))</f>
        <v>75605.01810049999</v>
      </c>
      <c r="Z106" s="3">
        <f>IF(AND(D106="F",Q106&lt;Y106,INDEX(Categories!$AI:$AI,MATCH(C106,Categories!$A:$A,0))&gt;0),1,0)</f>
        <v>0</v>
      </c>
      <c r="AA106" s="4">
        <f t="shared" si="65"/>
        <v>0</v>
      </c>
      <c r="AB106" s="4">
        <f>IF(Z106=1,INDEX(Categories!$AI:$AI,MATCH(C106,Categories!$A:$A,0))*AA106/INDEX(Categories!$AJ:$AJ,MATCH(C106,Categories!$A:$A,0)),0)</f>
        <v>0</v>
      </c>
      <c r="AC106" s="4">
        <f t="shared" si="66"/>
        <v>0</v>
      </c>
      <c r="AD106" s="4">
        <f t="shared" si="67"/>
        <v>64077.78</v>
      </c>
      <c r="AE106" s="3">
        <f t="shared" si="68"/>
        <v>0</v>
      </c>
      <c r="AF106" s="3">
        <f t="shared" si="69"/>
        <v>84</v>
      </c>
      <c r="AG106" s="3">
        <f t="shared" si="70"/>
        <v>12</v>
      </c>
      <c r="AH106" s="3">
        <f t="shared" si="71"/>
        <v>1</v>
      </c>
      <c r="AI106" s="5">
        <f t="shared" si="72"/>
        <v>1.0219741626794259</v>
      </c>
      <c r="AJ106" s="3">
        <f>MATCH(AI106,Inputs!$B$31:$B$34,1)</f>
        <v>3</v>
      </c>
      <c r="AK106" s="5">
        <f>INDEX(Inputs!$C$21:$C$25,MATCH(F106,Inputs!$A$21:$A$25,0))</f>
        <v>1</v>
      </c>
      <c r="AL106" s="5">
        <f>INDEX(Inputs!$D$21:$D$25,MATCH(F106,Inputs!$A$21:$A$25,0))</f>
        <v>0</v>
      </c>
      <c r="AM106" s="4">
        <f t="shared" si="73"/>
        <v>62700</v>
      </c>
      <c r="AN106" s="4">
        <f t="shared" si="74"/>
        <v>0</v>
      </c>
      <c r="AO106" s="3">
        <f t="shared" si="75"/>
        <v>1</v>
      </c>
      <c r="AP106" s="4">
        <f t="shared" si="76"/>
        <v>19223.333999999999</v>
      </c>
      <c r="AQ106" s="4">
        <f t="shared" si="77"/>
        <v>0</v>
      </c>
      <c r="AR106" s="4">
        <f t="shared" si="78"/>
        <v>0</v>
      </c>
      <c r="AS106" s="3">
        <f t="shared" si="79"/>
        <v>0</v>
      </c>
      <c r="AT106" s="4">
        <f t="shared" si="80"/>
        <v>0</v>
      </c>
      <c r="AU106" s="4">
        <f t="shared" si="81"/>
        <v>9122.2200000000012</v>
      </c>
      <c r="AV106" s="4">
        <f t="shared" si="82"/>
        <v>0</v>
      </c>
      <c r="AW106" s="4">
        <f t="shared" si="83"/>
        <v>0</v>
      </c>
      <c r="AX106" s="5">
        <f t="shared" si="84"/>
        <v>0</v>
      </c>
      <c r="AY106" s="4">
        <f t="shared" si="85"/>
        <v>64077.78</v>
      </c>
      <c r="AZ106" s="3">
        <f t="shared" si="86"/>
        <v>0</v>
      </c>
      <c r="BA106" s="4">
        <f t="shared" si="87"/>
        <v>70357.402440000005</v>
      </c>
      <c r="BB106" s="4">
        <f t="shared" si="88"/>
        <v>19770.619673375997</v>
      </c>
      <c r="BC106" s="4">
        <f t="shared" si="89"/>
        <v>70357.402440000005</v>
      </c>
      <c r="BD106" s="4">
        <f t="shared" si="90"/>
        <v>19770.619673375997</v>
      </c>
      <c r="BE106" s="4">
        <f t="shared" si="91"/>
        <v>70357.402440000005</v>
      </c>
      <c r="BF106" s="4">
        <f t="shared" si="92"/>
        <v>19770.619673375997</v>
      </c>
      <c r="BG106" s="4">
        <f t="shared" si="93"/>
        <v>0</v>
      </c>
      <c r="BH106" s="4">
        <f t="shared" si="94"/>
        <v>0</v>
      </c>
      <c r="BI106" s="4">
        <f t="shared" si="95"/>
        <v>0</v>
      </c>
      <c r="BJ106" s="4">
        <f t="shared" si="96"/>
        <v>0</v>
      </c>
      <c r="BK106" s="4">
        <f t="shared" si="97"/>
        <v>0</v>
      </c>
      <c r="BL106" s="4">
        <f t="shared" si="98"/>
        <v>0</v>
      </c>
      <c r="BM106" s="4">
        <f t="shared" si="99"/>
        <v>64077.78</v>
      </c>
      <c r="BN106" s="4">
        <f t="shared" si="100"/>
        <v>2563.1111999999998</v>
      </c>
      <c r="BO106" s="4">
        <f t="shared" si="101"/>
        <v>2563.1111999999998</v>
      </c>
      <c r="BP106" s="4">
        <f t="shared" si="102"/>
        <v>251.1848976</v>
      </c>
      <c r="BQ106" s="4">
        <f t="shared" si="103"/>
        <v>73171.698537600008</v>
      </c>
      <c r="BR106" s="4">
        <f t="shared" si="104"/>
        <v>19799.888352791037</v>
      </c>
      <c r="BS106" s="4">
        <f t="shared" si="105"/>
        <v>29.268679415039514</v>
      </c>
      <c r="BT106" s="4">
        <f t="shared" si="106"/>
        <v>70357.402440000005</v>
      </c>
      <c r="BU106" s="4">
        <f t="shared" si="107"/>
        <v>70357.402440000005</v>
      </c>
      <c r="BV106" s="7">
        <f t="shared" si="108"/>
        <v>562859.21952000004</v>
      </c>
      <c r="BW106" s="7">
        <f t="shared" si="109"/>
        <v>492549.97409741278</v>
      </c>
    </row>
    <row r="107" spans="1:75" x14ac:dyDescent="0.3">
      <c r="A107" s="3">
        <f t="shared" si="55"/>
        <v>103</v>
      </c>
      <c r="B107" t="str">
        <f>INDEX(Employees!$A:$A,A107+1)</f>
        <v>E103</v>
      </c>
      <c r="C107" t="str">
        <f>INDEX(Employees!$A:$Z,MATCH(B107,Employees!$A:$A,0),MATCH("category",Employees!$1:$1,0))</f>
        <v>Marketing</v>
      </c>
      <c r="D107" t="str">
        <f>INDEX(Employees!$A:$Z,MATCH(B107,Employees!$A:$A,0),MATCH("gender",Employees!$1:$1,0))</f>
        <v>F</v>
      </c>
      <c r="E107" s="3">
        <f>INDEX(Employees!$A:$Z,MATCH(B107,Employees!$A:$A,0),MATCH("grade",Employees!$1:$1,0))</f>
        <v>9</v>
      </c>
      <c r="F107" s="3">
        <f>INDEX(Employees!$A:$Z,MATCH(B107,Employees!$A:$A,0),MATCH("rating",Employees!$1:$1,0))</f>
        <v>2</v>
      </c>
      <c r="G107" s="22">
        <f>INDEX(Employees!$A:$Z,MATCH(B107,Employees!$A:$A,0),MATCH("hire_date",Employees!$1:$1,0))</f>
        <v>44323</v>
      </c>
      <c r="H107" s="22">
        <f>INDEX(Employees!$A:$Z,MATCH(B107,Employees!$A:$A,0),MATCH("last_change_date",Employees!$1:$1,0))</f>
        <v>46113</v>
      </c>
      <c r="I107" s="4">
        <f>INDEX(Employees!$A:$Z,MATCH(B107,Employees!$A:$A,0),MATCH("base_salary",Employees!$1:$1,0))</f>
        <v>70549.42</v>
      </c>
      <c r="J107" s="5">
        <f>INDEX(Employees!$A:$Z,MATCH(B107,Employees!$A:$A,0),MATCH("bonus_pct",Employees!$1:$1,0))/100</f>
        <v>9.4499999999999987E-2</v>
      </c>
      <c r="K107" s="7">
        <f>INDEX(Employees!$A:$Z,MATCH(B107,Employees!$A:$A,0),MATCH("fte",Employees!$1:$1,0))</f>
        <v>1</v>
      </c>
      <c r="L107" s="3">
        <f>IF(ISNA(MATCH(C107&amp;"|"&amp;E107,Bands!$F:$F,0)),0,1)</f>
        <v>1</v>
      </c>
      <c r="M107" s="4">
        <f>INDEX(Bands!$C:$C,MATCH(C107&amp;"|"&amp;E107,Bands!$F:$F,0))</f>
        <v>60000</v>
      </c>
      <c r="N107" s="4">
        <f>INDEX(Bands!$D:$D,MATCH(C107&amp;"|"&amp;E107,Bands!$F:$F,0))</f>
        <v>72000</v>
      </c>
      <c r="O107" s="4">
        <f>INDEX(Bands!$E:$E,MATCH(C107&amp;"|"&amp;E107,Bands!$F:$F,0))</f>
        <v>84000</v>
      </c>
      <c r="P107" s="7">
        <f t="shared" si="56"/>
        <v>5.9000684462696782</v>
      </c>
      <c r="Q107" s="4">
        <f t="shared" si="57"/>
        <v>77216.340190000003</v>
      </c>
      <c r="R107" s="7">
        <f t="shared" si="58"/>
        <v>81</v>
      </c>
      <c r="S107" s="7">
        <f t="shared" si="59"/>
        <v>34.810807670667096</v>
      </c>
      <c r="T107" s="7">
        <f t="shared" si="60"/>
        <v>53.100616016427104</v>
      </c>
      <c r="U107" s="7">
        <f t="shared" si="61"/>
        <v>694947.06171000004</v>
      </c>
      <c r="V107" s="7">
        <f t="shared" si="62"/>
        <v>455581.69229144423</v>
      </c>
      <c r="W107" s="4">
        <f t="shared" si="63"/>
        <v>77216.34</v>
      </c>
      <c r="X107" s="3">
        <f t="shared" si="64"/>
        <v>17</v>
      </c>
      <c r="Y107" s="4">
        <f>INDEX(Categories!$AH:$AH,MATCH(C107,Categories!$A:$A,0))</f>
        <v>75605.01810049999</v>
      </c>
      <c r="Z107" s="3">
        <f>IF(AND(D107="F",Q107&lt;Y107,INDEX(Categories!$AI:$AI,MATCH(C107,Categories!$A:$A,0))&gt;0),1,0)</f>
        <v>0</v>
      </c>
      <c r="AA107" s="4">
        <f t="shared" si="65"/>
        <v>0</v>
      </c>
      <c r="AB107" s="4">
        <f>IF(Z107=1,INDEX(Categories!$AI:$AI,MATCH(C107,Categories!$A:$A,0))*AA107/INDEX(Categories!$AJ:$AJ,MATCH(C107,Categories!$A:$A,0)),0)</f>
        <v>0</v>
      </c>
      <c r="AC107" s="4">
        <f t="shared" si="66"/>
        <v>0</v>
      </c>
      <c r="AD107" s="4">
        <f t="shared" si="67"/>
        <v>70549.42</v>
      </c>
      <c r="AE107" s="3">
        <f t="shared" si="68"/>
        <v>0</v>
      </c>
      <c r="AF107" s="3">
        <f t="shared" si="69"/>
        <v>70</v>
      </c>
      <c r="AG107" s="3">
        <f t="shared" si="70"/>
        <v>12</v>
      </c>
      <c r="AH107" s="3">
        <f t="shared" si="71"/>
        <v>1</v>
      </c>
      <c r="AI107" s="5">
        <f t="shared" si="72"/>
        <v>0.97985305555555557</v>
      </c>
      <c r="AJ107" s="3">
        <f>MATCH(AI107,Inputs!$B$31:$B$34,1)</f>
        <v>2</v>
      </c>
      <c r="AK107" s="5">
        <f>INDEX(Inputs!$C$21:$C$25,MATCH(F107,Inputs!$A$21:$A$25,0))</f>
        <v>0.95</v>
      </c>
      <c r="AL107" s="5">
        <f>INDEX(Inputs!$D$21:$D$25,MATCH(F107,Inputs!$A$21:$A$25,0))</f>
        <v>0</v>
      </c>
      <c r="AM107" s="4">
        <f t="shared" si="73"/>
        <v>68400</v>
      </c>
      <c r="AN107" s="4">
        <f t="shared" si="74"/>
        <v>0</v>
      </c>
      <c r="AO107" s="3">
        <f t="shared" si="75"/>
        <v>1</v>
      </c>
      <c r="AP107" s="4">
        <f t="shared" si="76"/>
        <v>21164.825999999997</v>
      </c>
      <c r="AQ107" s="4">
        <f t="shared" si="77"/>
        <v>0</v>
      </c>
      <c r="AR107" s="4">
        <f t="shared" si="78"/>
        <v>0</v>
      </c>
      <c r="AS107" s="3">
        <f t="shared" si="79"/>
        <v>0</v>
      </c>
      <c r="AT107" s="4">
        <f t="shared" si="80"/>
        <v>0</v>
      </c>
      <c r="AU107" s="4">
        <f t="shared" si="81"/>
        <v>13450.580000000002</v>
      </c>
      <c r="AV107" s="4">
        <f t="shared" si="82"/>
        <v>0</v>
      </c>
      <c r="AW107" s="4">
        <f t="shared" si="83"/>
        <v>0</v>
      </c>
      <c r="AX107" s="5">
        <f t="shared" si="84"/>
        <v>0</v>
      </c>
      <c r="AY107" s="4">
        <f t="shared" si="85"/>
        <v>70549.42</v>
      </c>
      <c r="AZ107" s="3">
        <f t="shared" si="86"/>
        <v>0</v>
      </c>
      <c r="BA107" s="4">
        <f t="shared" si="87"/>
        <v>77216.340190000003</v>
      </c>
      <c r="BB107" s="4">
        <f t="shared" si="88"/>
        <v>19841.952625975999</v>
      </c>
      <c r="BC107" s="4">
        <f t="shared" si="89"/>
        <v>77216.340190000003</v>
      </c>
      <c r="BD107" s="4">
        <f t="shared" si="90"/>
        <v>19841.952625975999</v>
      </c>
      <c r="BE107" s="4">
        <f t="shared" si="91"/>
        <v>77216.340190000003</v>
      </c>
      <c r="BF107" s="4">
        <f t="shared" si="92"/>
        <v>19841.952625975999</v>
      </c>
      <c r="BG107" s="4">
        <f t="shared" si="93"/>
        <v>0</v>
      </c>
      <c r="BH107" s="4">
        <f t="shared" si="94"/>
        <v>0</v>
      </c>
      <c r="BI107" s="4">
        <f t="shared" si="95"/>
        <v>0</v>
      </c>
      <c r="BJ107" s="4">
        <f t="shared" si="96"/>
        <v>0</v>
      </c>
      <c r="BK107" s="4">
        <f t="shared" si="97"/>
        <v>0</v>
      </c>
      <c r="BL107" s="4">
        <f t="shared" si="98"/>
        <v>0</v>
      </c>
      <c r="BM107" s="4">
        <f t="shared" si="99"/>
        <v>70549.42</v>
      </c>
      <c r="BN107" s="4">
        <f t="shared" si="100"/>
        <v>2821.9767999999999</v>
      </c>
      <c r="BO107" s="4">
        <f t="shared" si="101"/>
        <v>2821.9767999999999</v>
      </c>
      <c r="BP107" s="4">
        <f t="shared" si="102"/>
        <v>266.67680759999996</v>
      </c>
      <c r="BQ107" s="4">
        <f t="shared" si="103"/>
        <v>80304.993797600007</v>
      </c>
      <c r="BR107" s="4">
        <f t="shared" si="104"/>
        <v>19874.074623495038</v>
      </c>
      <c r="BS107" s="4">
        <f t="shared" si="105"/>
        <v>32.121997519039724</v>
      </c>
      <c r="BT107" s="4">
        <f t="shared" si="106"/>
        <v>77216.340190000003</v>
      </c>
      <c r="BU107" s="4">
        <f t="shared" si="107"/>
        <v>77216.340190000003</v>
      </c>
      <c r="BV107" s="7">
        <f t="shared" si="108"/>
        <v>694947.06171000004</v>
      </c>
      <c r="BW107" s="7">
        <f t="shared" si="109"/>
        <v>455581.69229144423</v>
      </c>
    </row>
    <row r="108" spans="1:75" x14ac:dyDescent="0.3">
      <c r="A108" s="3">
        <f t="shared" si="55"/>
        <v>104</v>
      </c>
      <c r="B108" t="str">
        <f>INDEX(Employees!$A:$A,A108+1)</f>
        <v>E104</v>
      </c>
      <c r="C108" t="str">
        <f>INDEX(Employees!$A:$Z,MATCH(B108,Employees!$A:$A,0),MATCH("category",Employees!$1:$1,0))</f>
        <v>Marketing</v>
      </c>
      <c r="D108" t="str">
        <f>INDEX(Employees!$A:$Z,MATCH(B108,Employees!$A:$A,0),MATCH("gender",Employees!$1:$1,0))</f>
        <v>M</v>
      </c>
      <c r="E108" s="3">
        <f>INDEX(Employees!$A:$Z,MATCH(B108,Employees!$A:$A,0),MATCH("grade",Employees!$1:$1,0))</f>
        <v>7</v>
      </c>
      <c r="F108" s="3">
        <f>INDEX(Employees!$A:$Z,MATCH(B108,Employees!$A:$A,0),MATCH("rating",Employees!$1:$1,0))</f>
        <v>3</v>
      </c>
      <c r="G108" s="22">
        <f>INDEX(Employees!$A:$Z,MATCH(B108,Employees!$A:$A,0),MATCH("hire_date",Employees!$1:$1,0))</f>
        <v>44469</v>
      </c>
      <c r="H108" s="22">
        <f>INDEX(Employees!$A:$Z,MATCH(B108,Employees!$A:$A,0),MATCH("last_change_date",Employees!$1:$1,0))</f>
        <v>46113</v>
      </c>
      <c r="I108" s="4">
        <f>INDEX(Employees!$A:$Z,MATCH(B108,Employees!$A:$A,0),MATCH("base_salary",Employees!$1:$1,0))</f>
        <v>50208.93</v>
      </c>
      <c r="J108" s="5">
        <f>INDEX(Employees!$A:$Z,MATCH(B108,Employees!$A:$A,0),MATCH("bonus_pct",Employees!$1:$1,0))/100</f>
        <v>8.2799999999999999E-2</v>
      </c>
      <c r="K108" s="7">
        <f>INDEX(Employees!$A:$Z,MATCH(B108,Employees!$A:$A,0),MATCH("fte",Employees!$1:$1,0))</f>
        <v>1</v>
      </c>
      <c r="L108" s="3">
        <f>IF(ISNA(MATCH(C108&amp;"|"&amp;E108,Bands!$F:$F,0)),0,1)</f>
        <v>1</v>
      </c>
      <c r="M108" s="4">
        <f>INDEX(Bands!$C:$C,MATCH(C108&amp;"|"&amp;E108,Bands!$F:$F,0))</f>
        <v>45400</v>
      </c>
      <c r="N108" s="4">
        <f>INDEX(Bands!$D:$D,MATCH(C108&amp;"|"&amp;E108,Bands!$F:$F,0))</f>
        <v>54500</v>
      </c>
      <c r="O108" s="4">
        <f>INDEX(Bands!$E:$E,MATCH(C108&amp;"|"&amp;E108,Bands!$F:$F,0))</f>
        <v>63600</v>
      </c>
      <c r="P108" s="7">
        <f t="shared" si="56"/>
        <v>5.5003422313483918</v>
      </c>
      <c r="Q108" s="4">
        <f t="shared" si="57"/>
        <v>54366.229403999998</v>
      </c>
      <c r="R108" s="7">
        <f t="shared" si="58"/>
        <v>49</v>
      </c>
      <c r="S108" s="7">
        <f t="shared" si="59"/>
        <v>30.253764661954605</v>
      </c>
      <c r="T108" s="7">
        <f t="shared" si="60"/>
        <v>38.502395619438744</v>
      </c>
      <c r="U108" s="7">
        <f t="shared" si="61"/>
        <v>380563.605828</v>
      </c>
      <c r="V108" s="7">
        <f t="shared" si="62"/>
        <v>299032.86754999589</v>
      </c>
      <c r="W108" s="4">
        <f t="shared" si="63"/>
        <v>54366.23</v>
      </c>
      <c r="X108" s="3">
        <f t="shared" si="64"/>
        <v>1</v>
      </c>
      <c r="Y108" s="4">
        <f>INDEX(Categories!$AH:$AH,MATCH(C108,Categories!$A:$A,0))</f>
        <v>75605.01810049999</v>
      </c>
      <c r="Z108" s="3">
        <f>IF(AND(D108="F",Q108&lt;Y108,INDEX(Categories!$AI:$AI,MATCH(C108,Categories!$A:$A,0))&gt;0),1,0)</f>
        <v>0</v>
      </c>
      <c r="AA108" s="4">
        <f t="shared" si="65"/>
        <v>0</v>
      </c>
      <c r="AB108" s="4">
        <f>IF(Z108=1,INDEX(Categories!$AI:$AI,MATCH(C108,Categories!$A:$A,0))*AA108/INDEX(Categories!$AJ:$AJ,MATCH(C108,Categories!$A:$A,0)),0)</f>
        <v>0</v>
      </c>
      <c r="AC108" s="4">
        <f t="shared" si="66"/>
        <v>0</v>
      </c>
      <c r="AD108" s="4">
        <f t="shared" si="67"/>
        <v>50208.93</v>
      </c>
      <c r="AE108" s="3">
        <f t="shared" si="68"/>
        <v>0</v>
      </c>
      <c r="AF108" s="3">
        <f t="shared" si="69"/>
        <v>66</v>
      </c>
      <c r="AG108" s="3">
        <f t="shared" si="70"/>
        <v>12</v>
      </c>
      <c r="AH108" s="3">
        <f t="shared" si="71"/>
        <v>1</v>
      </c>
      <c r="AI108" s="5">
        <f t="shared" si="72"/>
        <v>0.9212647706422018</v>
      </c>
      <c r="AJ108" s="3">
        <f>MATCH(AI108,Inputs!$B$31:$B$34,1)</f>
        <v>2</v>
      </c>
      <c r="AK108" s="5">
        <f>INDEX(Inputs!$C$21:$C$25,MATCH(F108,Inputs!$A$21:$A$25,0))</f>
        <v>1</v>
      </c>
      <c r="AL108" s="5">
        <f>INDEX(Inputs!$D$21:$D$25,MATCH(F108,Inputs!$A$21:$A$25,0))</f>
        <v>0</v>
      </c>
      <c r="AM108" s="4">
        <f t="shared" si="73"/>
        <v>54500</v>
      </c>
      <c r="AN108" s="4">
        <f t="shared" si="74"/>
        <v>4291.07</v>
      </c>
      <c r="AO108" s="3">
        <f t="shared" si="75"/>
        <v>1</v>
      </c>
      <c r="AP108" s="4">
        <f t="shared" si="76"/>
        <v>15062.679</v>
      </c>
      <c r="AQ108" s="4">
        <f t="shared" si="77"/>
        <v>0</v>
      </c>
      <c r="AR108" s="4">
        <f t="shared" si="78"/>
        <v>4291.07</v>
      </c>
      <c r="AS108" s="3">
        <f t="shared" si="79"/>
        <v>0</v>
      </c>
      <c r="AT108" s="4">
        <f t="shared" si="80"/>
        <v>4291.07</v>
      </c>
      <c r="AU108" s="4">
        <f t="shared" si="81"/>
        <v>13391.07</v>
      </c>
      <c r="AV108" s="4">
        <f t="shared" si="82"/>
        <v>4291.07</v>
      </c>
      <c r="AW108" s="4">
        <f t="shared" si="83"/>
        <v>4291.07</v>
      </c>
      <c r="AX108" s="5">
        <f t="shared" si="84"/>
        <v>8.546427896392135E-2</v>
      </c>
      <c r="AY108" s="4">
        <f t="shared" si="85"/>
        <v>54500</v>
      </c>
      <c r="AZ108" s="3">
        <f t="shared" si="86"/>
        <v>0</v>
      </c>
      <c r="BA108" s="4">
        <f t="shared" si="87"/>
        <v>54366.229403999998</v>
      </c>
      <c r="BB108" s="4">
        <f t="shared" si="88"/>
        <v>17478.742753385999</v>
      </c>
      <c r="BC108" s="4">
        <f t="shared" si="89"/>
        <v>54366.229403999998</v>
      </c>
      <c r="BD108" s="4">
        <f t="shared" si="90"/>
        <v>17478.742753385999</v>
      </c>
      <c r="BE108" s="4">
        <f t="shared" si="91"/>
        <v>59012.6</v>
      </c>
      <c r="BF108" s="4">
        <f t="shared" si="92"/>
        <v>18972.550899999998</v>
      </c>
      <c r="BG108" s="4">
        <f t="shared" si="93"/>
        <v>0</v>
      </c>
      <c r="BH108" s="4">
        <f t="shared" si="94"/>
        <v>0</v>
      </c>
      <c r="BI108" s="4">
        <f t="shared" si="95"/>
        <v>0</v>
      </c>
      <c r="BJ108" s="4">
        <f t="shared" si="96"/>
        <v>4291.07</v>
      </c>
      <c r="BK108" s="4">
        <f t="shared" si="97"/>
        <v>355.30059599999998</v>
      </c>
      <c r="BL108" s="4">
        <f t="shared" si="98"/>
        <v>1493.8081466139993</v>
      </c>
      <c r="BM108" s="4">
        <f t="shared" si="99"/>
        <v>50208.93</v>
      </c>
      <c r="BN108" s="4">
        <f t="shared" si="100"/>
        <v>2008.3572000000001</v>
      </c>
      <c r="BO108" s="4">
        <f t="shared" si="101"/>
        <v>2008.3572000000001</v>
      </c>
      <c r="BP108" s="4">
        <f t="shared" si="102"/>
        <v>166.29197616000002</v>
      </c>
      <c r="BQ108" s="4">
        <f t="shared" si="103"/>
        <v>56540.878580159995</v>
      </c>
      <c r="BR108" s="4">
        <f t="shared" si="104"/>
        <v>18177.892463521439</v>
      </c>
      <c r="BS108" s="4">
        <f t="shared" si="105"/>
        <v>699.14971013543982</v>
      </c>
      <c r="BT108" s="4">
        <f t="shared" si="106"/>
        <v>54366.229403999998</v>
      </c>
      <c r="BU108" s="4">
        <f t="shared" si="107"/>
        <v>59012.6</v>
      </c>
      <c r="BV108" s="7">
        <f t="shared" si="108"/>
        <v>413088.2</v>
      </c>
      <c r="BW108" s="7">
        <f t="shared" si="109"/>
        <v>324589.49596167012</v>
      </c>
    </row>
    <row r="109" spans="1:75" x14ac:dyDescent="0.3">
      <c r="A109" s="3">
        <f t="shared" si="55"/>
        <v>105</v>
      </c>
      <c r="B109" t="str">
        <f>INDEX(Employees!$A:$A,A109+1)</f>
        <v>E105</v>
      </c>
      <c r="C109" t="str">
        <f>INDEX(Employees!$A:$Z,MATCH(B109,Employees!$A:$A,0),MATCH("category",Employees!$1:$1,0))</f>
        <v>Marketing</v>
      </c>
      <c r="D109" t="str">
        <f>INDEX(Employees!$A:$Z,MATCH(B109,Employees!$A:$A,0),MATCH("gender",Employees!$1:$1,0))</f>
        <v>F</v>
      </c>
      <c r="E109" s="3">
        <f>INDEX(Employees!$A:$Z,MATCH(B109,Employees!$A:$A,0),MATCH("grade",Employees!$1:$1,0))</f>
        <v>10</v>
      </c>
      <c r="F109" s="3">
        <f>INDEX(Employees!$A:$Z,MATCH(B109,Employees!$A:$A,0),MATCH("rating",Employees!$1:$1,0))</f>
        <v>4</v>
      </c>
      <c r="G109" s="22">
        <f>INDEX(Employees!$A:$Z,MATCH(B109,Employees!$A:$A,0),MATCH("hire_date",Employees!$1:$1,0))</f>
        <v>43227</v>
      </c>
      <c r="H109" s="22">
        <f>INDEX(Employees!$A:$Z,MATCH(B109,Employees!$A:$A,0),MATCH("last_change_date",Employees!$1:$1,0))</f>
        <v>46113</v>
      </c>
      <c r="I109" s="4">
        <f>INDEX(Employees!$A:$Z,MATCH(B109,Employees!$A:$A,0),MATCH("base_salary",Employees!$1:$1,0))</f>
        <v>76994.12</v>
      </c>
      <c r="J109" s="5">
        <f>INDEX(Employees!$A:$Z,MATCH(B109,Employees!$A:$A,0),MATCH("bonus_pct",Employees!$1:$1,0))/100</f>
        <v>9.9299999999999999E-2</v>
      </c>
      <c r="K109" s="7">
        <f>INDEX(Employees!$A:$Z,MATCH(B109,Employees!$A:$A,0),MATCH("fte",Employees!$1:$1,0))</f>
        <v>1</v>
      </c>
      <c r="L109" s="3">
        <f>IF(ISNA(MATCH(C109&amp;"|"&amp;E109,Bands!$F:$F,0)),0,1)</f>
        <v>1</v>
      </c>
      <c r="M109" s="4">
        <f>INDEX(Bands!$C:$C,MATCH(C109&amp;"|"&amp;E109,Bands!$F:$F,0))</f>
        <v>66200</v>
      </c>
      <c r="N109" s="4">
        <f>INDEX(Bands!$D:$D,MATCH(C109&amp;"|"&amp;E109,Bands!$F:$F,0))</f>
        <v>82700</v>
      </c>
      <c r="O109" s="4">
        <f>INDEX(Bands!$E:$E,MATCH(C109&amp;"|"&amp;E109,Bands!$F:$F,0))</f>
        <v>99300</v>
      </c>
      <c r="P109" s="7">
        <f t="shared" si="56"/>
        <v>8.9007529089664619</v>
      </c>
      <c r="Q109" s="4">
        <f t="shared" si="57"/>
        <v>84639.636115999994</v>
      </c>
      <c r="R109" s="7">
        <f t="shared" si="58"/>
        <v>100</v>
      </c>
      <c r="S109" s="7">
        <f t="shared" si="59"/>
        <v>79.223402346474927</v>
      </c>
      <c r="T109" s="7">
        <f t="shared" si="60"/>
        <v>89.007529089664615</v>
      </c>
      <c r="U109" s="7">
        <f t="shared" si="61"/>
        <v>846396.36115999997</v>
      </c>
      <c r="V109" s="7">
        <f t="shared" si="62"/>
        <v>753356.48737334972</v>
      </c>
      <c r="W109" s="4">
        <f t="shared" si="63"/>
        <v>84639.64</v>
      </c>
      <c r="X109" s="3">
        <f t="shared" si="64"/>
        <v>22</v>
      </c>
      <c r="Y109" s="4">
        <f>INDEX(Categories!$AH:$AH,MATCH(C109,Categories!$A:$A,0))</f>
        <v>75605.01810049999</v>
      </c>
      <c r="Z109" s="3">
        <f>IF(AND(D109="F",Q109&lt;Y109,INDEX(Categories!$AI:$AI,MATCH(C109,Categories!$A:$A,0))&gt;0),1,0)</f>
        <v>0</v>
      </c>
      <c r="AA109" s="4">
        <f t="shared" si="65"/>
        <v>0</v>
      </c>
      <c r="AB109" s="4">
        <f>IF(Z109=1,INDEX(Categories!$AI:$AI,MATCH(C109,Categories!$A:$A,0))*AA109/INDEX(Categories!$AJ:$AJ,MATCH(C109,Categories!$A:$A,0)),0)</f>
        <v>0</v>
      </c>
      <c r="AC109" s="4">
        <f t="shared" si="66"/>
        <v>0</v>
      </c>
      <c r="AD109" s="4">
        <f t="shared" si="67"/>
        <v>76994.12</v>
      </c>
      <c r="AE109" s="3">
        <f t="shared" si="68"/>
        <v>0</v>
      </c>
      <c r="AF109" s="3">
        <f t="shared" si="69"/>
        <v>106</v>
      </c>
      <c r="AG109" s="3">
        <f t="shared" si="70"/>
        <v>12</v>
      </c>
      <c r="AH109" s="3">
        <f t="shared" si="71"/>
        <v>1</v>
      </c>
      <c r="AI109" s="5">
        <f t="shared" si="72"/>
        <v>0.93100507859733972</v>
      </c>
      <c r="AJ109" s="3">
        <f>MATCH(AI109,Inputs!$B$31:$B$34,1)</f>
        <v>2</v>
      </c>
      <c r="AK109" s="5">
        <f>INDEX(Inputs!$C$21:$C$25,MATCH(F109,Inputs!$A$21:$A$25,0))</f>
        <v>1.05</v>
      </c>
      <c r="AL109" s="5">
        <f>INDEX(Inputs!$D$21:$D$25,MATCH(F109,Inputs!$A$21:$A$25,0))</f>
        <v>0.01</v>
      </c>
      <c r="AM109" s="4">
        <f t="shared" si="73"/>
        <v>86835</v>
      </c>
      <c r="AN109" s="4">
        <f t="shared" si="74"/>
        <v>9840.8800000000047</v>
      </c>
      <c r="AO109" s="3">
        <f t="shared" si="75"/>
        <v>1</v>
      </c>
      <c r="AP109" s="4">
        <f t="shared" si="76"/>
        <v>23098.235999999997</v>
      </c>
      <c r="AQ109" s="4">
        <f t="shared" si="77"/>
        <v>769.94119999999998</v>
      </c>
      <c r="AR109" s="4">
        <f t="shared" si="78"/>
        <v>9840.8800000000047</v>
      </c>
      <c r="AS109" s="3">
        <f t="shared" si="79"/>
        <v>0</v>
      </c>
      <c r="AT109" s="4">
        <f t="shared" si="80"/>
        <v>9840.8800000000047</v>
      </c>
      <c r="AU109" s="4">
        <f t="shared" si="81"/>
        <v>22305.880000000005</v>
      </c>
      <c r="AV109" s="4">
        <f t="shared" si="82"/>
        <v>9840.8800000000047</v>
      </c>
      <c r="AW109" s="4">
        <f t="shared" si="83"/>
        <v>9840.8800000000047</v>
      </c>
      <c r="AX109" s="5">
        <f t="shared" si="84"/>
        <v>0.12781339665938132</v>
      </c>
      <c r="AY109" s="4">
        <f t="shared" si="85"/>
        <v>86835</v>
      </c>
      <c r="AZ109" s="3">
        <f t="shared" si="86"/>
        <v>0</v>
      </c>
      <c r="BA109" s="4">
        <f t="shared" si="87"/>
        <v>84639.636115999994</v>
      </c>
      <c r="BB109" s="4">
        <f t="shared" si="88"/>
        <v>19919.154903606399</v>
      </c>
      <c r="BC109" s="4">
        <f t="shared" si="89"/>
        <v>84639.636115999994</v>
      </c>
      <c r="BD109" s="4">
        <f t="shared" si="90"/>
        <v>19919.154903606399</v>
      </c>
      <c r="BE109" s="4">
        <f t="shared" si="91"/>
        <v>95457.715499999991</v>
      </c>
      <c r="BF109" s="4">
        <f t="shared" si="92"/>
        <v>20038.207937099996</v>
      </c>
      <c r="BG109" s="4">
        <f t="shared" si="93"/>
        <v>0</v>
      </c>
      <c r="BH109" s="4">
        <f t="shared" si="94"/>
        <v>0</v>
      </c>
      <c r="BI109" s="4">
        <f t="shared" si="95"/>
        <v>0</v>
      </c>
      <c r="BJ109" s="4">
        <f t="shared" si="96"/>
        <v>9840.8800000000047</v>
      </c>
      <c r="BK109" s="4">
        <f t="shared" si="97"/>
        <v>977.19938400000046</v>
      </c>
      <c r="BL109" s="4">
        <f t="shared" si="98"/>
        <v>119.05303349359747</v>
      </c>
      <c r="BM109" s="4">
        <f t="shared" si="99"/>
        <v>76994.12</v>
      </c>
      <c r="BN109" s="4">
        <f t="shared" si="100"/>
        <v>3079.7647999999999</v>
      </c>
      <c r="BO109" s="4">
        <f t="shared" si="101"/>
        <v>3079.7647999999999</v>
      </c>
      <c r="BP109" s="4">
        <f t="shared" si="102"/>
        <v>305.82064464000001</v>
      </c>
      <c r="BQ109" s="4">
        <f t="shared" si="103"/>
        <v>88025.221560639999</v>
      </c>
      <c r="BR109" s="4">
        <f t="shared" si="104"/>
        <v>19954.364992230654</v>
      </c>
      <c r="BS109" s="4">
        <f t="shared" si="105"/>
        <v>35.21008862425515</v>
      </c>
      <c r="BT109" s="4">
        <f t="shared" si="106"/>
        <v>84639.636115999994</v>
      </c>
      <c r="BU109" s="4">
        <f t="shared" si="107"/>
        <v>95457.715499999991</v>
      </c>
      <c r="BV109" s="7">
        <f t="shared" si="108"/>
        <v>954577.15499999991</v>
      </c>
      <c r="BW109" s="7">
        <f t="shared" si="109"/>
        <v>849645.53891991789</v>
      </c>
    </row>
    <row r="110" spans="1:75" x14ac:dyDescent="0.3">
      <c r="A110" s="3">
        <f t="shared" si="55"/>
        <v>106</v>
      </c>
      <c r="B110" t="str">
        <f>INDEX(Employees!$A:$A,A110+1)</f>
        <v>E106</v>
      </c>
      <c r="C110" t="str">
        <f>INDEX(Employees!$A:$Z,MATCH(B110,Employees!$A:$A,0),MATCH("category",Employees!$1:$1,0))</f>
        <v>Marketing</v>
      </c>
      <c r="D110" t="str">
        <f>INDEX(Employees!$A:$Z,MATCH(B110,Employees!$A:$A,0),MATCH("gender",Employees!$1:$1,0))</f>
        <v>F</v>
      </c>
      <c r="E110" s="3">
        <f>INDEX(Employees!$A:$Z,MATCH(B110,Employees!$A:$A,0),MATCH("grade",Employees!$1:$1,0))</f>
        <v>10</v>
      </c>
      <c r="F110" s="3">
        <f>INDEX(Employees!$A:$Z,MATCH(B110,Employees!$A:$A,0),MATCH("rating",Employees!$1:$1,0))</f>
        <v>3</v>
      </c>
      <c r="G110" s="22">
        <f>INDEX(Employees!$A:$Z,MATCH(B110,Employees!$A:$A,0),MATCH("hire_date",Employees!$1:$1,0))</f>
        <v>42058</v>
      </c>
      <c r="H110" s="22">
        <f>INDEX(Employees!$A:$Z,MATCH(B110,Employees!$A:$A,0),MATCH("last_change_date",Employees!$1:$1,0))</f>
        <v>46113</v>
      </c>
      <c r="I110" s="4">
        <f>INDEX(Employees!$A:$Z,MATCH(B110,Employees!$A:$A,0),MATCH("base_salary",Employees!$1:$1,0))</f>
        <v>81139.86</v>
      </c>
      <c r="J110" s="5">
        <f>INDEX(Employees!$A:$Z,MATCH(B110,Employees!$A:$A,0),MATCH("bonus_pct",Employees!$1:$1,0))/100</f>
        <v>7.6999999999999999E-2</v>
      </c>
      <c r="K110" s="7">
        <f>INDEX(Employees!$A:$Z,MATCH(B110,Employees!$A:$A,0),MATCH("fte",Employees!$1:$1,0))</f>
        <v>1</v>
      </c>
      <c r="L110" s="3">
        <f>IF(ISNA(MATCH(C110&amp;"|"&amp;E110,Bands!$F:$F,0)),0,1)</f>
        <v>1</v>
      </c>
      <c r="M110" s="4">
        <f>INDEX(Bands!$C:$C,MATCH(C110&amp;"|"&amp;E110,Bands!$F:$F,0))</f>
        <v>66200</v>
      </c>
      <c r="N110" s="4">
        <f>INDEX(Bands!$D:$D,MATCH(C110&amp;"|"&amp;E110,Bands!$F:$F,0))</f>
        <v>82700</v>
      </c>
      <c r="O110" s="4">
        <f>INDEX(Bands!$E:$E,MATCH(C110&amp;"|"&amp;E110,Bands!$F:$F,0))</f>
        <v>99300</v>
      </c>
      <c r="P110" s="7">
        <f t="shared" si="56"/>
        <v>12.101300479123887</v>
      </c>
      <c r="Q110" s="4">
        <f t="shared" si="57"/>
        <v>87387.629220000003</v>
      </c>
      <c r="R110" s="7">
        <f t="shared" si="58"/>
        <v>100</v>
      </c>
      <c r="S110" s="7">
        <f t="shared" si="59"/>
        <v>146.44147328604402</v>
      </c>
      <c r="T110" s="7">
        <f t="shared" si="60"/>
        <v>121.01300479123887</v>
      </c>
      <c r="U110" s="7">
        <f t="shared" si="61"/>
        <v>873876.29220000003</v>
      </c>
      <c r="V110" s="7">
        <f t="shared" si="62"/>
        <v>1057503.9593494867</v>
      </c>
      <c r="W110" s="4">
        <f t="shared" si="63"/>
        <v>87387.63</v>
      </c>
      <c r="X110" s="3">
        <f t="shared" si="64"/>
        <v>23</v>
      </c>
      <c r="Y110" s="4">
        <f>INDEX(Categories!$AH:$AH,MATCH(C110,Categories!$A:$A,0))</f>
        <v>75605.01810049999</v>
      </c>
      <c r="Z110" s="3">
        <f>IF(AND(D110="F",Q110&lt;Y110,INDEX(Categories!$AI:$AI,MATCH(C110,Categories!$A:$A,0))&gt;0),1,0)</f>
        <v>0</v>
      </c>
      <c r="AA110" s="4">
        <f t="shared" si="65"/>
        <v>0</v>
      </c>
      <c r="AB110" s="4">
        <f>IF(Z110=1,INDEX(Categories!$AI:$AI,MATCH(C110,Categories!$A:$A,0))*AA110/INDEX(Categories!$AJ:$AJ,MATCH(C110,Categories!$A:$A,0)),0)</f>
        <v>0</v>
      </c>
      <c r="AC110" s="4">
        <f t="shared" si="66"/>
        <v>0</v>
      </c>
      <c r="AD110" s="4">
        <f t="shared" si="67"/>
        <v>81139.86</v>
      </c>
      <c r="AE110" s="3">
        <f t="shared" si="68"/>
        <v>0</v>
      </c>
      <c r="AF110" s="3">
        <f t="shared" si="69"/>
        <v>145</v>
      </c>
      <c r="AG110" s="3">
        <f t="shared" si="70"/>
        <v>12</v>
      </c>
      <c r="AH110" s="3">
        <f t="shared" si="71"/>
        <v>1</v>
      </c>
      <c r="AI110" s="5">
        <f t="shared" si="72"/>
        <v>0.98113494558645709</v>
      </c>
      <c r="AJ110" s="3">
        <f>MATCH(AI110,Inputs!$B$31:$B$34,1)</f>
        <v>2</v>
      </c>
      <c r="AK110" s="5">
        <f>INDEX(Inputs!$C$21:$C$25,MATCH(F110,Inputs!$A$21:$A$25,0))</f>
        <v>1</v>
      </c>
      <c r="AL110" s="5">
        <f>INDEX(Inputs!$D$21:$D$25,MATCH(F110,Inputs!$A$21:$A$25,0))</f>
        <v>0</v>
      </c>
      <c r="AM110" s="4">
        <f t="shared" si="73"/>
        <v>82700</v>
      </c>
      <c r="AN110" s="4">
        <f t="shared" si="74"/>
        <v>1560.1399999999994</v>
      </c>
      <c r="AO110" s="3">
        <f t="shared" si="75"/>
        <v>1</v>
      </c>
      <c r="AP110" s="4">
        <f t="shared" si="76"/>
        <v>24341.957999999999</v>
      </c>
      <c r="AQ110" s="4">
        <f t="shared" si="77"/>
        <v>0</v>
      </c>
      <c r="AR110" s="4">
        <f t="shared" si="78"/>
        <v>1560.1399999999994</v>
      </c>
      <c r="AS110" s="3">
        <f t="shared" si="79"/>
        <v>0</v>
      </c>
      <c r="AT110" s="4">
        <f t="shared" si="80"/>
        <v>1560.1399999999994</v>
      </c>
      <c r="AU110" s="4">
        <f t="shared" si="81"/>
        <v>18160.14</v>
      </c>
      <c r="AV110" s="4">
        <f t="shared" si="82"/>
        <v>1560.1399999999994</v>
      </c>
      <c r="AW110" s="4">
        <f t="shared" si="83"/>
        <v>1560.1399999999994</v>
      </c>
      <c r="AX110" s="5">
        <f t="shared" si="84"/>
        <v>1.9227787674270073E-2</v>
      </c>
      <c r="AY110" s="4">
        <f t="shared" si="85"/>
        <v>82700</v>
      </c>
      <c r="AZ110" s="3">
        <f t="shared" si="86"/>
        <v>0</v>
      </c>
      <c r="BA110" s="4">
        <f t="shared" si="87"/>
        <v>87387.629220000003</v>
      </c>
      <c r="BB110" s="4">
        <f t="shared" si="88"/>
        <v>19947.734031887998</v>
      </c>
      <c r="BC110" s="4">
        <f t="shared" si="89"/>
        <v>87387.629220000003</v>
      </c>
      <c r="BD110" s="4">
        <f t="shared" si="90"/>
        <v>19947.734031887998</v>
      </c>
      <c r="BE110" s="4">
        <f t="shared" si="91"/>
        <v>89067.9</v>
      </c>
      <c r="BF110" s="4">
        <f t="shared" si="92"/>
        <v>19965.208847999998</v>
      </c>
      <c r="BG110" s="4">
        <f t="shared" si="93"/>
        <v>0</v>
      </c>
      <c r="BH110" s="4">
        <f t="shared" si="94"/>
        <v>0</v>
      </c>
      <c r="BI110" s="4">
        <f t="shared" si="95"/>
        <v>0</v>
      </c>
      <c r="BJ110" s="4">
        <f t="shared" si="96"/>
        <v>1560.1399999999994</v>
      </c>
      <c r="BK110" s="4">
        <f t="shared" si="97"/>
        <v>120.13077999999996</v>
      </c>
      <c r="BL110" s="4">
        <f t="shared" si="98"/>
        <v>17.474816112000553</v>
      </c>
      <c r="BM110" s="4">
        <f t="shared" si="99"/>
        <v>81139.86</v>
      </c>
      <c r="BN110" s="4">
        <f t="shared" si="100"/>
        <v>3245.5944</v>
      </c>
      <c r="BO110" s="4">
        <f t="shared" si="101"/>
        <v>3245.5944</v>
      </c>
      <c r="BP110" s="4">
        <f t="shared" si="102"/>
        <v>249.9107688</v>
      </c>
      <c r="BQ110" s="4">
        <f t="shared" si="103"/>
        <v>90883.134388799997</v>
      </c>
      <c r="BR110" s="4">
        <f t="shared" si="104"/>
        <v>19984.087285643516</v>
      </c>
      <c r="BS110" s="4">
        <f t="shared" si="105"/>
        <v>36.353253755518381</v>
      </c>
      <c r="BT110" s="4">
        <f t="shared" si="106"/>
        <v>87387.629220000003</v>
      </c>
      <c r="BU110" s="4">
        <f t="shared" si="107"/>
        <v>89067.9</v>
      </c>
      <c r="BV110" s="7">
        <f t="shared" si="108"/>
        <v>890679</v>
      </c>
      <c r="BW110" s="7">
        <f t="shared" si="109"/>
        <v>1077837.4209445585</v>
      </c>
    </row>
    <row r="111" spans="1:75" x14ac:dyDescent="0.3">
      <c r="A111" s="3">
        <f t="shared" si="55"/>
        <v>107</v>
      </c>
      <c r="B111" t="str">
        <f>INDEX(Employees!$A:$A,A111+1)</f>
        <v>E107</v>
      </c>
      <c r="C111" t="str">
        <f>INDEX(Employees!$A:$Z,MATCH(B111,Employees!$A:$A,0),MATCH("category",Employees!$1:$1,0))</f>
        <v>Marketing</v>
      </c>
      <c r="D111" t="str">
        <f>INDEX(Employees!$A:$Z,MATCH(B111,Employees!$A:$A,0),MATCH("gender",Employees!$1:$1,0))</f>
        <v>F</v>
      </c>
      <c r="E111" s="3">
        <f>INDEX(Employees!$A:$Z,MATCH(B111,Employees!$A:$A,0),MATCH("grade",Employees!$1:$1,0))</f>
        <v>7</v>
      </c>
      <c r="F111" s="3">
        <f>INDEX(Employees!$A:$Z,MATCH(B111,Employees!$A:$A,0),MATCH("rating",Employees!$1:$1,0))</f>
        <v>2</v>
      </c>
      <c r="G111" s="22">
        <f>INDEX(Employees!$A:$Z,MATCH(B111,Employees!$A:$A,0),MATCH("hire_date",Employees!$1:$1,0))</f>
        <v>43593</v>
      </c>
      <c r="H111" s="22">
        <f>INDEX(Employees!$A:$Z,MATCH(B111,Employees!$A:$A,0),MATCH("last_change_date",Employees!$1:$1,0))</f>
        <v>46113</v>
      </c>
      <c r="I111" s="4">
        <f>INDEX(Employees!$A:$Z,MATCH(B111,Employees!$A:$A,0),MATCH("base_salary",Employees!$1:$1,0))</f>
        <v>57551.82</v>
      </c>
      <c r="J111" s="5">
        <f>INDEX(Employees!$A:$Z,MATCH(B111,Employees!$A:$A,0),MATCH("bonus_pct",Employees!$1:$1,0))/100</f>
        <v>7.9500000000000001E-2</v>
      </c>
      <c r="K111" s="7">
        <f>INDEX(Employees!$A:$Z,MATCH(B111,Employees!$A:$A,0),MATCH("fte",Employees!$1:$1,0))</f>
        <v>1</v>
      </c>
      <c r="L111" s="3">
        <f>IF(ISNA(MATCH(C111&amp;"|"&amp;E111,Bands!$F:$F,0)),0,1)</f>
        <v>1</v>
      </c>
      <c r="M111" s="4">
        <f>INDEX(Bands!$C:$C,MATCH(C111&amp;"|"&amp;E111,Bands!$F:$F,0))</f>
        <v>45400</v>
      </c>
      <c r="N111" s="4">
        <f>INDEX(Bands!$D:$D,MATCH(C111&amp;"|"&amp;E111,Bands!$F:$F,0))</f>
        <v>54500</v>
      </c>
      <c r="O111" s="4">
        <f>INDEX(Bands!$E:$E,MATCH(C111&amp;"|"&amp;E111,Bands!$F:$F,0))</f>
        <v>63600</v>
      </c>
      <c r="P111" s="7">
        <f t="shared" si="56"/>
        <v>7.8986995208761126</v>
      </c>
      <c r="Q111" s="4">
        <f t="shared" si="57"/>
        <v>62127.189689999992</v>
      </c>
      <c r="R111" s="7">
        <f t="shared" si="58"/>
        <v>49</v>
      </c>
      <c r="S111" s="7">
        <f t="shared" si="59"/>
        <v>62.389454121088534</v>
      </c>
      <c r="T111" s="7">
        <f t="shared" si="60"/>
        <v>55.290896646132786</v>
      </c>
      <c r="U111" s="7">
        <f t="shared" si="61"/>
        <v>434890.32782999997</v>
      </c>
      <c r="V111" s="7">
        <f t="shared" si="62"/>
        <v>490724.00343778229</v>
      </c>
      <c r="W111" s="4">
        <f t="shared" si="63"/>
        <v>62127.19</v>
      </c>
      <c r="X111" s="3">
        <f t="shared" si="64"/>
        <v>8</v>
      </c>
      <c r="Y111" s="4">
        <f>INDEX(Categories!$AH:$AH,MATCH(C111,Categories!$A:$A,0))</f>
        <v>75605.01810049999</v>
      </c>
      <c r="Z111" s="3">
        <f>IF(AND(D111="F",Q111&lt;Y111,INDEX(Categories!$AI:$AI,MATCH(C111,Categories!$A:$A,0))&gt;0),1,0)</f>
        <v>0</v>
      </c>
      <c r="AA111" s="4">
        <f t="shared" si="65"/>
        <v>0</v>
      </c>
      <c r="AB111" s="4">
        <f>IF(Z111=1,INDEX(Categories!$AI:$AI,MATCH(C111,Categories!$A:$A,0))*AA111/INDEX(Categories!$AJ:$AJ,MATCH(C111,Categories!$A:$A,0)),0)</f>
        <v>0</v>
      </c>
      <c r="AC111" s="4">
        <f t="shared" si="66"/>
        <v>0</v>
      </c>
      <c r="AD111" s="4">
        <f t="shared" si="67"/>
        <v>57551.82</v>
      </c>
      <c r="AE111" s="3">
        <f t="shared" si="68"/>
        <v>0</v>
      </c>
      <c r="AF111" s="3">
        <f t="shared" si="69"/>
        <v>94</v>
      </c>
      <c r="AG111" s="3">
        <f t="shared" si="70"/>
        <v>12</v>
      </c>
      <c r="AH111" s="3">
        <f t="shared" si="71"/>
        <v>1</v>
      </c>
      <c r="AI111" s="5">
        <f t="shared" si="72"/>
        <v>1.0559966972477064</v>
      </c>
      <c r="AJ111" s="3">
        <f>MATCH(AI111,Inputs!$B$31:$B$34,1)</f>
        <v>3</v>
      </c>
      <c r="AK111" s="5">
        <f>INDEX(Inputs!$C$21:$C$25,MATCH(F111,Inputs!$A$21:$A$25,0))</f>
        <v>0.95</v>
      </c>
      <c r="AL111" s="5">
        <f>INDEX(Inputs!$D$21:$D$25,MATCH(F111,Inputs!$A$21:$A$25,0))</f>
        <v>0</v>
      </c>
      <c r="AM111" s="4">
        <f t="shared" si="73"/>
        <v>51775</v>
      </c>
      <c r="AN111" s="4">
        <f t="shared" si="74"/>
        <v>0</v>
      </c>
      <c r="AO111" s="3">
        <f t="shared" si="75"/>
        <v>1</v>
      </c>
      <c r="AP111" s="4">
        <f t="shared" si="76"/>
        <v>17265.545999999998</v>
      </c>
      <c r="AQ111" s="4">
        <f t="shared" si="77"/>
        <v>0</v>
      </c>
      <c r="AR111" s="4">
        <f t="shared" si="78"/>
        <v>0</v>
      </c>
      <c r="AS111" s="3">
        <f t="shared" si="79"/>
        <v>0</v>
      </c>
      <c r="AT111" s="4">
        <f t="shared" si="80"/>
        <v>0</v>
      </c>
      <c r="AU111" s="4">
        <f t="shared" si="81"/>
        <v>6048.18</v>
      </c>
      <c r="AV111" s="4">
        <f t="shared" si="82"/>
        <v>0</v>
      </c>
      <c r="AW111" s="4">
        <f t="shared" si="83"/>
        <v>0</v>
      </c>
      <c r="AX111" s="5">
        <f t="shared" si="84"/>
        <v>0</v>
      </c>
      <c r="AY111" s="4">
        <f t="shared" si="85"/>
        <v>57551.82</v>
      </c>
      <c r="AZ111" s="3">
        <f t="shared" si="86"/>
        <v>0</v>
      </c>
      <c r="BA111" s="4">
        <f t="shared" si="87"/>
        <v>62127.189689999992</v>
      </c>
      <c r="BB111" s="4">
        <f t="shared" si="88"/>
        <v>19689.192381024</v>
      </c>
      <c r="BC111" s="4">
        <f t="shared" si="89"/>
        <v>62127.189689999992</v>
      </c>
      <c r="BD111" s="4">
        <f t="shared" si="90"/>
        <v>19689.192381024</v>
      </c>
      <c r="BE111" s="4">
        <f t="shared" si="91"/>
        <v>62127.189689999992</v>
      </c>
      <c r="BF111" s="4">
        <f t="shared" si="92"/>
        <v>19689.192381024</v>
      </c>
      <c r="BG111" s="4">
        <f t="shared" si="93"/>
        <v>0</v>
      </c>
      <c r="BH111" s="4">
        <f t="shared" si="94"/>
        <v>0</v>
      </c>
      <c r="BI111" s="4">
        <f t="shared" si="95"/>
        <v>0</v>
      </c>
      <c r="BJ111" s="4">
        <f t="shared" si="96"/>
        <v>0</v>
      </c>
      <c r="BK111" s="4">
        <f t="shared" si="97"/>
        <v>0</v>
      </c>
      <c r="BL111" s="4">
        <f t="shared" si="98"/>
        <v>0</v>
      </c>
      <c r="BM111" s="4">
        <f t="shared" si="99"/>
        <v>57551.82</v>
      </c>
      <c r="BN111" s="4">
        <f t="shared" si="100"/>
        <v>2302.0727999999999</v>
      </c>
      <c r="BO111" s="4">
        <f t="shared" si="101"/>
        <v>2302.0727999999999</v>
      </c>
      <c r="BP111" s="4">
        <f t="shared" si="102"/>
        <v>183.01478760000001</v>
      </c>
      <c r="BQ111" s="4">
        <f t="shared" si="103"/>
        <v>64612.277277599998</v>
      </c>
      <c r="BR111" s="4">
        <f t="shared" si="104"/>
        <v>19713.04922186496</v>
      </c>
      <c r="BS111" s="4">
        <f t="shared" si="105"/>
        <v>23.856840840959194</v>
      </c>
      <c r="BT111" s="4">
        <f t="shared" si="106"/>
        <v>62127.189689999992</v>
      </c>
      <c r="BU111" s="4">
        <f t="shared" si="107"/>
        <v>62127.189689999992</v>
      </c>
      <c r="BV111" s="7">
        <f t="shared" si="108"/>
        <v>434890.32782999997</v>
      </c>
      <c r="BW111" s="7">
        <f t="shared" si="109"/>
        <v>490724.00343778229</v>
      </c>
    </row>
    <row r="112" spans="1:75" x14ac:dyDescent="0.3">
      <c r="A112" s="3">
        <f t="shared" si="55"/>
        <v>108</v>
      </c>
      <c r="B112" t="str">
        <f>INDEX(Employees!$A:$A,A112+1)</f>
        <v>E108</v>
      </c>
      <c r="C112" t="str">
        <f>INDEX(Employees!$A:$Z,MATCH(B112,Employees!$A:$A,0),MATCH("category",Employees!$1:$1,0))</f>
        <v>Marketing</v>
      </c>
      <c r="D112" t="str">
        <f>INDEX(Employees!$A:$Z,MATCH(B112,Employees!$A:$A,0),MATCH("gender",Employees!$1:$1,0))</f>
        <v>F</v>
      </c>
      <c r="E112" s="3">
        <f>INDEX(Employees!$A:$Z,MATCH(B112,Employees!$A:$A,0),MATCH("grade",Employees!$1:$1,0))</f>
        <v>6</v>
      </c>
      <c r="F112" s="3">
        <f>INDEX(Employees!$A:$Z,MATCH(B112,Employees!$A:$A,0),MATCH("rating",Employees!$1:$1,0))</f>
        <v>4</v>
      </c>
      <c r="G112" s="22">
        <f>INDEX(Employees!$A:$Z,MATCH(B112,Employees!$A:$A,0),MATCH("hire_date",Employees!$1:$1,0))</f>
        <v>44980</v>
      </c>
      <c r="H112" s="22">
        <f>INDEX(Employees!$A:$Z,MATCH(B112,Employees!$A:$A,0),MATCH("last_change_date",Employees!$1:$1,0))</f>
        <v>46113</v>
      </c>
      <c r="I112" s="4">
        <f>INDEX(Employees!$A:$Z,MATCH(B112,Employees!$A:$A,0),MATCH("base_salary",Employees!$1:$1,0))</f>
        <v>52826.67</v>
      </c>
      <c r="J112" s="5">
        <f>INDEX(Employees!$A:$Z,MATCH(B112,Employees!$A:$A,0),MATCH("bonus_pct",Employees!$1:$1,0))/100</f>
        <v>0.1244</v>
      </c>
      <c r="K112" s="7">
        <f>INDEX(Employees!$A:$Z,MATCH(B112,Employees!$A:$A,0),MATCH("fte",Employees!$1:$1,0))</f>
        <v>1</v>
      </c>
      <c r="L112" s="3">
        <f>IF(ISNA(MATCH(C112&amp;"|"&amp;E112,Bands!$F:$F,0)),0,1)</f>
        <v>1</v>
      </c>
      <c r="M112" s="4">
        <f>INDEX(Bands!$C:$C,MATCH(C112&amp;"|"&amp;E112,Bands!$F:$F,0))</f>
        <v>39400</v>
      </c>
      <c r="N112" s="4">
        <f>INDEX(Bands!$D:$D,MATCH(C112&amp;"|"&amp;E112,Bands!$F:$F,0))</f>
        <v>47300</v>
      </c>
      <c r="O112" s="4">
        <f>INDEX(Bands!$E:$E,MATCH(C112&amp;"|"&amp;E112,Bands!$F:$F,0))</f>
        <v>55200</v>
      </c>
      <c r="P112" s="7">
        <f t="shared" si="56"/>
        <v>4.1013004791238874</v>
      </c>
      <c r="Q112" s="4">
        <f t="shared" si="57"/>
        <v>59398.307747999999</v>
      </c>
      <c r="R112" s="7">
        <f t="shared" si="58"/>
        <v>36</v>
      </c>
      <c r="S112" s="7">
        <f t="shared" si="59"/>
        <v>16.820665620061828</v>
      </c>
      <c r="T112" s="7">
        <f t="shared" si="60"/>
        <v>24.607802874743324</v>
      </c>
      <c r="U112" s="7">
        <f t="shared" si="61"/>
        <v>356389.84648800001</v>
      </c>
      <c r="V112" s="7">
        <f t="shared" si="62"/>
        <v>243610.3080260205</v>
      </c>
      <c r="W112" s="4">
        <f t="shared" si="63"/>
        <v>59398.31</v>
      </c>
      <c r="X112" s="3">
        <f t="shared" si="64"/>
        <v>6</v>
      </c>
      <c r="Y112" s="4">
        <f>INDEX(Categories!$AH:$AH,MATCH(C112,Categories!$A:$A,0))</f>
        <v>75605.01810049999</v>
      </c>
      <c r="Z112" s="3">
        <f>IF(AND(D112="F",Q112&lt;Y112,INDEX(Categories!$AI:$AI,MATCH(C112,Categories!$A:$A,0))&gt;0),1,0)</f>
        <v>0</v>
      </c>
      <c r="AA112" s="4">
        <f t="shared" si="65"/>
        <v>0</v>
      </c>
      <c r="AB112" s="4">
        <f>IF(Z112=1,INDEX(Categories!$AI:$AI,MATCH(C112,Categories!$A:$A,0))*AA112/INDEX(Categories!$AJ:$AJ,MATCH(C112,Categories!$A:$A,0)),0)</f>
        <v>0</v>
      </c>
      <c r="AC112" s="4">
        <f t="shared" si="66"/>
        <v>0</v>
      </c>
      <c r="AD112" s="4">
        <f t="shared" si="67"/>
        <v>52826.67</v>
      </c>
      <c r="AE112" s="3">
        <f t="shared" si="68"/>
        <v>0</v>
      </c>
      <c r="AF112" s="3">
        <f t="shared" si="69"/>
        <v>49</v>
      </c>
      <c r="AG112" s="3">
        <f t="shared" si="70"/>
        <v>12</v>
      </c>
      <c r="AH112" s="3">
        <f t="shared" si="71"/>
        <v>1</v>
      </c>
      <c r="AI112" s="5">
        <f t="shared" si="72"/>
        <v>1.1168429175475687</v>
      </c>
      <c r="AJ112" s="3">
        <f>MATCH(AI112,Inputs!$B$31:$B$34,1)</f>
        <v>4</v>
      </c>
      <c r="AK112" s="5">
        <f>INDEX(Inputs!$C$21:$C$25,MATCH(F112,Inputs!$A$21:$A$25,0))</f>
        <v>1.05</v>
      </c>
      <c r="AL112" s="5">
        <f>INDEX(Inputs!$D$21:$D$25,MATCH(F112,Inputs!$A$21:$A$25,0))</f>
        <v>0.01</v>
      </c>
      <c r="AM112" s="4">
        <f t="shared" si="73"/>
        <v>49665</v>
      </c>
      <c r="AN112" s="4">
        <f t="shared" si="74"/>
        <v>0</v>
      </c>
      <c r="AO112" s="3">
        <f t="shared" si="75"/>
        <v>1</v>
      </c>
      <c r="AP112" s="4">
        <f t="shared" si="76"/>
        <v>15848.000999999998</v>
      </c>
      <c r="AQ112" s="4">
        <f t="shared" si="77"/>
        <v>528.26670000000001</v>
      </c>
      <c r="AR112" s="4">
        <f t="shared" si="78"/>
        <v>528.26670000000001</v>
      </c>
      <c r="AS112" s="3">
        <f t="shared" si="79"/>
        <v>0</v>
      </c>
      <c r="AT112" s="4">
        <f t="shared" si="80"/>
        <v>528.26670000000001</v>
      </c>
      <c r="AU112" s="4">
        <f t="shared" si="81"/>
        <v>2373.3300000000017</v>
      </c>
      <c r="AV112" s="4">
        <f t="shared" si="82"/>
        <v>528.26670000000001</v>
      </c>
      <c r="AW112" s="4">
        <f t="shared" si="83"/>
        <v>528.26670000000001</v>
      </c>
      <c r="AX112" s="5">
        <f t="shared" si="84"/>
        <v>0.01</v>
      </c>
      <c r="AY112" s="4">
        <f t="shared" si="85"/>
        <v>53354.936699999998</v>
      </c>
      <c r="AZ112" s="3">
        <f t="shared" si="86"/>
        <v>0</v>
      </c>
      <c r="BA112" s="4">
        <f t="shared" si="87"/>
        <v>59398.307747999999</v>
      </c>
      <c r="BB112" s="4">
        <f t="shared" si="88"/>
        <v>19096.555940982002</v>
      </c>
      <c r="BC112" s="4">
        <f t="shared" si="89"/>
        <v>59398.307747999999</v>
      </c>
      <c r="BD112" s="4">
        <f t="shared" si="90"/>
        <v>19096.555940982002</v>
      </c>
      <c r="BE112" s="4">
        <f t="shared" si="91"/>
        <v>59992.290825479999</v>
      </c>
      <c r="BF112" s="4">
        <f t="shared" si="92"/>
        <v>19287.52150039182</v>
      </c>
      <c r="BG112" s="4">
        <f t="shared" si="93"/>
        <v>0</v>
      </c>
      <c r="BH112" s="4">
        <f t="shared" si="94"/>
        <v>0</v>
      </c>
      <c r="BI112" s="4">
        <f t="shared" si="95"/>
        <v>0</v>
      </c>
      <c r="BJ112" s="4">
        <f t="shared" si="96"/>
        <v>528.26670000000001</v>
      </c>
      <c r="BK112" s="4">
        <f t="shared" si="97"/>
        <v>65.716377480000006</v>
      </c>
      <c r="BL112" s="4">
        <f t="shared" si="98"/>
        <v>190.96555940981852</v>
      </c>
      <c r="BM112" s="4">
        <f t="shared" si="99"/>
        <v>52826.67</v>
      </c>
      <c r="BN112" s="4">
        <f t="shared" si="100"/>
        <v>2113.0668000000001</v>
      </c>
      <c r="BO112" s="4">
        <f t="shared" si="101"/>
        <v>2113.0668000000001</v>
      </c>
      <c r="BP112" s="4">
        <f t="shared" si="102"/>
        <v>262.86550992000002</v>
      </c>
      <c r="BQ112" s="4">
        <f t="shared" si="103"/>
        <v>61774.240057920004</v>
      </c>
      <c r="BR112" s="4">
        <f t="shared" si="104"/>
        <v>19685.804064556032</v>
      </c>
      <c r="BS112" s="4">
        <f t="shared" si="105"/>
        <v>589.24812357403061</v>
      </c>
      <c r="BT112" s="4">
        <f t="shared" si="106"/>
        <v>59398.307747999999</v>
      </c>
      <c r="BU112" s="4">
        <f t="shared" si="107"/>
        <v>59992.290825479999</v>
      </c>
      <c r="BV112" s="7">
        <f t="shared" si="108"/>
        <v>359953.74495287996</v>
      </c>
      <c r="BW112" s="7">
        <f t="shared" si="109"/>
        <v>246046.41110628072</v>
      </c>
    </row>
    <row r="113" spans="1:75" x14ac:dyDescent="0.3">
      <c r="A113" s="3">
        <f t="shared" si="55"/>
        <v>109</v>
      </c>
      <c r="B113" t="str">
        <f>INDEX(Employees!$A:$A,A113+1)</f>
        <v>E109</v>
      </c>
      <c r="C113" t="str">
        <f>INDEX(Employees!$A:$Z,MATCH(B113,Employees!$A:$A,0),MATCH("category",Employees!$1:$1,0))</f>
        <v>Marketing</v>
      </c>
      <c r="D113" t="str">
        <f>INDEX(Employees!$A:$Z,MATCH(B113,Employees!$A:$A,0),MATCH("gender",Employees!$1:$1,0))</f>
        <v>M</v>
      </c>
      <c r="E113" s="3">
        <f>INDEX(Employees!$A:$Z,MATCH(B113,Employees!$A:$A,0),MATCH("grade",Employees!$1:$1,0))</f>
        <v>7</v>
      </c>
      <c r="F113" s="3">
        <f>INDEX(Employees!$A:$Z,MATCH(B113,Employees!$A:$A,0),MATCH("rating",Employees!$1:$1,0))</f>
        <v>3</v>
      </c>
      <c r="G113" s="22">
        <f>INDEX(Employees!$A:$Z,MATCH(B113,Employees!$A:$A,0),MATCH("hire_date",Employees!$1:$1,0))</f>
        <v>44469</v>
      </c>
      <c r="H113" s="22">
        <f>INDEX(Employees!$A:$Z,MATCH(B113,Employees!$A:$A,0),MATCH("last_change_date",Employees!$1:$1,0))</f>
        <v>46113</v>
      </c>
      <c r="I113" s="4">
        <f>INDEX(Employees!$A:$Z,MATCH(B113,Employees!$A:$A,0),MATCH("base_salary",Employees!$1:$1,0))</f>
        <v>52476.79</v>
      </c>
      <c r="J113" s="5">
        <f>INDEX(Employees!$A:$Z,MATCH(B113,Employees!$A:$A,0),MATCH("bonus_pct",Employees!$1:$1,0))/100</f>
        <v>0.1231</v>
      </c>
      <c r="K113" s="7">
        <f>INDEX(Employees!$A:$Z,MATCH(B113,Employees!$A:$A,0),MATCH("fte",Employees!$1:$1,0))</f>
        <v>1</v>
      </c>
      <c r="L113" s="3">
        <f>IF(ISNA(MATCH(C113&amp;"|"&amp;E113,Bands!$F:$F,0)),0,1)</f>
        <v>1</v>
      </c>
      <c r="M113" s="4">
        <f>INDEX(Bands!$C:$C,MATCH(C113&amp;"|"&amp;E113,Bands!$F:$F,0))</f>
        <v>45400</v>
      </c>
      <c r="N113" s="4">
        <f>INDEX(Bands!$D:$D,MATCH(C113&amp;"|"&amp;E113,Bands!$F:$F,0))</f>
        <v>54500</v>
      </c>
      <c r="O113" s="4">
        <f>INDEX(Bands!$E:$E,MATCH(C113&amp;"|"&amp;E113,Bands!$F:$F,0))</f>
        <v>63600</v>
      </c>
      <c r="P113" s="7">
        <f t="shared" si="56"/>
        <v>5.5003422313483918</v>
      </c>
      <c r="Q113" s="4">
        <f t="shared" si="57"/>
        <v>58936.682848999997</v>
      </c>
      <c r="R113" s="7">
        <f t="shared" si="58"/>
        <v>49</v>
      </c>
      <c r="S113" s="7">
        <f t="shared" si="59"/>
        <v>30.253764661954605</v>
      </c>
      <c r="T113" s="7">
        <f t="shared" si="60"/>
        <v>38.502395619438744</v>
      </c>
      <c r="U113" s="7">
        <f t="shared" si="61"/>
        <v>412556.779943</v>
      </c>
      <c r="V113" s="7">
        <f t="shared" si="62"/>
        <v>324171.92564994114</v>
      </c>
      <c r="W113" s="4">
        <f t="shared" si="63"/>
        <v>58936.68</v>
      </c>
      <c r="X113" s="3">
        <f t="shared" si="64"/>
        <v>5</v>
      </c>
      <c r="Y113" s="4">
        <f>INDEX(Categories!$AH:$AH,MATCH(C113,Categories!$A:$A,0))</f>
        <v>75605.01810049999</v>
      </c>
      <c r="Z113" s="3">
        <f>IF(AND(D113="F",Q113&lt;Y113,INDEX(Categories!$AI:$AI,MATCH(C113,Categories!$A:$A,0))&gt;0),1,0)</f>
        <v>0</v>
      </c>
      <c r="AA113" s="4">
        <f t="shared" si="65"/>
        <v>0</v>
      </c>
      <c r="AB113" s="4">
        <f>IF(Z113=1,INDEX(Categories!$AI:$AI,MATCH(C113,Categories!$A:$A,0))*AA113/INDEX(Categories!$AJ:$AJ,MATCH(C113,Categories!$A:$A,0)),0)</f>
        <v>0</v>
      </c>
      <c r="AC113" s="4">
        <f t="shared" si="66"/>
        <v>0</v>
      </c>
      <c r="AD113" s="4">
        <f t="shared" si="67"/>
        <v>52476.79</v>
      </c>
      <c r="AE113" s="3">
        <f t="shared" si="68"/>
        <v>0</v>
      </c>
      <c r="AF113" s="3">
        <f t="shared" si="69"/>
        <v>66</v>
      </c>
      <c r="AG113" s="3">
        <f t="shared" si="70"/>
        <v>12</v>
      </c>
      <c r="AH113" s="3">
        <f t="shared" si="71"/>
        <v>1</v>
      </c>
      <c r="AI113" s="5">
        <f t="shared" si="72"/>
        <v>0.96287688073394495</v>
      </c>
      <c r="AJ113" s="3">
        <f>MATCH(AI113,Inputs!$B$31:$B$34,1)</f>
        <v>2</v>
      </c>
      <c r="AK113" s="5">
        <f>INDEX(Inputs!$C$21:$C$25,MATCH(F113,Inputs!$A$21:$A$25,0))</f>
        <v>1</v>
      </c>
      <c r="AL113" s="5">
        <f>INDEX(Inputs!$D$21:$D$25,MATCH(F113,Inputs!$A$21:$A$25,0))</f>
        <v>0</v>
      </c>
      <c r="AM113" s="4">
        <f t="shared" si="73"/>
        <v>54500</v>
      </c>
      <c r="AN113" s="4">
        <f t="shared" si="74"/>
        <v>2023.2099999999991</v>
      </c>
      <c r="AO113" s="3">
        <f t="shared" si="75"/>
        <v>1</v>
      </c>
      <c r="AP113" s="4">
        <f t="shared" si="76"/>
        <v>15743.037</v>
      </c>
      <c r="AQ113" s="4">
        <f t="shared" si="77"/>
        <v>0</v>
      </c>
      <c r="AR113" s="4">
        <f t="shared" si="78"/>
        <v>2023.2099999999991</v>
      </c>
      <c r="AS113" s="3">
        <f t="shared" si="79"/>
        <v>0</v>
      </c>
      <c r="AT113" s="4">
        <f t="shared" si="80"/>
        <v>2023.2099999999991</v>
      </c>
      <c r="AU113" s="4">
        <f t="shared" si="81"/>
        <v>11123.21</v>
      </c>
      <c r="AV113" s="4">
        <f t="shared" si="82"/>
        <v>2023.2099999999991</v>
      </c>
      <c r="AW113" s="4">
        <f t="shared" si="83"/>
        <v>2023.2099999999991</v>
      </c>
      <c r="AX113" s="5">
        <f t="shared" si="84"/>
        <v>3.8554378040272647E-2</v>
      </c>
      <c r="AY113" s="4">
        <f t="shared" si="85"/>
        <v>54500</v>
      </c>
      <c r="AZ113" s="3">
        <f t="shared" si="86"/>
        <v>0</v>
      </c>
      <c r="BA113" s="4">
        <f t="shared" si="87"/>
        <v>58936.682848999997</v>
      </c>
      <c r="BB113" s="4">
        <f t="shared" si="88"/>
        <v>18948.143535953499</v>
      </c>
      <c r="BC113" s="4">
        <f t="shared" si="89"/>
        <v>58936.682848999997</v>
      </c>
      <c r="BD113" s="4">
        <f t="shared" si="90"/>
        <v>18948.143535953499</v>
      </c>
      <c r="BE113" s="4">
        <f t="shared" si="91"/>
        <v>61208.95</v>
      </c>
      <c r="BF113" s="4">
        <f t="shared" si="92"/>
        <v>19678.677424999998</v>
      </c>
      <c r="BG113" s="4">
        <f t="shared" si="93"/>
        <v>0</v>
      </c>
      <c r="BH113" s="4">
        <f t="shared" si="94"/>
        <v>0</v>
      </c>
      <c r="BI113" s="4">
        <f t="shared" si="95"/>
        <v>0</v>
      </c>
      <c r="BJ113" s="4">
        <f t="shared" si="96"/>
        <v>2023.2099999999991</v>
      </c>
      <c r="BK113" s="4">
        <f t="shared" si="97"/>
        <v>249.05715099999989</v>
      </c>
      <c r="BL113" s="4">
        <f t="shared" si="98"/>
        <v>730.5338890464991</v>
      </c>
      <c r="BM113" s="4">
        <f t="shared" si="99"/>
        <v>52476.79</v>
      </c>
      <c r="BN113" s="4">
        <f t="shared" si="100"/>
        <v>2099.0716000000002</v>
      </c>
      <c r="BO113" s="4">
        <f t="shared" si="101"/>
        <v>2099.0716000000002</v>
      </c>
      <c r="BP113" s="4">
        <f t="shared" si="102"/>
        <v>258.39571396000002</v>
      </c>
      <c r="BQ113" s="4">
        <f t="shared" si="103"/>
        <v>61294.150162960002</v>
      </c>
      <c r="BR113" s="4">
        <f t="shared" si="104"/>
        <v>19681.195201564416</v>
      </c>
      <c r="BS113" s="4">
        <f t="shared" si="105"/>
        <v>733.05166561091755</v>
      </c>
      <c r="BT113" s="4">
        <f t="shared" si="106"/>
        <v>58936.682848999997</v>
      </c>
      <c r="BU113" s="4">
        <f t="shared" si="107"/>
        <v>61208.95</v>
      </c>
      <c r="BV113" s="7">
        <f t="shared" si="108"/>
        <v>428462.64999999997</v>
      </c>
      <c r="BW113" s="7">
        <f t="shared" si="109"/>
        <v>336670.17262149212</v>
      </c>
    </row>
    <row r="114" spans="1:75" x14ac:dyDescent="0.3">
      <c r="A114" s="3">
        <f t="shared" si="55"/>
        <v>110</v>
      </c>
      <c r="B114" t="str">
        <f>INDEX(Employees!$A:$A,A114+1)</f>
        <v>E110</v>
      </c>
      <c r="C114" t="str">
        <f>INDEX(Employees!$A:$Z,MATCH(B114,Employees!$A:$A,0),MATCH("category",Employees!$1:$1,0))</f>
        <v>Marketing</v>
      </c>
      <c r="D114" t="str">
        <f>INDEX(Employees!$A:$Z,MATCH(B114,Employees!$A:$A,0),MATCH("gender",Employees!$1:$1,0))</f>
        <v>M</v>
      </c>
      <c r="E114" s="3">
        <f>INDEX(Employees!$A:$Z,MATCH(B114,Employees!$A:$A,0),MATCH("grade",Employees!$1:$1,0))</f>
        <v>7</v>
      </c>
      <c r="F114" s="3">
        <f>INDEX(Employees!$A:$Z,MATCH(B114,Employees!$A:$A,0),MATCH("rating",Employees!$1:$1,0))</f>
        <v>4</v>
      </c>
      <c r="G114" s="22">
        <f>INDEX(Employees!$A:$Z,MATCH(B114,Employees!$A:$A,0),MATCH("hire_date",Employees!$1:$1,0))</f>
        <v>43921</v>
      </c>
      <c r="H114" s="22">
        <f>INDEX(Employees!$A:$Z,MATCH(B114,Employees!$A:$A,0),MATCH("last_change_date",Employees!$1:$1,0))</f>
        <v>46113</v>
      </c>
      <c r="I114" s="4">
        <f>INDEX(Employees!$A:$Z,MATCH(B114,Employees!$A:$A,0),MATCH("base_salary",Employees!$1:$1,0))</f>
        <v>52320.97</v>
      </c>
      <c r="J114" s="5">
        <f>INDEX(Employees!$A:$Z,MATCH(B114,Employees!$A:$A,0),MATCH("bonus_pct",Employees!$1:$1,0))/100</f>
        <v>0.1094</v>
      </c>
      <c r="K114" s="7">
        <f>INDEX(Employees!$A:$Z,MATCH(B114,Employees!$A:$A,0),MATCH("fte",Employees!$1:$1,0))</f>
        <v>1</v>
      </c>
      <c r="L114" s="3">
        <f>IF(ISNA(MATCH(C114&amp;"|"&amp;E114,Bands!$F:$F,0)),0,1)</f>
        <v>1</v>
      </c>
      <c r="M114" s="4">
        <f>INDEX(Bands!$C:$C,MATCH(C114&amp;"|"&amp;E114,Bands!$F:$F,0))</f>
        <v>45400</v>
      </c>
      <c r="N114" s="4">
        <f>INDEX(Bands!$D:$D,MATCH(C114&amp;"|"&amp;E114,Bands!$F:$F,0))</f>
        <v>54500</v>
      </c>
      <c r="O114" s="4">
        <f>INDEX(Bands!$E:$E,MATCH(C114&amp;"|"&amp;E114,Bands!$F:$F,0))</f>
        <v>63600</v>
      </c>
      <c r="P114" s="7">
        <f t="shared" si="56"/>
        <v>7.0006844626967828</v>
      </c>
      <c r="Q114" s="4">
        <f t="shared" si="57"/>
        <v>58044.884118000002</v>
      </c>
      <c r="R114" s="7">
        <f t="shared" si="58"/>
        <v>49</v>
      </c>
      <c r="S114" s="7">
        <f t="shared" si="59"/>
        <v>49.009582946244144</v>
      </c>
      <c r="T114" s="7">
        <f t="shared" si="60"/>
        <v>49.00479123887748</v>
      </c>
      <c r="U114" s="7">
        <f t="shared" si="61"/>
        <v>406314.18882600003</v>
      </c>
      <c r="V114" s="7">
        <f t="shared" si="62"/>
        <v>406353.91838391789</v>
      </c>
      <c r="W114" s="4">
        <f t="shared" si="63"/>
        <v>58044.88</v>
      </c>
      <c r="X114" s="3">
        <f t="shared" si="64"/>
        <v>4</v>
      </c>
      <c r="Y114" s="4">
        <f>INDEX(Categories!$AH:$AH,MATCH(C114,Categories!$A:$A,0))</f>
        <v>75605.01810049999</v>
      </c>
      <c r="Z114" s="3">
        <f>IF(AND(D114="F",Q114&lt;Y114,INDEX(Categories!$AI:$AI,MATCH(C114,Categories!$A:$A,0))&gt;0),1,0)</f>
        <v>0</v>
      </c>
      <c r="AA114" s="4">
        <f t="shared" si="65"/>
        <v>0</v>
      </c>
      <c r="AB114" s="4">
        <f>IF(Z114=1,INDEX(Categories!$AI:$AI,MATCH(C114,Categories!$A:$A,0))*AA114/INDEX(Categories!$AJ:$AJ,MATCH(C114,Categories!$A:$A,0)),0)</f>
        <v>0</v>
      </c>
      <c r="AC114" s="4">
        <f t="shared" si="66"/>
        <v>0</v>
      </c>
      <c r="AD114" s="4">
        <f t="shared" si="67"/>
        <v>52320.97</v>
      </c>
      <c r="AE114" s="3">
        <f t="shared" si="68"/>
        <v>0</v>
      </c>
      <c r="AF114" s="3">
        <f t="shared" si="69"/>
        <v>84</v>
      </c>
      <c r="AG114" s="3">
        <f t="shared" si="70"/>
        <v>12</v>
      </c>
      <c r="AH114" s="3">
        <f t="shared" si="71"/>
        <v>1</v>
      </c>
      <c r="AI114" s="5">
        <f t="shared" si="72"/>
        <v>0.96001779816513766</v>
      </c>
      <c r="AJ114" s="3">
        <f>MATCH(AI114,Inputs!$B$31:$B$34,1)</f>
        <v>2</v>
      </c>
      <c r="AK114" s="5">
        <f>INDEX(Inputs!$C$21:$C$25,MATCH(F114,Inputs!$A$21:$A$25,0))</f>
        <v>1.05</v>
      </c>
      <c r="AL114" s="5">
        <f>INDEX(Inputs!$D$21:$D$25,MATCH(F114,Inputs!$A$21:$A$25,0))</f>
        <v>0.01</v>
      </c>
      <c r="AM114" s="4">
        <f t="shared" si="73"/>
        <v>57225</v>
      </c>
      <c r="AN114" s="4">
        <f t="shared" si="74"/>
        <v>4904.0299999999988</v>
      </c>
      <c r="AO114" s="3">
        <f t="shared" si="75"/>
        <v>1</v>
      </c>
      <c r="AP114" s="4">
        <f t="shared" si="76"/>
        <v>15696.290999999999</v>
      </c>
      <c r="AQ114" s="4">
        <f t="shared" si="77"/>
        <v>523.2097</v>
      </c>
      <c r="AR114" s="4">
        <f t="shared" si="78"/>
        <v>4904.0299999999988</v>
      </c>
      <c r="AS114" s="3">
        <f t="shared" si="79"/>
        <v>0</v>
      </c>
      <c r="AT114" s="4">
        <f t="shared" si="80"/>
        <v>4904.0299999999988</v>
      </c>
      <c r="AU114" s="4">
        <f t="shared" si="81"/>
        <v>11279.029999999999</v>
      </c>
      <c r="AV114" s="4">
        <f t="shared" si="82"/>
        <v>4904.0299999999988</v>
      </c>
      <c r="AW114" s="4">
        <f t="shared" si="83"/>
        <v>4904.0299999999988</v>
      </c>
      <c r="AX114" s="5">
        <f t="shared" si="84"/>
        <v>9.3729722518523614E-2</v>
      </c>
      <c r="AY114" s="4">
        <f t="shared" si="85"/>
        <v>57225</v>
      </c>
      <c r="AZ114" s="3">
        <f t="shared" si="86"/>
        <v>0</v>
      </c>
      <c r="BA114" s="4">
        <f t="shared" si="87"/>
        <v>58044.884118000002</v>
      </c>
      <c r="BB114" s="4">
        <f t="shared" si="88"/>
        <v>18661.430243937</v>
      </c>
      <c r="BC114" s="4">
        <f t="shared" si="89"/>
        <v>58044.884118000002</v>
      </c>
      <c r="BD114" s="4">
        <f t="shared" si="90"/>
        <v>18661.430243937</v>
      </c>
      <c r="BE114" s="4">
        <f t="shared" si="91"/>
        <v>63485.414999999994</v>
      </c>
      <c r="BF114" s="4">
        <f t="shared" si="92"/>
        <v>19702.231344</v>
      </c>
      <c r="BG114" s="4">
        <f t="shared" si="93"/>
        <v>0</v>
      </c>
      <c r="BH114" s="4">
        <f t="shared" si="94"/>
        <v>0</v>
      </c>
      <c r="BI114" s="4">
        <f t="shared" si="95"/>
        <v>0</v>
      </c>
      <c r="BJ114" s="4">
        <f t="shared" si="96"/>
        <v>4904.0299999999988</v>
      </c>
      <c r="BK114" s="4">
        <f t="shared" si="97"/>
        <v>536.50088199999982</v>
      </c>
      <c r="BL114" s="4">
        <f t="shared" si="98"/>
        <v>1040.8011000629995</v>
      </c>
      <c r="BM114" s="4">
        <f t="shared" si="99"/>
        <v>52320.97</v>
      </c>
      <c r="BN114" s="4">
        <f t="shared" si="100"/>
        <v>2092.8388</v>
      </c>
      <c r="BO114" s="4">
        <f t="shared" si="101"/>
        <v>2092.8388</v>
      </c>
      <c r="BP114" s="4">
        <f t="shared" si="102"/>
        <v>228.95656471999999</v>
      </c>
      <c r="BQ114" s="4">
        <f t="shared" si="103"/>
        <v>60366.679482719999</v>
      </c>
      <c r="BR114" s="4">
        <f t="shared" si="104"/>
        <v>19407.887453694479</v>
      </c>
      <c r="BS114" s="4">
        <f t="shared" si="105"/>
        <v>746.45720975747827</v>
      </c>
      <c r="BT114" s="4">
        <f t="shared" si="106"/>
        <v>58044.884118000002</v>
      </c>
      <c r="BU114" s="4">
        <f t="shared" si="107"/>
        <v>63485.414999999994</v>
      </c>
      <c r="BV114" s="7">
        <f t="shared" si="108"/>
        <v>444397.90499999997</v>
      </c>
      <c r="BW114" s="7">
        <f t="shared" si="109"/>
        <v>444441.35839835723</v>
      </c>
    </row>
    <row r="115" spans="1:75" x14ac:dyDescent="0.3">
      <c r="A115" s="3">
        <f t="shared" si="55"/>
        <v>111</v>
      </c>
      <c r="B115" t="str">
        <f>INDEX(Employees!$A:$A,A115+1)</f>
        <v>E111</v>
      </c>
      <c r="C115" t="str">
        <f>INDEX(Employees!$A:$Z,MATCH(B115,Employees!$A:$A,0),MATCH("category",Employees!$1:$1,0))</f>
        <v>Marketing</v>
      </c>
      <c r="D115" t="str">
        <f>INDEX(Employees!$A:$Z,MATCH(B115,Employees!$A:$A,0),MATCH("gender",Employees!$1:$1,0))</f>
        <v>F</v>
      </c>
      <c r="E115" s="3">
        <f>INDEX(Employees!$A:$Z,MATCH(B115,Employees!$A:$A,0),MATCH("grade",Employees!$1:$1,0))</f>
        <v>9</v>
      </c>
      <c r="F115" s="3">
        <f>INDEX(Employees!$A:$Z,MATCH(B115,Employees!$A:$A,0),MATCH("rating",Employees!$1:$1,0))</f>
        <v>4</v>
      </c>
      <c r="G115" s="22">
        <f>INDEX(Employees!$A:$Z,MATCH(B115,Employees!$A:$A,0),MATCH("hire_date",Employees!$1:$1,0))</f>
        <v>43483</v>
      </c>
      <c r="H115" s="22">
        <f>INDEX(Employees!$A:$Z,MATCH(B115,Employees!$A:$A,0),MATCH("last_change_date",Employees!$1:$1,0))</f>
        <v>46113</v>
      </c>
      <c r="I115" s="4">
        <f>INDEX(Employees!$A:$Z,MATCH(B115,Employees!$A:$A,0),MATCH("base_salary",Employees!$1:$1,0))</f>
        <v>67512.990000000005</v>
      </c>
      <c r="J115" s="5">
        <f>INDEX(Employees!$A:$Z,MATCH(B115,Employees!$A:$A,0),MATCH("bonus_pct",Employees!$1:$1,0))/100</f>
        <v>0.1157</v>
      </c>
      <c r="K115" s="7">
        <f>INDEX(Employees!$A:$Z,MATCH(B115,Employees!$A:$A,0),MATCH("fte",Employees!$1:$1,0))</f>
        <v>1</v>
      </c>
      <c r="L115" s="3">
        <f>IF(ISNA(MATCH(C115&amp;"|"&amp;E115,Bands!$F:$F,0)),0,1)</f>
        <v>1</v>
      </c>
      <c r="M115" s="4">
        <f>INDEX(Bands!$C:$C,MATCH(C115&amp;"|"&amp;E115,Bands!$F:$F,0))</f>
        <v>60000</v>
      </c>
      <c r="N115" s="4">
        <f>INDEX(Bands!$D:$D,MATCH(C115&amp;"|"&amp;E115,Bands!$F:$F,0))</f>
        <v>72000</v>
      </c>
      <c r="O115" s="4">
        <f>INDEX(Bands!$E:$E,MATCH(C115&amp;"|"&amp;E115,Bands!$F:$F,0))</f>
        <v>84000</v>
      </c>
      <c r="P115" s="7">
        <f t="shared" si="56"/>
        <v>8.1998631074606436</v>
      </c>
      <c r="Q115" s="4">
        <f t="shared" si="57"/>
        <v>75324.242943000005</v>
      </c>
      <c r="R115" s="7">
        <f t="shared" si="58"/>
        <v>81</v>
      </c>
      <c r="S115" s="7">
        <f t="shared" si="59"/>
        <v>67.237754981094128</v>
      </c>
      <c r="T115" s="7">
        <f t="shared" si="60"/>
        <v>73.798767967145793</v>
      </c>
      <c r="U115" s="7">
        <f t="shared" si="61"/>
        <v>677918.18648700009</v>
      </c>
      <c r="V115" s="7">
        <f t="shared" si="62"/>
        <v>617648.48080570844</v>
      </c>
      <c r="W115" s="4">
        <f t="shared" si="63"/>
        <v>75324.240000000005</v>
      </c>
      <c r="X115" s="3">
        <f t="shared" si="64"/>
        <v>12</v>
      </c>
      <c r="Y115" s="4">
        <f>INDEX(Categories!$AH:$AH,MATCH(C115,Categories!$A:$A,0))</f>
        <v>75605.01810049999</v>
      </c>
      <c r="Z115" s="3">
        <f>IF(AND(D115="F",Q115&lt;Y115,INDEX(Categories!$AI:$AI,MATCH(C115,Categories!$A:$A,0))&gt;0),1,0)</f>
        <v>0</v>
      </c>
      <c r="AA115" s="4">
        <f t="shared" si="65"/>
        <v>0</v>
      </c>
      <c r="AB115" s="4">
        <f>IF(Z115=1,INDEX(Categories!$AI:$AI,MATCH(C115,Categories!$A:$A,0))*AA115/INDEX(Categories!$AJ:$AJ,MATCH(C115,Categories!$A:$A,0)),0)</f>
        <v>0</v>
      </c>
      <c r="AC115" s="4">
        <f t="shared" si="66"/>
        <v>0</v>
      </c>
      <c r="AD115" s="4">
        <f t="shared" si="67"/>
        <v>67512.990000000005</v>
      </c>
      <c r="AE115" s="3">
        <f t="shared" si="68"/>
        <v>0</v>
      </c>
      <c r="AF115" s="3">
        <f t="shared" si="69"/>
        <v>98</v>
      </c>
      <c r="AG115" s="3">
        <f t="shared" si="70"/>
        <v>12</v>
      </c>
      <c r="AH115" s="3">
        <f t="shared" si="71"/>
        <v>1</v>
      </c>
      <c r="AI115" s="5">
        <f t="shared" si="72"/>
        <v>0.93768041666666679</v>
      </c>
      <c r="AJ115" s="3">
        <f>MATCH(AI115,Inputs!$B$31:$B$34,1)</f>
        <v>2</v>
      </c>
      <c r="AK115" s="5">
        <f>INDEX(Inputs!$C$21:$C$25,MATCH(F115,Inputs!$A$21:$A$25,0))</f>
        <v>1.05</v>
      </c>
      <c r="AL115" s="5">
        <f>INDEX(Inputs!$D$21:$D$25,MATCH(F115,Inputs!$A$21:$A$25,0))</f>
        <v>0.01</v>
      </c>
      <c r="AM115" s="4">
        <f t="shared" si="73"/>
        <v>75600</v>
      </c>
      <c r="AN115" s="4">
        <f t="shared" si="74"/>
        <v>8087.0099999999948</v>
      </c>
      <c r="AO115" s="3">
        <f t="shared" si="75"/>
        <v>1</v>
      </c>
      <c r="AP115" s="4">
        <f t="shared" si="76"/>
        <v>20253.897000000001</v>
      </c>
      <c r="AQ115" s="4">
        <f t="shared" si="77"/>
        <v>675.12990000000002</v>
      </c>
      <c r="AR115" s="4">
        <f t="shared" si="78"/>
        <v>8087.0099999999948</v>
      </c>
      <c r="AS115" s="3">
        <f t="shared" si="79"/>
        <v>0</v>
      </c>
      <c r="AT115" s="4">
        <f t="shared" si="80"/>
        <v>8087.0099999999948</v>
      </c>
      <c r="AU115" s="4">
        <f t="shared" si="81"/>
        <v>16487.009999999995</v>
      </c>
      <c r="AV115" s="4">
        <f t="shared" si="82"/>
        <v>8087.0099999999948</v>
      </c>
      <c r="AW115" s="4">
        <f t="shared" si="83"/>
        <v>8087.0099999999948</v>
      </c>
      <c r="AX115" s="5">
        <f t="shared" si="84"/>
        <v>0.11978450369328916</v>
      </c>
      <c r="AY115" s="4">
        <f t="shared" si="85"/>
        <v>75600</v>
      </c>
      <c r="AZ115" s="3">
        <f t="shared" si="86"/>
        <v>0</v>
      </c>
      <c r="BA115" s="4">
        <f t="shared" si="87"/>
        <v>75324.242943000005</v>
      </c>
      <c r="BB115" s="4">
        <f t="shared" si="88"/>
        <v>19822.274814607197</v>
      </c>
      <c r="BC115" s="4">
        <f t="shared" si="89"/>
        <v>75324.242943000005</v>
      </c>
      <c r="BD115" s="4">
        <f t="shared" si="90"/>
        <v>19822.274814607197</v>
      </c>
      <c r="BE115" s="4">
        <f t="shared" si="91"/>
        <v>84346.92</v>
      </c>
      <c r="BF115" s="4">
        <f t="shared" si="92"/>
        <v>19916.110655999997</v>
      </c>
      <c r="BG115" s="4">
        <f t="shared" si="93"/>
        <v>0</v>
      </c>
      <c r="BH115" s="4">
        <f t="shared" si="94"/>
        <v>0</v>
      </c>
      <c r="BI115" s="4">
        <f t="shared" si="95"/>
        <v>0</v>
      </c>
      <c r="BJ115" s="4">
        <f t="shared" si="96"/>
        <v>8087.0099999999948</v>
      </c>
      <c r="BK115" s="4">
        <f t="shared" si="97"/>
        <v>935.66705699999932</v>
      </c>
      <c r="BL115" s="4">
        <f t="shared" si="98"/>
        <v>93.835841392799921</v>
      </c>
      <c r="BM115" s="4">
        <f t="shared" si="99"/>
        <v>67512.990000000005</v>
      </c>
      <c r="BN115" s="4">
        <f t="shared" si="100"/>
        <v>2700.5196000000001</v>
      </c>
      <c r="BO115" s="4">
        <f t="shared" si="101"/>
        <v>2700.5196000000001</v>
      </c>
      <c r="BP115" s="4">
        <f t="shared" si="102"/>
        <v>312.45011771999998</v>
      </c>
      <c r="BQ115" s="4">
        <f t="shared" si="103"/>
        <v>78337.212660720004</v>
      </c>
      <c r="BR115" s="4">
        <f t="shared" si="104"/>
        <v>19853.609699671484</v>
      </c>
      <c r="BS115" s="4">
        <f t="shared" si="105"/>
        <v>31.334885064286937</v>
      </c>
      <c r="BT115" s="4">
        <f t="shared" si="106"/>
        <v>75324.242943000005</v>
      </c>
      <c r="BU115" s="4">
        <f t="shared" si="107"/>
        <v>84346.92</v>
      </c>
      <c r="BV115" s="7">
        <f t="shared" si="108"/>
        <v>759122.28</v>
      </c>
      <c r="BW115" s="7">
        <f t="shared" si="109"/>
        <v>691633.19753593428</v>
      </c>
    </row>
    <row r="116" spans="1:75" x14ac:dyDescent="0.3">
      <c r="A116" s="3">
        <f t="shared" si="55"/>
        <v>112</v>
      </c>
      <c r="B116" t="str">
        <f>INDEX(Employees!$A:$A,A116+1)</f>
        <v>E112</v>
      </c>
      <c r="C116" t="str">
        <f>INDEX(Employees!$A:$Z,MATCH(B116,Employees!$A:$A,0),MATCH("category",Employees!$1:$1,0))</f>
        <v>Marketing</v>
      </c>
      <c r="D116" t="str">
        <f>INDEX(Employees!$A:$Z,MATCH(B116,Employees!$A:$A,0),MATCH("gender",Employees!$1:$1,0))</f>
        <v>M</v>
      </c>
      <c r="E116" s="3">
        <f>INDEX(Employees!$A:$Z,MATCH(B116,Employees!$A:$A,0),MATCH("grade",Employees!$1:$1,0))</f>
        <v>7</v>
      </c>
      <c r="F116" s="3">
        <f>INDEX(Employees!$A:$Z,MATCH(B116,Employees!$A:$A,0),MATCH("rating",Employees!$1:$1,0))</f>
        <v>3</v>
      </c>
      <c r="G116" s="22">
        <f>INDEX(Employees!$A:$Z,MATCH(B116,Employees!$A:$A,0),MATCH("hire_date",Employees!$1:$1,0))</f>
        <v>44688</v>
      </c>
      <c r="H116" s="22">
        <f>INDEX(Employees!$A:$Z,MATCH(B116,Employees!$A:$A,0),MATCH("last_change_date",Employees!$1:$1,0))</f>
        <v>46113</v>
      </c>
      <c r="I116" s="4">
        <f>INDEX(Employees!$A:$Z,MATCH(B116,Employees!$A:$A,0),MATCH("base_salary",Employees!$1:$1,0))</f>
        <v>53216.54</v>
      </c>
      <c r="J116" s="5">
        <f>INDEX(Employees!$A:$Z,MATCH(B116,Employees!$A:$A,0),MATCH("bonus_pct",Employees!$1:$1,0))/100</f>
        <v>7.7800000000000008E-2</v>
      </c>
      <c r="K116" s="7">
        <f>INDEX(Employees!$A:$Z,MATCH(B116,Employees!$A:$A,0),MATCH("fte",Employees!$1:$1,0))</f>
        <v>1</v>
      </c>
      <c r="L116" s="3">
        <f>IF(ISNA(MATCH(C116&amp;"|"&amp;E116,Bands!$F:$F,0)),0,1)</f>
        <v>1</v>
      </c>
      <c r="M116" s="4">
        <f>INDEX(Bands!$C:$C,MATCH(C116&amp;"|"&amp;E116,Bands!$F:$F,0))</f>
        <v>45400</v>
      </c>
      <c r="N116" s="4">
        <f>INDEX(Bands!$D:$D,MATCH(C116&amp;"|"&amp;E116,Bands!$F:$F,0))</f>
        <v>54500</v>
      </c>
      <c r="O116" s="4">
        <f>INDEX(Bands!$E:$E,MATCH(C116&amp;"|"&amp;E116,Bands!$F:$F,0))</f>
        <v>63600</v>
      </c>
      <c r="P116" s="7">
        <f t="shared" si="56"/>
        <v>4.900752908966461</v>
      </c>
      <c r="Q116" s="4">
        <f t="shared" si="57"/>
        <v>57356.786812000006</v>
      </c>
      <c r="R116" s="7">
        <f t="shared" si="58"/>
        <v>49</v>
      </c>
      <c r="S116" s="7">
        <f t="shared" si="59"/>
        <v>24.017379074743229</v>
      </c>
      <c r="T116" s="7">
        <f t="shared" si="60"/>
        <v>34.305270362765228</v>
      </c>
      <c r="U116" s="7">
        <f t="shared" si="61"/>
        <v>401497.50768400007</v>
      </c>
      <c r="V116" s="7">
        <f t="shared" si="62"/>
        <v>281091.43981787818</v>
      </c>
      <c r="W116" s="4">
        <f t="shared" si="63"/>
        <v>57356.79</v>
      </c>
      <c r="X116" s="3">
        <f t="shared" si="64"/>
        <v>3</v>
      </c>
      <c r="Y116" s="4">
        <f>INDEX(Categories!$AH:$AH,MATCH(C116,Categories!$A:$A,0))</f>
        <v>75605.01810049999</v>
      </c>
      <c r="Z116" s="3">
        <f>IF(AND(D116="F",Q116&lt;Y116,INDEX(Categories!$AI:$AI,MATCH(C116,Categories!$A:$A,0))&gt;0),1,0)</f>
        <v>0</v>
      </c>
      <c r="AA116" s="4">
        <f t="shared" si="65"/>
        <v>0</v>
      </c>
      <c r="AB116" s="4">
        <f>IF(Z116=1,INDEX(Categories!$AI:$AI,MATCH(C116,Categories!$A:$A,0))*AA116/INDEX(Categories!$AJ:$AJ,MATCH(C116,Categories!$A:$A,0)),0)</f>
        <v>0</v>
      </c>
      <c r="AC116" s="4">
        <f t="shared" si="66"/>
        <v>0</v>
      </c>
      <c r="AD116" s="4">
        <f t="shared" si="67"/>
        <v>53216.54</v>
      </c>
      <c r="AE116" s="3">
        <f t="shared" si="68"/>
        <v>0</v>
      </c>
      <c r="AF116" s="3">
        <f t="shared" si="69"/>
        <v>58</v>
      </c>
      <c r="AG116" s="3">
        <f t="shared" si="70"/>
        <v>12</v>
      </c>
      <c r="AH116" s="3">
        <f t="shared" si="71"/>
        <v>1</v>
      </c>
      <c r="AI116" s="5">
        <f t="shared" si="72"/>
        <v>0.97645027522935779</v>
      </c>
      <c r="AJ116" s="3">
        <f>MATCH(AI116,Inputs!$B$31:$B$34,1)</f>
        <v>2</v>
      </c>
      <c r="AK116" s="5">
        <f>INDEX(Inputs!$C$21:$C$25,MATCH(F116,Inputs!$A$21:$A$25,0))</f>
        <v>1</v>
      </c>
      <c r="AL116" s="5">
        <f>INDEX(Inputs!$D$21:$D$25,MATCH(F116,Inputs!$A$21:$A$25,0))</f>
        <v>0</v>
      </c>
      <c r="AM116" s="4">
        <f t="shared" si="73"/>
        <v>54500</v>
      </c>
      <c r="AN116" s="4">
        <f t="shared" si="74"/>
        <v>1283.4599999999991</v>
      </c>
      <c r="AO116" s="3">
        <f t="shared" si="75"/>
        <v>1</v>
      </c>
      <c r="AP116" s="4">
        <f t="shared" si="76"/>
        <v>15964.962</v>
      </c>
      <c r="AQ116" s="4">
        <f t="shared" si="77"/>
        <v>0</v>
      </c>
      <c r="AR116" s="4">
        <f t="shared" si="78"/>
        <v>1283.4599999999991</v>
      </c>
      <c r="AS116" s="3">
        <f t="shared" si="79"/>
        <v>0</v>
      </c>
      <c r="AT116" s="4">
        <f t="shared" si="80"/>
        <v>1283.4599999999991</v>
      </c>
      <c r="AU116" s="4">
        <f t="shared" si="81"/>
        <v>10383.459999999999</v>
      </c>
      <c r="AV116" s="4">
        <f t="shared" si="82"/>
        <v>1283.4599999999991</v>
      </c>
      <c r="AW116" s="4">
        <f t="shared" si="83"/>
        <v>1283.4599999999991</v>
      </c>
      <c r="AX116" s="5">
        <f t="shared" si="84"/>
        <v>2.4117689725788243E-2</v>
      </c>
      <c r="AY116" s="4">
        <f t="shared" si="85"/>
        <v>54500</v>
      </c>
      <c r="AZ116" s="3">
        <f t="shared" si="86"/>
        <v>0</v>
      </c>
      <c r="BA116" s="4">
        <f t="shared" si="87"/>
        <v>57356.786812000006</v>
      </c>
      <c r="BB116" s="4">
        <f t="shared" si="88"/>
        <v>18440.206960058003</v>
      </c>
      <c r="BC116" s="4">
        <f t="shared" si="89"/>
        <v>57356.786812000006</v>
      </c>
      <c r="BD116" s="4">
        <f t="shared" si="90"/>
        <v>18440.206960058003</v>
      </c>
      <c r="BE116" s="4">
        <f t="shared" si="91"/>
        <v>58740.100000000006</v>
      </c>
      <c r="BF116" s="4">
        <f t="shared" si="92"/>
        <v>18884.942150000003</v>
      </c>
      <c r="BG116" s="4">
        <f t="shared" si="93"/>
        <v>0</v>
      </c>
      <c r="BH116" s="4">
        <f t="shared" si="94"/>
        <v>0</v>
      </c>
      <c r="BI116" s="4">
        <f t="shared" si="95"/>
        <v>0</v>
      </c>
      <c r="BJ116" s="4">
        <f t="shared" si="96"/>
        <v>1283.4599999999991</v>
      </c>
      <c r="BK116" s="4">
        <f t="shared" si="97"/>
        <v>99.853187999999946</v>
      </c>
      <c r="BL116" s="4">
        <f t="shared" si="98"/>
        <v>444.73518994199912</v>
      </c>
      <c r="BM116" s="4">
        <f t="shared" si="99"/>
        <v>53216.54</v>
      </c>
      <c r="BN116" s="4">
        <f t="shared" si="100"/>
        <v>2128.6615999999999</v>
      </c>
      <c r="BO116" s="4">
        <f t="shared" si="101"/>
        <v>2128.6615999999999</v>
      </c>
      <c r="BP116" s="4">
        <f t="shared" si="102"/>
        <v>165.60987248000001</v>
      </c>
      <c r="BQ116" s="4">
        <f t="shared" si="103"/>
        <v>59651.058284480008</v>
      </c>
      <c r="BR116" s="4">
        <f t="shared" si="104"/>
        <v>19177.815238460324</v>
      </c>
      <c r="BS116" s="4">
        <f t="shared" si="105"/>
        <v>737.60827840232014</v>
      </c>
      <c r="BT116" s="4">
        <f t="shared" si="106"/>
        <v>57356.786812000006</v>
      </c>
      <c r="BU116" s="4">
        <f t="shared" si="107"/>
        <v>58740.100000000006</v>
      </c>
      <c r="BV116" s="7">
        <f t="shared" si="108"/>
        <v>411180.70000000007</v>
      </c>
      <c r="BW116" s="7">
        <f t="shared" si="109"/>
        <v>287870.71594798082</v>
      </c>
    </row>
    <row r="117" spans="1:75" x14ac:dyDescent="0.3">
      <c r="A117" s="3">
        <f t="shared" si="55"/>
        <v>113</v>
      </c>
      <c r="B117" t="str">
        <f>INDEX(Employees!$A:$A,A117+1)</f>
        <v>E113</v>
      </c>
      <c r="C117" t="str">
        <f>INDEX(Employees!$A:$Z,MATCH(B117,Employees!$A:$A,0),MATCH("category",Employees!$1:$1,0))</f>
        <v>Marketing</v>
      </c>
      <c r="D117" t="str">
        <f>INDEX(Employees!$A:$Z,MATCH(B117,Employees!$A:$A,0),MATCH("gender",Employees!$1:$1,0))</f>
        <v>M</v>
      </c>
      <c r="E117" s="3">
        <f>INDEX(Employees!$A:$Z,MATCH(B117,Employees!$A:$A,0),MATCH("grade",Employees!$1:$1,0))</f>
        <v>8</v>
      </c>
      <c r="F117" s="3">
        <f>INDEX(Employees!$A:$Z,MATCH(B117,Employees!$A:$A,0),MATCH("rating",Employees!$1:$1,0))</f>
        <v>3</v>
      </c>
      <c r="G117" s="22">
        <f>INDEX(Employees!$A:$Z,MATCH(B117,Employees!$A:$A,0),MATCH("hire_date",Employees!$1:$1,0))</f>
        <v>44323</v>
      </c>
      <c r="H117" s="22">
        <f>INDEX(Employees!$A:$Z,MATCH(B117,Employees!$A:$A,0),MATCH("last_change_date",Employees!$1:$1,0))</f>
        <v>46113</v>
      </c>
      <c r="I117" s="4">
        <f>INDEX(Employees!$A:$Z,MATCH(B117,Employees!$A:$A,0),MATCH("base_salary",Employees!$1:$1,0))</f>
        <v>59381.08</v>
      </c>
      <c r="J117" s="5">
        <f>INDEX(Employees!$A:$Z,MATCH(B117,Employees!$A:$A,0),MATCH("bonus_pct",Employees!$1:$1,0))/100</f>
        <v>0.1174</v>
      </c>
      <c r="K117" s="7">
        <f>INDEX(Employees!$A:$Z,MATCH(B117,Employees!$A:$A,0),MATCH("fte",Employees!$1:$1,0))</f>
        <v>1</v>
      </c>
      <c r="L117" s="3">
        <f>IF(ISNA(MATCH(C117&amp;"|"&amp;E117,Bands!$F:$F,0)),0,1)</f>
        <v>1</v>
      </c>
      <c r="M117" s="4">
        <f>INDEX(Bands!$C:$C,MATCH(C117&amp;"|"&amp;E117,Bands!$F:$F,0))</f>
        <v>52300</v>
      </c>
      <c r="N117" s="4">
        <f>INDEX(Bands!$D:$D,MATCH(C117&amp;"|"&amp;E117,Bands!$F:$F,0))</f>
        <v>62700</v>
      </c>
      <c r="O117" s="4">
        <f>INDEX(Bands!$E:$E,MATCH(C117&amp;"|"&amp;E117,Bands!$F:$F,0))</f>
        <v>73200</v>
      </c>
      <c r="P117" s="7">
        <f t="shared" si="56"/>
        <v>5.9000684462696782</v>
      </c>
      <c r="Q117" s="4">
        <f t="shared" si="57"/>
        <v>66352.418791999997</v>
      </c>
      <c r="R117" s="7">
        <f t="shared" si="58"/>
        <v>64</v>
      </c>
      <c r="S117" s="7">
        <f t="shared" si="59"/>
        <v>34.810807670667096</v>
      </c>
      <c r="T117" s="7">
        <f t="shared" si="60"/>
        <v>47.200547570157426</v>
      </c>
      <c r="U117" s="7">
        <f t="shared" si="61"/>
        <v>530819.35033599997</v>
      </c>
      <c r="V117" s="7">
        <f t="shared" si="62"/>
        <v>391483.81244835042</v>
      </c>
      <c r="W117" s="4">
        <f t="shared" si="63"/>
        <v>66352.42</v>
      </c>
      <c r="X117" s="3">
        <f t="shared" si="64"/>
        <v>9</v>
      </c>
      <c r="Y117" s="4">
        <f>INDEX(Categories!$AH:$AH,MATCH(C117,Categories!$A:$A,0))</f>
        <v>75605.01810049999</v>
      </c>
      <c r="Z117" s="3">
        <f>IF(AND(D117="F",Q117&lt;Y117,INDEX(Categories!$AI:$AI,MATCH(C117,Categories!$A:$A,0))&gt;0),1,0)</f>
        <v>0</v>
      </c>
      <c r="AA117" s="4">
        <f t="shared" si="65"/>
        <v>0</v>
      </c>
      <c r="AB117" s="4">
        <f>IF(Z117=1,INDEX(Categories!$AI:$AI,MATCH(C117,Categories!$A:$A,0))*AA117/INDEX(Categories!$AJ:$AJ,MATCH(C117,Categories!$A:$A,0)),0)</f>
        <v>0</v>
      </c>
      <c r="AC117" s="4">
        <f t="shared" si="66"/>
        <v>0</v>
      </c>
      <c r="AD117" s="4">
        <f t="shared" si="67"/>
        <v>59381.08</v>
      </c>
      <c r="AE117" s="3">
        <f t="shared" si="68"/>
        <v>0</v>
      </c>
      <c r="AF117" s="3">
        <f t="shared" si="69"/>
        <v>70</v>
      </c>
      <c r="AG117" s="3">
        <f t="shared" si="70"/>
        <v>12</v>
      </c>
      <c r="AH117" s="3">
        <f t="shared" si="71"/>
        <v>1</v>
      </c>
      <c r="AI117" s="5">
        <f t="shared" si="72"/>
        <v>0.94706666666666672</v>
      </c>
      <c r="AJ117" s="3">
        <f>MATCH(AI117,Inputs!$B$31:$B$34,1)</f>
        <v>2</v>
      </c>
      <c r="AK117" s="5">
        <f>INDEX(Inputs!$C$21:$C$25,MATCH(F117,Inputs!$A$21:$A$25,0))</f>
        <v>1</v>
      </c>
      <c r="AL117" s="5">
        <f>INDEX(Inputs!$D$21:$D$25,MATCH(F117,Inputs!$A$21:$A$25,0))</f>
        <v>0</v>
      </c>
      <c r="AM117" s="4">
        <f t="shared" si="73"/>
        <v>62700</v>
      </c>
      <c r="AN117" s="4">
        <f t="shared" si="74"/>
        <v>3318.9199999999983</v>
      </c>
      <c r="AO117" s="3">
        <f t="shared" si="75"/>
        <v>1</v>
      </c>
      <c r="AP117" s="4">
        <f t="shared" si="76"/>
        <v>17814.324000000001</v>
      </c>
      <c r="AQ117" s="4">
        <f t="shared" si="77"/>
        <v>0</v>
      </c>
      <c r="AR117" s="4">
        <f t="shared" si="78"/>
        <v>3318.9199999999983</v>
      </c>
      <c r="AS117" s="3">
        <f t="shared" si="79"/>
        <v>0</v>
      </c>
      <c r="AT117" s="4">
        <f t="shared" si="80"/>
        <v>3318.9199999999983</v>
      </c>
      <c r="AU117" s="4">
        <f t="shared" si="81"/>
        <v>13818.919999999998</v>
      </c>
      <c r="AV117" s="4">
        <f t="shared" si="82"/>
        <v>3318.9199999999983</v>
      </c>
      <c r="AW117" s="4">
        <f t="shared" si="83"/>
        <v>3318.9199999999983</v>
      </c>
      <c r="AX117" s="5">
        <f t="shared" si="84"/>
        <v>5.5891876671828773E-2</v>
      </c>
      <c r="AY117" s="4">
        <f t="shared" si="85"/>
        <v>62700</v>
      </c>
      <c r="AZ117" s="3">
        <f t="shared" si="86"/>
        <v>0</v>
      </c>
      <c r="BA117" s="4">
        <f t="shared" si="87"/>
        <v>66352.418791999997</v>
      </c>
      <c r="BB117" s="4">
        <f t="shared" si="88"/>
        <v>19729.754580403198</v>
      </c>
      <c r="BC117" s="4">
        <f t="shared" si="89"/>
        <v>66352.418791999997</v>
      </c>
      <c r="BD117" s="4">
        <f t="shared" si="90"/>
        <v>19729.754580403198</v>
      </c>
      <c r="BE117" s="4">
        <f t="shared" si="91"/>
        <v>70060.98</v>
      </c>
      <c r="BF117" s="4">
        <f t="shared" si="92"/>
        <v>19767.536879999996</v>
      </c>
      <c r="BG117" s="4">
        <f t="shared" si="93"/>
        <v>0</v>
      </c>
      <c r="BH117" s="4">
        <f t="shared" si="94"/>
        <v>0</v>
      </c>
      <c r="BI117" s="4">
        <f t="shared" si="95"/>
        <v>0</v>
      </c>
      <c r="BJ117" s="4">
        <f t="shared" si="96"/>
        <v>3318.9199999999983</v>
      </c>
      <c r="BK117" s="4">
        <f t="shared" si="97"/>
        <v>389.64120799999984</v>
      </c>
      <c r="BL117" s="4">
        <f t="shared" si="98"/>
        <v>37.782299596798111</v>
      </c>
      <c r="BM117" s="4">
        <f t="shared" si="99"/>
        <v>59381.08</v>
      </c>
      <c r="BN117" s="4">
        <f t="shared" si="100"/>
        <v>2375.2432000000003</v>
      </c>
      <c r="BO117" s="4">
        <f t="shared" si="101"/>
        <v>2375.2432000000003</v>
      </c>
      <c r="BP117" s="4">
        <f t="shared" si="102"/>
        <v>278.85355168000007</v>
      </c>
      <c r="BQ117" s="4">
        <f t="shared" si="103"/>
        <v>69006.515543679998</v>
      </c>
      <c r="BR117" s="4">
        <f t="shared" si="104"/>
        <v>19756.570449654271</v>
      </c>
      <c r="BS117" s="4">
        <f t="shared" si="105"/>
        <v>26.815869251073309</v>
      </c>
      <c r="BT117" s="4">
        <f t="shared" si="106"/>
        <v>66352.418791999997</v>
      </c>
      <c r="BU117" s="4">
        <f t="shared" si="107"/>
        <v>70060.98</v>
      </c>
      <c r="BV117" s="7">
        <f t="shared" si="108"/>
        <v>560487.84</v>
      </c>
      <c r="BW117" s="7">
        <f t="shared" si="109"/>
        <v>413364.57741273096</v>
      </c>
    </row>
    <row r="118" spans="1:75" x14ac:dyDescent="0.3">
      <c r="A118" s="3">
        <f t="shared" si="55"/>
        <v>114</v>
      </c>
      <c r="B118" t="str">
        <f>INDEX(Employees!$A:$A,A118+1)</f>
        <v>E114</v>
      </c>
      <c r="C118" t="str">
        <f>INDEX(Employees!$A:$Z,MATCH(B118,Employees!$A:$A,0),MATCH("category",Employees!$1:$1,0))</f>
        <v>Marketing</v>
      </c>
      <c r="D118" t="str">
        <f>INDEX(Employees!$A:$Z,MATCH(B118,Employees!$A:$A,0),MATCH("gender",Employees!$1:$1,0))</f>
        <v>M</v>
      </c>
      <c r="E118" s="3">
        <f>INDEX(Employees!$A:$Z,MATCH(B118,Employees!$A:$A,0),MATCH("grade",Employees!$1:$1,0))</f>
        <v>7</v>
      </c>
      <c r="F118" s="3">
        <f>INDEX(Employees!$A:$Z,MATCH(B118,Employees!$A:$A,0),MATCH("rating",Employees!$1:$1,0))</f>
        <v>2</v>
      </c>
      <c r="G118" s="22">
        <f>INDEX(Employees!$A:$Z,MATCH(B118,Employees!$A:$A,0),MATCH("hire_date",Employees!$1:$1,0))</f>
        <v>45674</v>
      </c>
      <c r="H118" s="22">
        <f>INDEX(Employees!$A:$Z,MATCH(B118,Employees!$A:$A,0),MATCH("last_change_date",Employees!$1:$1,0))</f>
        <v>46113</v>
      </c>
      <c r="I118" s="4">
        <f>INDEX(Employees!$A:$Z,MATCH(B118,Employees!$A:$A,0),MATCH("base_salary",Employees!$1:$1,0))</f>
        <v>51422.59</v>
      </c>
      <c r="J118" s="5">
        <f>INDEX(Employees!$A:$Z,MATCH(B118,Employees!$A:$A,0),MATCH("bonus_pct",Employees!$1:$1,0))/100</f>
        <v>0.10050000000000001</v>
      </c>
      <c r="K118" s="7">
        <f>INDEX(Employees!$A:$Z,MATCH(B118,Employees!$A:$A,0),MATCH("fte",Employees!$1:$1,0))</f>
        <v>1</v>
      </c>
      <c r="L118" s="3">
        <f>IF(ISNA(MATCH(C118&amp;"|"&amp;E118,Bands!$F:$F,0)),0,1)</f>
        <v>1</v>
      </c>
      <c r="M118" s="4">
        <f>INDEX(Bands!$C:$C,MATCH(C118&amp;"|"&amp;E118,Bands!$F:$F,0))</f>
        <v>45400</v>
      </c>
      <c r="N118" s="4">
        <f>INDEX(Bands!$D:$D,MATCH(C118&amp;"|"&amp;E118,Bands!$F:$F,0))</f>
        <v>54500</v>
      </c>
      <c r="O118" s="4">
        <f>INDEX(Bands!$E:$E,MATCH(C118&amp;"|"&amp;E118,Bands!$F:$F,0))</f>
        <v>63600</v>
      </c>
      <c r="P118" s="7">
        <f t="shared" si="56"/>
        <v>2.2012320328542097</v>
      </c>
      <c r="Q118" s="4">
        <f t="shared" si="57"/>
        <v>56590.560294999996</v>
      </c>
      <c r="R118" s="7">
        <f t="shared" si="58"/>
        <v>49</v>
      </c>
      <c r="S118" s="7">
        <f t="shared" si="59"/>
        <v>4.8454224624634765</v>
      </c>
      <c r="T118" s="7">
        <f t="shared" si="60"/>
        <v>15.408624229979468</v>
      </c>
      <c r="U118" s="7">
        <f t="shared" si="61"/>
        <v>396133.92206499999</v>
      </c>
      <c r="V118" s="7">
        <f t="shared" si="62"/>
        <v>124568.95407852156</v>
      </c>
      <c r="W118" s="4">
        <f t="shared" si="63"/>
        <v>56590.559999999998</v>
      </c>
      <c r="X118" s="3">
        <f t="shared" si="64"/>
        <v>2</v>
      </c>
      <c r="Y118" s="4">
        <f>INDEX(Categories!$AH:$AH,MATCH(C118,Categories!$A:$A,0))</f>
        <v>75605.01810049999</v>
      </c>
      <c r="Z118" s="3">
        <f>IF(AND(D118="F",Q118&lt;Y118,INDEX(Categories!$AI:$AI,MATCH(C118,Categories!$A:$A,0))&gt;0),1,0)</f>
        <v>0</v>
      </c>
      <c r="AA118" s="4">
        <f t="shared" si="65"/>
        <v>0</v>
      </c>
      <c r="AB118" s="4">
        <f>IF(Z118=1,INDEX(Categories!$AI:$AI,MATCH(C118,Categories!$A:$A,0))*AA118/INDEX(Categories!$AJ:$AJ,MATCH(C118,Categories!$A:$A,0)),0)</f>
        <v>0</v>
      </c>
      <c r="AC118" s="4">
        <f t="shared" si="66"/>
        <v>0</v>
      </c>
      <c r="AD118" s="4">
        <f t="shared" si="67"/>
        <v>51422.59</v>
      </c>
      <c r="AE118" s="3">
        <f t="shared" si="68"/>
        <v>0</v>
      </c>
      <c r="AF118" s="3">
        <f t="shared" si="69"/>
        <v>26</v>
      </c>
      <c r="AG118" s="3">
        <f t="shared" si="70"/>
        <v>12</v>
      </c>
      <c r="AH118" s="3">
        <f t="shared" si="71"/>
        <v>1</v>
      </c>
      <c r="AI118" s="5">
        <f t="shared" si="72"/>
        <v>0.94353376146788981</v>
      </c>
      <c r="AJ118" s="3">
        <f>MATCH(AI118,Inputs!$B$31:$B$34,1)</f>
        <v>2</v>
      </c>
      <c r="AK118" s="5">
        <f>INDEX(Inputs!$C$21:$C$25,MATCH(F118,Inputs!$A$21:$A$25,0))</f>
        <v>0.95</v>
      </c>
      <c r="AL118" s="5">
        <f>INDEX(Inputs!$D$21:$D$25,MATCH(F118,Inputs!$A$21:$A$25,0))</f>
        <v>0</v>
      </c>
      <c r="AM118" s="4">
        <f t="shared" si="73"/>
        <v>51775</v>
      </c>
      <c r="AN118" s="4">
        <f t="shared" si="74"/>
        <v>352.41000000000349</v>
      </c>
      <c r="AO118" s="3">
        <f t="shared" si="75"/>
        <v>1</v>
      </c>
      <c r="AP118" s="4">
        <f t="shared" si="76"/>
        <v>15426.776999999998</v>
      </c>
      <c r="AQ118" s="4">
        <f t="shared" si="77"/>
        <v>0</v>
      </c>
      <c r="AR118" s="4">
        <f t="shared" si="78"/>
        <v>352.41000000000349</v>
      </c>
      <c r="AS118" s="3">
        <f t="shared" si="79"/>
        <v>0</v>
      </c>
      <c r="AT118" s="4">
        <f t="shared" si="80"/>
        <v>352.41000000000349</v>
      </c>
      <c r="AU118" s="4">
        <f t="shared" si="81"/>
        <v>12177.410000000003</v>
      </c>
      <c r="AV118" s="4">
        <f t="shared" si="82"/>
        <v>352.41000000000349</v>
      </c>
      <c r="AW118" s="4">
        <f t="shared" si="83"/>
        <v>352.41000000000349</v>
      </c>
      <c r="AX118" s="5">
        <f t="shared" si="84"/>
        <v>6.85321373349735E-3</v>
      </c>
      <c r="AY118" s="4">
        <f t="shared" si="85"/>
        <v>51775</v>
      </c>
      <c r="AZ118" s="3">
        <f t="shared" si="86"/>
        <v>0</v>
      </c>
      <c r="BA118" s="4">
        <f t="shared" si="87"/>
        <v>56590.560294999996</v>
      </c>
      <c r="BB118" s="4">
        <f t="shared" si="88"/>
        <v>18193.865134842497</v>
      </c>
      <c r="BC118" s="4">
        <f t="shared" si="89"/>
        <v>56590.560294999996</v>
      </c>
      <c r="BD118" s="4">
        <f t="shared" si="90"/>
        <v>18193.865134842497</v>
      </c>
      <c r="BE118" s="4">
        <f t="shared" si="91"/>
        <v>56978.387500000004</v>
      </c>
      <c r="BF118" s="4">
        <f t="shared" si="92"/>
        <v>18318.551581250002</v>
      </c>
      <c r="BG118" s="4">
        <f t="shared" si="93"/>
        <v>0</v>
      </c>
      <c r="BH118" s="4">
        <f t="shared" si="94"/>
        <v>0</v>
      </c>
      <c r="BI118" s="4">
        <f t="shared" si="95"/>
        <v>0</v>
      </c>
      <c r="BJ118" s="4">
        <f t="shared" si="96"/>
        <v>352.41000000000349</v>
      </c>
      <c r="BK118" s="4">
        <f t="shared" si="97"/>
        <v>35.417205000000351</v>
      </c>
      <c r="BL118" s="4">
        <f t="shared" si="98"/>
        <v>124.68644640750426</v>
      </c>
      <c r="BM118" s="4">
        <f t="shared" si="99"/>
        <v>51422.59</v>
      </c>
      <c r="BN118" s="4">
        <f t="shared" si="100"/>
        <v>2056.9036000000001</v>
      </c>
      <c r="BO118" s="4">
        <f t="shared" si="101"/>
        <v>2056.9036000000001</v>
      </c>
      <c r="BP118" s="4">
        <f t="shared" si="102"/>
        <v>206.71881180000003</v>
      </c>
      <c r="BQ118" s="4">
        <f t="shared" si="103"/>
        <v>58854.182706799998</v>
      </c>
      <c r="BR118" s="4">
        <f t="shared" si="104"/>
        <v>18921.619740236201</v>
      </c>
      <c r="BS118" s="4">
        <f t="shared" si="105"/>
        <v>727.75460539370397</v>
      </c>
      <c r="BT118" s="4">
        <f t="shared" si="106"/>
        <v>56590.560294999996</v>
      </c>
      <c r="BU118" s="4">
        <f t="shared" si="107"/>
        <v>56978.387500000004</v>
      </c>
      <c r="BV118" s="7">
        <f t="shared" si="108"/>
        <v>398848.71250000002</v>
      </c>
      <c r="BW118" s="7">
        <f t="shared" si="109"/>
        <v>125422.6517453799</v>
      </c>
    </row>
    <row r="119" spans="1:75" x14ac:dyDescent="0.3">
      <c r="A119" s="3">
        <f t="shared" si="55"/>
        <v>115</v>
      </c>
      <c r="B119" t="str">
        <f>INDEX(Employees!$A:$A,A119+1)</f>
        <v>E115</v>
      </c>
      <c r="C119" t="str">
        <f>INDEX(Employees!$A:$Z,MATCH(B119,Employees!$A:$A,0),MATCH("category",Employees!$1:$1,0))</f>
        <v>Marketing</v>
      </c>
      <c r="D119" t="str">
        <f>INDEX(Employees!$A:$Z,MATCH(B119,Employees!$A:$A,0),MATCH("gender",Employees!$1:$1,0))</f>
        <v>F</v>
      </c>
      <c r="E119" s="3">
        <f>INDEX(Employees!$A:$Z,MATCH(B119,Employees!$A:$A,0),MATCH("grade",Employees!$1:$1,0))</f>
        <v>9</v>
      </c>
      <c r="F119" s="3">
        <f>INDEX(Employees!$A:$Z,MATCH(B119,Employees!$A:$A,0),MATCH("rating",Employees!$1:$1,0))</f>
        <v>3</v>
      </c>
      <c r="G119" s="22">
        <f>INDEX(Employees!$A:$Z,MATCH(B119,Employees!$A:$A,0),MATCH("hire_date",Employees!$1:$1,0))</f>
        <v>44323</v>
      </c>
      <c r="H119" s="22">
        <f>INDEX(Employees!$A:$Z,MATCH(B119,Employees!$A:$A,0),MATCH("last_change_date",Employees!$1:$1,0))</f>
        <v>46113</v>
      </c>
      <c r="I119" s="4">
        <f>INDEX(Employees!$A:$Z,MATCH(B119,Employees!$A:$A,0),MATCH("base_salary",Employees!$1:$1,0))</f>
        <v>72725.320000000007</v>
      </c>
      <c r="J119" s="5">
        <f>INDEX(Employees!$A:$Z,MATCH(B119,Employees!$A:$A,0),MATCH("bonus_pct",Employees!$1:$1,0))/100</f>
        <v>0.1082</v>
      </c>
      <c r="K119" s="7">
        <f>INDEX(Employees!$A:$Z,MATCH(B119,Employees!$A:$A,0),MATCH("fte",Employees!$1:$1,0))</f>
        <v>1</v>
      </c>
      <c r="L119" s="3">
        <f>IF(ISNA(MATCH(C119&amp;"|"&amp;E119,Bands!$F:$F,0)),0,1)</f>
        <v>1</v>
      </c>
      <c r="M119" s="4">
        <f>INDEX(Bands!$C:$C,MATCH(C119&amp;"|"&amp;E119,Bands!$F:$F,0))</f>
        <v>60000</v>
      </c>
      <c r="N119" s="4">
        <f>INDEX(Bands!$D:$D,MATCH(C119&amp;"|"&amp;E119,Bands!$F:$F,0))</f>
        <v>72000</v>
      </c>
      <c r="O119" s="4">
        <f>INDEX(Bands!$E:$E,MATCH(C119&amp;"|"&amp;E119,Bands!$F:$F,0))</f>
        <v>84000</v>
      </c>
      <c r="P119" s="7">
        <f t="shared" si="56"/>
        <v>5.9000684462696782</v>
      </c>
      <c r="Q119" s="4">
        <f t="shared" si="57"/>
        <v>80594.199624000015</v>
      </c>
      <c r="R119" s="7">
        <f t="shared" si="58"/>
        <v>81</v>
      </c>
      <c r="S119" s="7">
        <f t="shared" si="59"/>
        <v>34.810807670667096</v>
      </c>
      <c r="T119" s="7">
        <f t="shared" si="60"/>
        <v>53.100616016427104</v>
      </c>
      <c r="U119" s="7">
        <f t="shared" si="61"/>
        <v>725347.79661600012</v>
      </c>
      <c r="V119" s="7">
        <f t="shared" si="62"/>
        <v>475511.29415392206</v>
      </c>
      <c r="W119" s="4">
        <f t="shared" si="63"/>
        <v>80594.2</v>
      </c>
      <c r="X119" s="3">
        <f t="shared" si="64"/>
        <v>21</v>
      </c>
      <c r="Y119" s="4">
        <f>INDEX(Categories!$AH:$AH,MATCH(C119,Categories!$A:$A,0))</f>
        <v>75605.01810049999</v>
      </c>
      <c r="Z119" s="3">
        <f>IF(AND(D119="F",Q119&lt;Y119,INDEX(Categories!$AI:$AI,MATCH(C119,Categories!$A:$A,0))&gt;0),1,0)</f>
        <v>0</v>
      </c>
      <c r="AA119" s="4">
        <f t="shared" si="65"/>
        <v>0</v>
      </c>
      <c r="AB119" s="4">
        <f>IF(Z119=1,INDEX(Categories!$AI:$AI,MATCH(C119,Categories!$A:$A,0))*AA119/INDEX(Categories!$AJ:$AJ,MATCH(C119,Categories!$A:$A,0)),0)</f>
        <v>0</v>
      </c>
      <c r="AC119" s="4">
        <f t="shared" si="66"/>
        <v>0</v>
      </c>
      <c r="AD119" s="4">
        <f t="shared" si="67"/>
        <v>72725.320000000007</v>
      </c>
      <c r="AE119" s="3">
        <f t="shared" si="68"/>
        <v>0</v>
      </c>
      <c r="AF119" s="3">
        <f t="shared" si="69"/>
        <v>70</v>
      </c>
      <c r="AG119" s="3">
        <f t="shared" si="70"/>
        <v>12</v>
      </c>
      <c r="AH119" s="3">
        <f t="shared" si="71"/>
        <v>1</v>
      </c>
      <c r="AI119" s="5">
        <f t="shared" si="72"/>
        <v>1.0100738888888889</v>
      </c>
      <c r="AJ119" s="3">
        <f>MATCH(AI119,Inputs!$B$31:$B$34,1)</f>
        <v>3</v>
      </c>
      <c r="AK119" s="5">
        <f>INDEX(Inputs!$C$21:$C$25,MATCH(F119,Inputs!$A$21:$A$25,0))</f>
        <v>1</v>
      </c>
      <c r="AL119" s="5">
        <f>INDEX(Inputs!$D$21:$D$25,MATCH(F119,Inputs!$A$21:$A$25,0))</f>
        <v>0</v>
      </c>
      <c r="AM119" s="4">
        <f t="shared" si="73"/>
        <v>72000</v>
      </c>
      <c r="AN119" s="4">
        <f t="shared" si="74"/>
        <v>0</v>
      </c>
      <c r="AO119" s="3">
        <f t="shared" si="75"/>
        <v>1</v>
      </c>
      <c r="AP119" s="4">
        <f t="shared" si="76"/>
        <v>21817.596000000001</v>
      </c>
      <c r="AQ119" s="4">
        <f t="shared" si="77"/>
        <v>0</v>
      </c>
      <c r="AR119" s="4">
        <f t="shared" si="78"/>
        <v>0</v>
      </c>
      <c r="AS119" s="3">
        <f t="shared" si="79"/>
        <v>0</v>
      </c>
      <c r="AT119" s="4">
        <f t="shared" si="80"/>
        <v>0</v>
      </c>
      <c r="AU119" s="4">
        <f t="shared" si="81"/>
        <v>11274.679999999993</v>
      </c>
      <c r="AV119" s="4">
        <f t="shared" si="82"/>
        <v>0</v>
      </c>
      <c r="AW119" s="4">
        <f t="shared" si="83"/>
        <v>0</v>
      </c>
      <c r="AX119" s="5">
        <f t="shared" si="84"/>
        <v>0</v>
      </c>
      <c r="AY119" s="4">
        <f t="shared" si="85"/>
        <v>72725.320000000007</v>
      </c>
      <c r="AZ119" s="3">
        <f t="shared" si="86"/>
        <v>0</v>
      </c>
      <c r="BA119" s="4">
        <f t="shared" si="87"/>
        <v>80594.199624000015</v>
      </c>
      <c r="BB119" s="4">
        <f t="shared" si="88"/>
        <v>19877.082364089598</v>
      </c>
      <c r="BC119" s="4">
        <f t="shared" si="89"/>
        <v>80594.199624000015</v>
      </c>
      <c r="BD119" s="4">
        <f t="shared" si="90"/>
        <v>19877.082364089598</v>
      </c>
      <c r="BE119" s="4">
        <f t="shared" si="91"/>
        <v>80594.199624000015</v>
      </c>
      <c r="BF119" s="4">
        <f t="shared" si="92"/>
        <v>19877.082364089598</v>
      </c>
      <c r="BG119" s="4">
        <f t="shared" si="93"/>
        <v>0</v>
      </c>
      <c r="BH119" s="4">
        <f t="shared" si="94"/>
        <v>0</v>
      </c>
      <c r="BI119" s="4">
        <f t="shared" si="95"/>
        <v>0</v>
      </c>
      <c r="BJ119" s="4">
        <f t="shared" si="96"/>
        <v>0</v>
      </c>
      <c r="BK119" s="4">
        <f t="shared" si="97"/>
        <v>0</v>
      </c>
      <c r="BL119" s="4">
        <f t="shared" si="98"/>
        <v>0</v>
      </c>
      <c r="BM119" s="4">
        <f t="shared" si="99"/>
        <v>72725.320000000007</v>
      </c>
      <c r="BN119" s="4">
        <f t="shared" si="100"/>
        <v>2909.0128000000004</v>
      </c>
      <c r="BO119" s="4">
        <f t="shared" si="101"/>
        <v>2909.0128000000004</v>
      </c>
      <c r="BP119" s="4">
        <f t="shared" si="102"/>
        <v>314.75518496000007</v>
      </c>
      <c r="BQ119" s="4">
        <f t="shared" si="103"/>
        <v>83817.967608960011</v>
      </c>
      <c r="BR119" s="4">
        <f t="shared" si="104"/>
        <v>19910.609551133181</v>
      </c>
      <c r="BS119" s="4">
        <f t="shared" si="105"/>
        <v>33.527187043582671</v>
      </c>
      <c r="BT119" s="4">
        <f t="shared" si="106"/>
        <v>80594.199624000015</v>
      </c>
      <c r="BU119" s="4">
        <f t="shared" si="107"/>
        <v>80594.199624000015</v>
      </c>
      <c r="BV119" s="7">
        <f t="shared" si="108"/>
        <v>725347.79661600012</v>
      </c>
      <c r="BW119" s="7">
        <f t="shared" si="109"/>
        <v>475511.29415392206</v>
      </c>
    </row>
    <row r="120" spans="1:75" x14ac:dyDescent="0.3">
      <c r="A120" s="3">
        <f t="shared" si="55"/>
        <v>116</v>
      </c>
      <c r="B120" t="str">
        <f>INDEX(Employees!$A:$A,A120+1)</f>
        <v>E116</v>
      </c>
      <c r="C120" t="str">
        <f>INDEX(Employees!$A:$Z,MATCH(B120,Employees!$A:$A,0),MATCH("category",Employees!$1:$1,0))</f>
        <v>Marketing</v>
      </c>
      <c r="D120" t="str">
        <f>INDEX(Employees!$A:$Z,MATCH(B120,Employees!$A:$A,0),MATCH("gender",Employees!$1:$1,0))</f>
        <v>M</v>
      </c>
      <c r="E120" s="3">
        <f>INDEX(Employees!$A:$Z,MATCH(B120,Employees!$A:$A,0),MATCH("grade",Employees!$1:$1,0))</f>
        <v>10</v>
      </c>
      <c r="F120" s="3">
        <f>INDEX(Employees!$A:$Z,MATCH(B120,Employees!$A:$A,0),MATCH("rating",Employees!$1:$1,0))</f>
        <v>3</v>
      </c>
      <c r="G120" s="22">
        <f>INDEX(Employees!$A:$Z,MATCH(B120,Employees!$A:$A,0),MATCH("hire_date",Employees!$1:$1,0))</f>
        <v>42132</v>
      </c>
      <c r="H120" s="22">
        <f>INDEX(Employees!$A:$Z,MATCH(B120,Employees!$A:$A,0),MATCH("last_change_date",Employees!$1:$1,0))</f>
        <v>46113</v>
      </c>
      <c r="I120" s="4">
        <f>INDEX(Employees!$A:$Z,MATCH(B120,Employees!$A:$A,0),MATCH("base_salary",Employees!$1:$1,0))</f>
        <v>72811.42</v>
      </c>
      <c r="J120" s="5">
        <f>INDEX(Employees!$A:$Z,MATCH(B120,Employees!$A:$A,0),MATCH("bonus_pct",Employees!$1:$1,0))/100</f>
        <v>8.6400000000000005E-2</v>
      </c>
      <c r="K120" s="7">
        <f>INDEX(Employees!$A:$Z,MATCH(B120,Employees!$A:$A,0),MATCH("fte",Employees!$1:$1,0))</f>
        <v>1</v>
      </c>
      <c r="L120" s="3">
        <f>IF(ISNA(MATCH(C120&amp;"|"&amp;E120,Bands!$F:$F,0)),0,1)</f>
        <v>1</v>
      </c>
      <c r="M120" s="4">
        <f>INDEX(Bands!$C:$C,MATCH(C120&amp;"|"&amp;E120,Bands!$F:$F,0))</f>
        <v>66200</v>
      </c>
      <c r="N120" s="4">
        <f>INDEX(Bands!$D:$D,MATCH(C120&amp;"|"&amp;E120,Bands!$F:$F,0))</f>
        <v>82700</v>
      </c>
      <c r="O120" s="4">
        <f>INDEX(Bands!$E:$E,MATCH(C120&amp;"|"&amp;E120,Bands!$F:$F,0))</f>
        <v>99300</v>
      </c>
      <c r="P120" s="7">
        <f t="shared" si="56"/>
        <v>11.898699520876113</v>
      </c>
      <c r="Q120" s="4">
        <f t="shared" si="57"/>
        <v>79102.326688000001</v>
      </c>
      <c r="R120" s="7">
        <f t="shared" si="58"/>
        <v>100</v>
      </c>
      <c r="S120" s="7">
        <f t="shared" si="59"/>
        <v>141.57905028809742</v>
      </c>
      <c r="T120" s="7">
        <f t="shared" si="60"/>
        <v>118.98699520876113</v>
      </c>
      <c r="U120" s="7">
        <f t="shared" si="61"/>
        <v>791023.26688000001</v>
      </c>
      <c r="V120" s="7">
        <f t="shared" si="62"/>
        <v>941214.8166626913</v>
      </c>
      <c r="W120" s="4">
        <f t="shared" si="63"/>
        <v>79102.33</v>
      </c>
      <c r="X120" s="3">
        <f t="shared" si="64"/>
        <v>19</v>
      </c>
      <c r="Y120" s="4">
        <f>INDEX(Categories!$AH:$AH,MATCH(C120,Categories!$A:$A,0))</f>
        <v>75605.01810049999</v>
      </c>
      <c r="Z120" s="3">
        <f>IF(AND(D120="F",Q120&lt;Y120,INDEX(Categories!$AI:$AI,MATCH(C120,Categories!$A:$A,0))&gt;0),1,0)</f>
        <v>0</v>
      </c>
      <c r="AA120" s="4">
        <f t="shared" si="65"/>
        <v>0</v>
      </c>
      <c r="AB120" s="4">
        <f>IF(Z120=1,INDEX(Categories!$AI:$AI,MATCH(C120,Categories!$A:$A,0))*AA120/INDEX(Categories!$AJ:$AJ,MATCH(C120,Categories!$A:$A,0)),0)</f>
        <v>0</v>
      </c>
      <c r="AC120" s="4">
        <f t="shared" si="66"/>
        <v>0</v>
      </c>
      <c r="AD120" s="4">
        <f t="shared" si="67"/>
        <v>72811.42</v>
      </c>
      <c r="AE120" s="3">
        <f t="shared" si="68"/>
        <v>0</v>
      </c>
      <c r="AF120" s="3">
        <f t="shared" si="69"/>
        <v>142</v>
      </c>
      <c r="AG120" s="3">
        <f t="shared" si="70"/>
        <v>12</v>
      </c>
      <c r="AH120" s="3">
        <f t="shared" si="71"/>
        <v>1</v>
      </c>
      <c r="AI120" s="5">
        <f t="shared" si="72"/>
        <v>0.88042829504232167</v>
      </c>
      <c r="AJ120" s="3">
        <f>MATCH(AI120,Inputs!$B$31:$B$34,1)</f>
        <v>1</v>
      </c>
      <c r="AK120" s="5">
        <f>INDEX(Inputs!$C$21:$C$25,MATCH(F120,Inputs!$A$21:$A$25,0))</f>
        <v>1</v>
      </c>
      <c r="AL120" s="5">
        <f>INDEX(Inputs!$D$21:$D$25,MATCH(F120,Inputs!$A$21:$A$25,0))</f>
        <v>0</v>
      </c>
      <c r="AM120" s="4">
        <f t="shared" si="73"/>
        <v>82700</v>
      </c>
      <c r="AN120" s="4">
        <f t="shared" si="74"/>
        <v>9888.5800000000017</v>
      </c>
      <c r="AO120" s="3">
        <f t="shared" si="75"/>
        <v>1</v>
      </c>
      <c r="AP120" s="4">
        <f t="shared" si="76"/>
        <v>21843.425999999999</v>
      </c>
      <c r="AQ120" s="4">
        <f t="shared" si="77"/>
        <v>0</v>
      </c>
      <c r="AR120" s="4">
        <f t="shared" si="78"/>
        <v>9888.5800000000017</v>
      </c>
      <c r="AS120" s="3">
        <f t="shared" si="79"/>
        <v>0</v>
      </c>
      <c r="AT120" s="4">
        <f t="shared" si="80"/>
        <v>9888.5800000000017</v>
      </c>
      <c r="AU120" s="4">
        <f t="shared" si="81"/>
        <v>26488.58</v>
      </c>
      <c r="AV120" s="4">
        <f t="shared" si="82"/>
        <v>9888.5800000000017</v>
      </c>
      <c r="AW120" s="4">
        <f t="shared" si="83"/>
        <v>9888.5800000000017</v>
      </c>
      <c r="AX120" s="5">
        <f t="shared" si="84"/>
        <v>0.13581083846462549</v>
      </c>
      <c r="AY120" s="4">
        <f t="shared" si="85"/>
        <v>82700</v>
      </c>
      <c r="AZ120" s="3">
        <f t="shared" si="86"/>
        <v>0</v>
      </c>
      <c r="BA120" s="4">
        <f t="shared" si="87"/>
        <v>79102.326688000001</v>
      </c>
      <c r="BB120" s="4">
        <f t="shared" si="88"/>
        <v>19861.566885555199</v>
      </c>
      <c r="BC120" s="4">
        <f t="shared" si="89"/>
        <v>79102.326688000001</v>
      </c>
      <c r="BD120" s="4">
        <f t="shared" si="90"/>
        <v>19861.566885555199</v>
      </c>
      <c r="BE120" s="4">
        <f t="shared" si="91"/>
        <v>89845.28</v>
      </c>
      <c r="BF120" s="4">
        <f t="shared" si="92"/>
        <v>19973.293599999997</v>
      </c>
      <c r="BG120" s="4">
        <f t="shared" si="93"/>
        <v>0</v>
      </c>
      <c r="BH120" s="4">
        <f t="shared" si="94"/>
        <v>0</v>
      </c>
      <c r="BI120" s="4">
        <f t="shared" si="95"/>
        <v>0</v>
      </c>
      <c r="BJ120" s="4">
        <f t="shared" si="96"/>
        <v>9888.5800000000017</v>
      </c>
      <c r="BK120" s="4">
        <f t="shared" si="97"/>
        <v>854.37331200000017</v>
      </c>
      <c r="BL120" s="4">
        <f t="shared" si="98"/>
        <v>111.72671444479784</v>
      </c>
      <c r="BM120" s="4">
        <f t="shared" si="99"/>
        <v>72811.42</v>
      </c>
      <c r="BN120" s="4">
        <f t="shared" si="100"/>
        <v>2912.4567999999999</v>
      </c>
      <c r="BO120" s="4">
        <f t="shared" si="101"/>
        <v>2912.4567999999999</v>
      </c>
      <c r="BP120" s="4">
        <f t="shared" si="102"/>
        <v>251.63626752000002</v>
      </c>
      <c r="BQ120" s="4">
        <f t="shared" si="103"/>
        <v>82266.419755519993</v>
      </c>
      <c r="BR120" s="4">
        <f t="shared" si="104"/>
        <v>19894.473453457405</v>
      </c>
      <c r="BS120" s="4">
        <f t="shared" si="105"/>
        <v>32.906567902206007</v>
      </c>
      <c r="BT120" s="4">
        <f t="shared" si="106"/>
        <v>79102.326688000001</v>
      </c>
      <c r="BU120" s="4">
        <f t="shared" si="107"/>
        <v>89845.28</v>
      </c>
      <c r="BV120" s="7">
        <f t="shared" si="108"/>
        <v>898452.8</v>
      </c>
      <c r="BW120" s="7">
        <f t="shared" si="109"/>
        <v>1069041.9900889802</v>
      </c>
    </row>
    <row r="121" spans="1:75" x14ac:dyDescent="0.3">
      <c r="A121" s="3">
        <f t="shared" si="55"/>
        <v>117</v>
      </c>
      <c r="B121" t="str">
        <f>INDEX(Employees!$A:$A,A121+1)</f>
        <v>E117</v>
      </c>
      <c r="C121" t="str">
        <f>INDEX(Employees!$A:$Z,MATCH(B121,Employees!$A:$A,0),MATCH("category",Employees!$1:$1,0))</f>
        <v>Manufacturing</v>
      </c>
      <c r="D121" t="str">
        <f>INDEX(Employees!$A:$Z,MATCH(B121,Employees!$A:$A,0),MATCH("gender",Employees!$1:$1,0))</f>
        <v>M</v>
      </c>
      <c r="E121" s="3">
        <f>INDEX(Employees!$A:$Z,MATCH(B121,Employees!$A:$A,0),MATCH("grade",Employees!$1:$1,0))</f>
        <v>6</v>
      </c>
      <c r="F121" s="3">
        <f>INDEX(Employees!$A:$Z,MATCH(B121,Employees!$A:$A,0),MATCH("rating",Employees!$1:$1,0))</f>
        <v>3</v>
      </c>
      <c r="G121" s="22">
        <f>INDEX(Employees!$A:$Z,MATCH(B121,Employees!$A:$A,0),MATCH("hire_date",Employees!$1:$1,0))</f>
        <v>41949</v>
      </c>
      <c r="H121" s="22">
        <f>INDEX(Employees!$A:$Z,MATCH(B121,Employees!$A:$A,0),MATCH("last_change_date",Employees!$1:$1,0))</f>
        <v>46113</v>
      </c>
      <c r="I121" s="4">
        <f>INDEX(Employees!$A:$Z,MATCH(B121,Employees!$A:$A,0),MATCH("base_salary",Employees!$1:$1,0))</f>
        <v>50405.13</v>
      </c>
      <c r="J121" s="5">
        <f>INDEX(Employees!$A:$Z,MATCH(B121,Employees!$A:$A,0),MATCH("bonus_pct",Employees!$1:$1,0))/100</f>
        <v>7.4099999999999999E-2</v>
      </c>
      <c r="K121" s="7">
        <f>INDEX(Employees!$A:$Z,MATCH(B121,Employees!$A:$A,0),MATCH("fte",Employees!$1:$1,0))</f>
        <v>1</v>
      </c>
      <c r="L121" s="3">
        <f>IF(ISNA(MATCH(C121&amp;"|"&amp;E121,Bands!$F:$F,0)),0,1)</f>
        <v>1</v>
      </c>
      <c r="M121" s="4">
        <f>INDEX(Bands!$C:$C,MATCH(C121&amp;"|"&amp;E121,Bands!$F:$F,0))</f>
        <v>39700</v>
      </c>
      <c r="N121" s="4">
        <f>INDEX(Bands!$D:$D,MATCH(C121&amp;"|"&amp;E121,Bands!$F:$F,0))</f>
        <v>47600</v>
      </c>
      <c r="O121" s="4">
        <f>INDEX(Bands!$E:$E,MATCH(C121&amp;"|"&amp;E121,Bands!$F:$F,0))</f>
        <v>55600</v>
      </c>
      <c r="P121" s="7">
        <f t="shared" si="56"/>
        <v>12.399726214921287</v>
      </c>
      <c r="Q121" s="4">
        <f t="shared" si="57"/>
        <v>54140.150133000003</v>
      </c>
      <c r="R121" s="7">
        <f t="shared" si="58"/>
        <v>36</v>
      </c>
      <c r="S121" s="7">
        <f t="shared" si="59"/>
        <v>153.75321020500618</v>
      </c>
      <c r="T121" s="7">
        <f t="shared" si="60"/>
        <v>74.398357289527723</v>
      </c>
      <c r="U121" s="7">
        <f t="shared" si="61"/>
        <v>324840.90079800005</v>
      </c>
      <c r="V121" s="7">
        <f t="shared" si="62"/>
        <v>671323.03888393438</v>
      </c>
      <c r="W121" s="4">
        <f t="shared" si="63"/>
        <v>54140.15</v>
      </c>
      <c r="X121" s="3">
        <f t="shared" si="64"/>
        <v>26</v>
      </c>
      <c r="Y121" s="4">
        <f>INDEX(Categories!$AH:$AH,MATCH(C121,Categories!$A:$A,0))</f>
        <v>48803.730524999999</v>
      </c>
      <c r="Z121" s="3">
        <f>IF(AND(D121="F",Q121&lt;Y121,INDEX(Categories!$AI:$AI,MATCH(C121,Categories!$A:$A,0))&gt;0),1,0)</f>
        <v>0</v>
      </c>
      <c r="AA121" s="4">
        <f t="shared" si="65"/>
        <v>0</v>
      </c>
      <c r="AB121" s="4">
        <f>IF(Z121=1,INDEX(Categories!$AI:$AI,MATCH(C121,Categories!$A:$A,0))*AA121/INDEX(Categories!$AJ:$AJ,MATCH(C121,Categories!$A:$A,0)),0)</f>
        <v>0</v>
      </c>
      <c r="AC121" s="4">
        <f t="shared" si="66"/>
        <v>0</v>
      </c>
      <c r="AD121" s="4">
        <f t="shared" si="67"/>
        <v>50405.13</v>
      </c>
      <c r="AE121" s="3">
        <f t="shared" si="68"/>
        <v>0</v>
      </c>
      <c r="AF121" s="3">
        <f t="shared" si="69"/>
        <v>148</v>
      </c>
      <c r="AG121" s="3">
        <f t="shared" si="70"/>
        <v>12</v>
      </c>
      <c r="AH121" s="3">
        <f t="shared" si="71"/>
        <v>1</v>
      </c>
      <c r="AI121" s="5">
        <f t="shared" si="72"/>
        <v>1.0589313025210083</v>
      </c>
      <c r="AJ121" s="3">
        <f>MATCH(AI121,Inputs!$B$31:$B$34,1)</f>
        <v>3</v>
      </c>
      <c r="AK121" s="5">
        <f>INDEX(Inputs!$C$21:$C$25,MATCH(F121,Inputs!$A$21:$A$25,0))</f>
        <v>1</v>
      </c>
      <c r="AL121" s="5">
        <f>INDEX(Inputs!$D$21:$D$25,MATCH(F121,Inputs!$A$21:$A$25,0))</f>
        <v>0</v>
      </c>
      <c r="AM121" s="4">
        <f t="shared" si="73"/>
        <v>47600</v>
      </c>
      <c r="AN121" s="4">
        <f t="shared" si="74"/>
        <v>0</v>
      </c>
      <c r="AO121" s="3">
        <f t="shared" si="75"/>
        <v>1</v>
      </c>
      <c r="AP121" s="4">
        <f t="shared" si="76"/>
        <v>15121.538999999999</v>
      </c>
      <c r="AQ121" s="4">
        <f t="shared" si="77"/>
        <v>0</v>
      </c>
      <c r="AR121" s="4">
        <f t="shared" si="78"/>
        <v>0</v>
      </c>
      <c r="AS121" s="3">
        <f t="shared" si="79"/>
        <v>0</v>
      </c>
      <c r="AT121" s="4">
        <f t="shared" si="80"/>
        <v>0</v>
      </c>
      <c r="AU121" s="4">
        <f t="shared" si="81"/>
        <v>5194.8700000000026</v>
      </c>
      <c r="AV121" s="4">
        <f t="shared" si="82"/>
        <v>0</v>
      </c>
      <c r="AW121" s="4">
        <f t="shared" si="83"/>
        <v>0</v>
      </c>
      <c r="AX121" s="5">
        <f t="shared" si="84"/>
        <v>0</v>
      </c>
      <c r="AY121" s="4">
        <f t="shared" si="85"/>
        <v>50405.13</v>
      </c>
      <c r="AZ121" s="3">
        <f t="shared" si="86"/>
        <v>0</v>
      </c>
      <c r="BA121" s="4">
        <f t="shared" si="87"/>
        <v>54140.150133000003</v>
      </c>
      <c r="BB121" s="4">
        <f t="shared" si="88"/>
        <v>17406.058267759501</v>
      </c>
      <c r="BC121" s="4">
        <f t="shared" si="89"/>
        <v>54140.150133000003</v>
      </c>
      <c r="BD121" s="4">
        <f t="shared" si="90"/>
        <v>17406.058267759501</v>
      </c>
      <c r="BE121" s="4">
        <f t="shared" si="91"/>
        <v>54140.150133000003</v>
      </c>
      <c r="BF121" s="4">
        <f t="shared" si="92"/>
        <v>17406.058267759501</v>
      </c>
      <c r="BG121" s="4">
        <f t="shared" si="93"/>
        <v>0</v>
      </c>
      <c r="BH121" s="4">
        <f t="shared" si="94"/>
        <v>0</v>
      </c>
      <c r="BI121" s="4">
        <f t="shared" si="95"/>
        <v>0</v>
      </c>
      <c r="BJ121" s="4">
        <f t="shared" si="96"/>
        <v>0</v>
      </c>
      <c r="BK121" s="4">
        <f t="shared" si="97"/>
        <v>0</v>
      </c>
      <c r="BL121" s="4">
        <f t="shared" si="98"/>
        <v>0</v>
      </c>
      <c r="BM121" s="4">
        <f t="shared" si="99"/>
        <v>50405.13</v>
      </c>
      <c r="BN121" s="4">
        <f t="shared" si="100"/>
        <v>2016.2051999999999</v>
      </c>
      <c r="BO121" s="4">
        <f t="shared" si="101"/>
        <v>2016.2051999999999</v>
      </c>
      <c r="BP121" s="4">
        <f t="shared" si="102"/>
        <v>149.40080531999999</v>
      </c>
      <c r="BQ121" s="4">
        <f t="shared" si="103"/>
        <v>56305.756138319994</v>
      </c>
      <c r="BR121" s="4">
        <f t="shared" si="104"/>
        <v>18102.300598469879</v>
      </c>
      <c r="BS121" s="4">
        <f t="shared" si="105"/>
        <v>696.24233071037816</v>
      </c>
      <c r="BT121" s="4">
        <f t="shared" si="106"/>
        <v>54140.150133000003</v>
      </c>
      <c r="BU121" s="4">
        <f t="shared" si="107"/>
        <v>54140.150133000003</v>
      </c>
      <c r="BV121" s="7">
        <f t="shared" si="108"/>
        <v>324840.90079800005</v>
      </c>
      <c r="BW121" s="7">
        <f t="shared" si="109"/>
        <v>671323.03888393438</v>
      </c>
    </row>
    <row r="122" spans="1:75" x14ac:dyDescent="0.3">
      <c r="A122" s="3">
        <f t="shared" si="55"/>
        <v>118</v>
      </c>
      <c r="B122" t="str">
        <f>INDEX(Employees!$A:$A,A122+1)</f>
        <v>E118</v>
      </c>
      <c r="C122" t="str">
        <f>INDEX(Employees!$A:$Z,MATCH(B122,Employees!$A:$A,0),MATCH("category",Employees!$1:$1,0))</f>
        <v>Manufacturing</v>
      </c>
      <c r="D122" t="str">
        <f>INDEX(Employees!$A:$Z,MATCH(B122,Employees!$A:$A,0),MATCH("gender",Employees!$1:$1,0))</f>
        <v>M</v>
      </c>
      <c r="E122" s="3">
        <f>INDEX(Employees!$A:$Z,MATCH(B122,Employees!$A:$A,0),MATCH("grade",Employees!$1:$1,0))</f>
        <v>5</v>
      </c>
      <c r="F122" s="3">
        <f>INDEX(Employees!$A:$Z,MATCH(B122,Employees!$A:$A,0),MATCH("rating",Employees!$1:$1,0))</f>
        <v>4</v>
      </c>
      <c r="G122" s="22">
        <f>INDEX(Employees!$A:$Z,MATCH(B122,Employees!$A:$A,0),MATCH("hire_date",Employees!$1:$1,0))</f>
        <v>42351</v>
      </c>
      <c r="H122" s="22">
        <f>INDEX(Employees!$A:$Z,MATCH(B122,Employees!$A:$A,0),MATCH("last_change_date",Employees!$1:$1,0))</f>
        <v>46259</v>
      </c>
      <c r="I122" s="4">
        <f>INDEX(Employees!$A:$Z,MATCH(B122,Employees!$A:$A,0),MATCH("base_salary",Employees!$1:$1,0))</f>
        <v>44243.88</v>
      </c>
      <c r="J122" s="5">
        <f>INDEX(Employees!$A:$Z,MATCH(B122,Employees!$A:$A,0),MATCH("bonus_pct",Employees!$1:$1,0))/100</f>
        <v>7.4700000000000003E-2</v>
      </c>
      <c r="K122" s="7">
        <f>INDEX(Employees!$A:$Z,MATCH(B122,Employees!$A:$A,0),MATCH("fte",Employees!$1:$1,0))</f>
        <v>0.5</v>
      </c>
      <c r="L122" s="3">
        <f>IF(ISNA(MATCH(C122&amp;"|"&amp;E122,Bands!$F:$F,0)),0,1)</f>
        <v>1</v>
      </c>
      <c r="M122" s="4">
        <f>INDEX(Bands!$C:$C,MATCH(C122&amp;"|"&amp;E122,Bands!$F:$F,0))</f>
        <v>35600</v>
      </c>
      <c r="N122" s="4">
        <f>INDEX(Bands!$D:$D,MATCH(C122&amp;"|"&amp;E122,Bands!$F:$F,0))</f>
        <v>40900</v>
      </c>
      <c r="O122" s="4">
        <f>INDEX(Bands!$E:$E,MATCH(C122&amp;"|"&amp;E122,Bands!$F:$F,0))</f>
        <v>46300</v>
      </c>
      <c r="P122" s="7">
        <f t="shared" si="56"/>
        <v>11.299110198494182</v>
      </c>
      <c r="Q122" s="4">
        <f t="shared" si="57"/>
        <v>47548.897835999996</v>
      </c>
      <c r="R122" s="7">
        <f t="shared" si="58"/>
        <v>25</v>
      </c>
      <c r="S122" s="7">
        <f t="shared" si="59"/>
        <v>127.66989127771522</v>
      </c>
      <c r="T122" s="7">
        <f t="shared" si="60"/>
        <v>56.495550992470911</v>
      </c>
      <c r="U122" s="7">
        <f t="shared" si="61"/>
        <v>237744.48917999998</v>
      </c>
      <c r="V122" s="7">
        <f t="shared" si="62"/>
        <v>537260.23646590544</v>
      </c>
      <c r="W122" s="4">
        <f t="shared" si="63"/>
        <v>47548.9</v>
      </c>
      <c r="X122" s="3">
        <f t="shared" si="64"/>
        <v>19</v>
      </c>
      <c r="Y122" s="4">
        <f>INDEX(Categories!$AH:$AH,MATCH(C122,Categories!$A:$A,0))</f>
        <v>48803.730524999999</v>
      </c>
      <c r="Z122" s="3">
        <f>IF(AND(D122="F",Q122&lt;Y122,INDEX(Categories!$AI:$AI,MATCH(C122,Categories!$A:$A,0))&gt;0),1,0)</f>
        <v>0</v>
      </c>
      <c r="AA122" s="4">
        <f t="shared" si="65"/>
        <v>0</v>
      </c>
      <c r="AB122" s="4">
        <f>IF(Z122=1,INDEX(Categories!$AI:$AI,MATCH(C122,Categories!$A:$A,0))*AA122/INDEX(Categories!$AJ:$AJ,MATCH(C122,Categories!$A:$A,0)),0)</f>
        <v>0</v>
      </c>
      <c r="AC122" s="4">
        <f t="shared" si="66"/>
        <v>0</v>
      </c>
      <c r="AD122" s="4">
        <f t="shared" si="67"/>
        <v>44243.88</v>
      </c>
      <c r="AE122" s="3">
        <f t="shared" si="68"/>
        <v>0</v>
      </c>
      <c r="AF122" s="3">
        <f t="shared" si="69"/>
        <v>135</v>
      </c>
      <c r="AG122" s="3">
        <f t="shared" si="70"/>
        <v>7</v>
      </c>
      <c r="AH122" s="3">
        <f t="shared" si="71"/>
        <v>1</v>
      </c>
      <c r="AI122" s="5">
        <f t="shared" si="72"/>
        <v>1.0817574572127138</v>
      </c>
      <c r="AJ122" s="3">
        <f>MATCH(AI122,Inputs!$B$31:$B$34,1)</f>
        <v>3</v>
      </c>
      <c r="AK122" s="5">
        <f>INDEX(Inputs!$C$21:$C$25,MATCH(F122,Inputs!$A$21:$A$25,0))</f>
        <v>1.05</v>
      </c>
      <c r="AL122" s="5">
        <f>INDEX(Inputs!$D$21:$D$25,MATCH(F122,Inputs!$A$21:$A$25,0))</f>
        <v>0.01</v>
      </c>
      <c r="AM122" s="4">
        <f t="shared" si="73"/>
        <v>42945</v>
      </c>
      <c r="AN122" s="4">
        <f t="shared" si="74"/>
        <v>0</v>
      </c>
      <c r="AO122" s="3">
        <f t="shared" si="75"/>
        <v>1</v>
      </c>
      <c r="AP122" s="4">
        <f t="shared" si="76"/>
        <v>13273.163999999999</v>
      </c>
      <c r="AQ122" s="4">
        <f t="shared" si="77"/>
        <v>442.43879999999996</v>
      </c>
      <c r="AR122" s="4">
        <f t="shared" si="78"/>
        <v>442.43879999999996</v>
      </c>
      <c r="AS122" s="3">
        <f t="shared" si="79"/>
        <v>0</v>
      </c>
      <c r="AT122" s="4">
        <f t="shared" si="80"/>
        <v>442.43879999999996</v>
      </c>
      <c r="AU122" s="4">
        <f t="shared" si="81"/>
        <v>2056.1200000000026</v>
      </c>
      <c r="AV122" s="4">
        <f t="shared" si="82"/>
        <v>442.43879999999996</v>
      </c>
      <c r="AW122" s="4">
        <f t="shared" si="83"/>
        <v>442.43879999999996</v>
      </c>
      <c r="AX122" s="5">
        <f t="shared" si="84"/>
        <v>0.01</v>
      </c>
      <c r="AY122" s="4">
        <f t="shared" si="85"/>
        <v>44686.318800000001</v>
      </c>
      <c r="AZ122" s="3">
        <f t="shared" si="86"/>
        <v>0</v>
      </c>
      <c r="BA122" s="4">
        <f t="shared" si="87"/>
        <v>23774.448917999998</v>
      </c>
      <c r="BB122" s="4">
        <f t="shared" si="88"/>
        <v>7643.4853271369993</v>
      </c>
      <c r="BC122" s="4">
        <f t="shared" si="89"/>
        <v>23774.448917999998</v>
      </c>
      <c r="BD122" s="4">
        <f t="shared" si="90"/>
        <v>7643.4853271369993</v>
      </c>
      <c r="BE122" s="4">
        <f t="shared" si="91"/>
        <v>24012.193407179999</v>
      </c>
      <c r="BF122" s="4">
        <f t="shared" si="92"/>
        <v>7719.9201804083696</v>
      </c>
      <c r="BG122" s="4">
        <f t="shared" si="93"/>
        <v>0</v>
      </c>
      <c r="BH122" s="4">
        <f t="shared" si="94"/>
        <v>0</v>
      </c>
      <c r="BI122" s="4">
        <f t="shared" si="95"/>
        <v>0</v>
      </c>
      <c r="BJ122" s="4">
        <f t="shared" si="96"/>
        <v>221.21939999999998</v>
      </c>
      <c r="BK122" s="4">
        <f t="shared" si="97"/>
        <v>16.525089179999998</v>
      </c>
      <c r="BL122" s="4">
        <f t="shared" si="98"/>
        <v>76.43485327137023</v>
      </c>
      <c r="BM122" s="4">
        <f t="shared" si="99"/>
        <v>22121.94</v>
      </c>
      <c r="BN122" s="4">
        <f t="shared" si="100"/>
        <v>1769.7551999999998</v>
      </c>
      <c r="BO122" s="4">
        <f t="shared" si="101"/>
        <v>884.87759999999992</v>
      </c>
      <c r="BP122" s="4">
        <f t="shared" si="102"/>
        <v>66.100356719999994</v>
      </c>
      <c r="BQ122" s="4">
        <f t="shared" si="103"/>
        <v>24725.426874719997</v>
      </c>
      <c r="BR122" s="4">
        <f t="shared" si="104"/>
        <v>7949.2247402224793</v>
      </c>
      <c r="BS122" s="4">
        <f t="shared" si="105"/>
        <v>305.73941308548001</v>
      </c>
      <c r="BT122" s="4">
        <f t="shared" si="106"/>
        <v>47548.897835999996</v>
      </c>
      <c r="BU122" s="4">
        <f t="shared" si="107"/>
        <v>48024.386814359998</v>
      </c>
      <c r="BV122" s="7">
        <f t="shared" si="108"/>
        <v>240121.93407179997</v>
      </c>
      <c r="BW122" s="7">
        <f t="shared" si="109"/>
        <v>542632.83883056452</v>
      </c>
    </row>
    <row r="123" spans="1:75" x14ac:dyDescent="0.3">
      <c r="A123" s="3">
        <f t="shared" si="55"/>
        <v>119</v>
      </c>
      <c r="B123" t="str">
        <f>INDEX(Employees!$A:$A,A123+1)</f>
        <v>E119</v>
      </c>
      <c r="C123" t="str">
        <f>INDEX(Employees!$A:$Z,MATCH(B123,Employees!$A:$A,0),MATCH("category",Employees!$1:$1,0))</f>
        <v>Manufacturing</v>
      </c>
      <c r="D123" t="str">
        <f>INDEX(Employees!$A:$Z,MATCH(B123,Employees!$A:$A,0),MATCH("gender",Employees!$1:$1,0))</f>
        <v>M</v>
      </c>
      <c r="E123" s="3">
        <f>INDEX(Employees!$A:$Z,MATCH(B123,Employees!$A:$A,0),MATCH("grade",Employees!$1:$1,0))</f>
        <v>7</v>
      </c>
      <c r="F123" s="3">
        <f>INDEX(Employees!$A:$Z,MATCH(B123,Employees!$A:$A,0),MATCH("rating",Employees!$1:$1,0))</f>
        <v>2</v>
      </c>
      <c r="G123" s="22">
        <f>INDEX(Employees!$A:$Z,MATCH(B123,Employees!$A:$A,0),MATCH("hire_date",Employees!$1:$1,0))</f>
        <v>40744</v>
      </c>
      <c r="H123" s="22">
        <f>INDEX(Employees!$A:$Z,MATCH(B123,Employees!$A:$A,0),MATCH("last_change_date",Employees!$1:$1,0))</f>
        <v>46113</v>
      </c>
      <c r="I123" s="4">
        <f>INDEX(Employees!$A:$Z,MATCH(B123,Employees!$A:$A,0),MATCH("base_salary",Employees!$1:$1,0))</f>
        <v>62101.14</v>
      </c>
      <c r="J123" s="5">
        <f>INDEX(Employees!$A:$Z,MATCH(B123,Employees!$A:$A,0),MATCH("bonus_pct",Employees!$1:$1,0))/100</f>
        <v>7.4999999999999997E-2</v>
      </c>
      <c r="K123" s="7">
        <f>INDEX(Employees!$A:$Z,MATCH(B123,Employees!$A:$A,0),MATCH("fte",Employees!$1:$1,0))</f>
        <v>1</v>
      </c>
      <c r="L123" s="3">
        <f>IF(ISNA(MATCH(C123&amp;"|"&amp;E123,Bands!$F:$F,0)),0,1)</f>
        <v>1</v>
      </c>
      <c r="M123" s="4">
        <f>INDEX(Bands!$C:$C,MATCH(C123&amp;"|"&amp;E123,Bands!$F:$F,0))</f>
        <v>46200</v>
      </c>
      <c r="N123" s="4">
        <f>INDEX(Bands!$D:$D,MATCH(C123&amp;"|"&amp;E123,Bands!$F:$F,0))</f>
        <v>55400</v>
      </c>
      <c r="O123" s="4">
        <f>INDEX(Bands!$E:$E,MATCH(C123&amp;"|"&amp;E123,Bands!$F:$F,0))</f>
        <v>64700</v>
      </c>
      <c r="P123" s="7">
        <f t="shared" si="56"/>
        <v>15.698836413415469</v>
      </c>
      <c r="Q123" s="4">
        <f t="shared" si="57"/>
        <v>66758.7255</v>
      </c>
      <c r="R123" s="7">
        <f t="shared" si="58"/>
        <v>49</v>
      </c>
      <c r="S123" s="7">
        <f t="shared" si="59"/>
        <v>246.45346473517947</v>
      </c>
      <c r="T123" s="7">
        <f t="shared" si="60"/>
        <v>109.89185489390829</v>
      </c>
      <c r="U123" s="7">
        <f t="shared" si="61"/>
        <v>467311.0785</v>
      </c>
      <c r="V123" s="7">
        <f t="shared" si="62"/>
        <v>1048034.3107926078</v>
      </c>
      <c r="W123" s="4">
        <f t="shared" si="63"/>
        <v>66758.73</v>
      </c>
      <c r="X123" s="3">
        <f t="shared" si="64"/>
        <v>37</v>
      </c>
      <c r="Y123" s="4">
        <f>INDEX(Categories!$AH:$AH,MATCH(C123,Categories!$A:$A,0))</f>
        <v>48803.730524999999</v>
      </c>
      <c r="Z123" s="3">
        <f>IF(AND(D123="F",Q123&lt;Y123,INDEX(Categories!$AI:$AI,MATCH(C123,Categories!$A:$A,0))&gt;0),1,0)</f>
        <v>0</v>
      </c>
      <c r="AA123" s="4">
        <f t="shared" si="65"/>
        <v>0</v>
      </c>
      <c r="AB123" s="4">
        <f>IF(Z123=1,INDEX(Categories!$AI:$AI,MATCH(C123,Categories!$A:$A,0))*AA123/INDEX(Categories!$AJ:$AJ,MATCH(C123,Categories!$A:$A,0)),0)</f>
        <v>0</v>
      </c>
      <c r="AC123" s="4">
        <f t="shared" si="66"/>
        <v>0</v>
      </c>
      <c r="AD123" s="4">
        <f t="shared" si="67"/>
        <v>62101.14</v>
      </c>
      <c r="AE123" s="3">
        <f t="shared" si="68"/>
        <v>0</v>
      </c>
      <c r="AF123" s="3">
        <f t="shared" si="69"/>
        <v>188</v>
      </c>
      <c r="AG123" s="3">
        <f t="shared" si="70"/>
        <v>12</v>
      </c>
      <c r="AH123" s="3">
        <f t="shared" si="71"/>
        <v>1</v>
      </c>
      <c r="AI123" s="5">
        <f t="shared" si="72"/>
        <v>1.1209592057761733</v>
      </c>
      <c r="AJ123" s="3">
        <f>MATCH(AI123,Inputs!$B$31:$B$34,1)</f>
        <v>4</v>
      </c>
      <c r="AK123" s="5">
        <f>INDEX(Inputs!$C$21:$C$25,MATCH(F123,Inputs!$A$21:$A$25,0))</f>
        <v>0.95</v>
      </c>
      <c r="AL123" s="5">
        <f>INDEX(Inputs!$D$21:$D$25,MATCH(F123,Inputs!$A$21:$A$25,0))</f>
        <v>0</v>
      </c>
      <c r="AM123" s="4">
        <f t="shared" si="73"/>
        <v>52630</v>
      </c>
      <c r="AN123" s="4">
        <f t="shared" si="74"/>
        <v>0</v>
      </c>
      <c r="AO123" s="3">
        <f t="shared" si="75"/>
        <v>1</v>
      </c>
      <c r="AP123" s="4">
        <f t="shared" si="76"/>
        <v>18630.342000000001</v>
      </c>
      <c r="AQ123" s="4">
        <f t="shared" si="77"/>
        <v>0</v>
      </c>
      <c r="AR123" s="4">
        <f t="shared" si="78"/>
        <v>0</v>
      </c>
      <c r="AS123" s="3">
        <f t="shared" si="79"/>
        <v>0</v>
      </c>
      <c r="AT123" s="4">
        <f t="shared" si="80"/>
        <v>0</v>
      </c>
      <c r="AU123" s="4">
        <f t="shared" si="81"/>
        <v>2598.8600000000006</v>
      </c>
      <c r="AV123" s="4">
        <f t="shared" si="82"/>
        <v>0</v>
      </c>
      <c r="AW123" s="4">
        <f t="shared" si="83"/>
        <v>0</v>
      </c>
      <c r="AX123" s="5">
        <f t="shared" si="84"/>
        <v>0</v>
      </c>
      <c r="AY123" s="4">
        <f t="shared" si="85"/>
        <v>62101.14</v>
      </c>
      <c r="AZ123" s="3">
        <f t="shared" si="86"/>
        <v>0</v>
      </c>
      <c r="BA123" s="4">
        <f t="shared" si="87"/>
        <v>66758.7255</v>
      </c>
      <c r="BB123" s="4">
        <f t="shared" si="88"/>
        <v>19733.6551248</v>
      </c>
      <c r="BC123" s="4">
        <f t="shared" si="89"/>
        <v>66758.7255</v>
      </c>
      <c r="BD123" s="4">
        <f t="shared" si="90"/>
        <v>19733.6551248</v>
      </c>
      <c r="BE123" s="4">
        <f t="shared" si="91"/>
        <v>66758.7255</v>
      </c>
      <c r="BF123" s="4">
        <f t="shared" si="92"/>
        <v>19733.6551248</v>
      </c>
      <c r="BG123" s="4">
        <f t="shared" si="93"/>
        <v>0</v>
      </c>
      <c r="BH123" s="4">
        <f t="shared" si="94"/>
        <v>0</v>
      </c>
      <c r="BI123" s="4">
        <f t="shared" si="95"/>
        <v>0</v>
      </c>
      <c r="BJ123" s="4">
        <f t="shared" si="96"/>
        <v>0</v>
      </c>
      <c r="BK123" s="4">
        <f t="shared" si="97"/>
        <v>0</v>
      </c>
      <c r="BL123" s="4">
        <f t="shared" si="98"/>
        <v>0</v>
      </c>
      <c r="BM123" s="4">
        <f t="shared" si="99"/>
        <v>62101.14</v>
      </c>
      <c r="BN123" s="4">
        <f t="shared" si="100"/>
        <v>2484.0455999999999</v>
      </c>
      <c r="BO123" s="4">
        <f t="shared" si="101"/>
        <v>2484.0455999999999</v>
      </c>
      <c r="BP123" s="4">
        <f t="shared" si="102"/>
        <v>186.30341999999999</v>
      </c>
      <c r="BQ123" s="4">
        <f t="shared" si="103"/>
        <v>69429.074519999995</v>
      </c>
      <c r="BR123" s="4">
        <f t="shared" si="104"/>
        <v>19760.965063007996</v>
      </c>
      <c r="BS123" s="4">
        <f t="shared" si="105"/>
        <v>27.309938207996311</v>
      </c>
      <c r="BT123" s="4">
        <f t="shared" si="106"/>
        <v>66758.7255</v>
      </c>
      <c r="BU123" s="4">
        <f t="shared" si="107"/>
        <v>66758.7255</v>
      </c>
      <c r="BV123" s="7">
        <f t="shared" si="108"/>
        <v>467311.0785</v>
      </c>
      <c r="BW123" s="7">
        <f t="shared" si="109"/>
        <v>1048034.3107926078</v>
      </c>
    </row>
    <row r="124" spans="1:75" x14ac:dyDescent="0.3">
      <c r="A124" s="3">
        <f t="shared" si="55"/>
        <v>120</v>
      </c>
      <c r="B124" t="str">
        <f>INDEX(Employees!$A:$A,A124+1)</f>
        <v>E120</v>
      </c>
      <c r="C124" t="str">
        <f>INDEX(Employees!$A:$Z,MATCH(B124,Employees!$A:$A,0),MATCH("category",Employees!$1:$1,0))</f>
        <v>Manufacturing</v>
      </c>
      <c r="D124" t="str">
        <f>INDEX(Employees!$A:$Z,MATCH(B124,Employees!$A:$A,0),MATCH("gender",Employees!$1:$1,0))</f>
        <v>M</v>
      </c>
      <c r="E124" s="3">
        <f>INDEX(Employees!$A:$Z,MATCH(B124,Employees!$A:$A,0),MATCH("grade",Employees!$1:$1,0))</f>
        <v>7</v>
      </c>
      <c r="F124" s="3">
        <f>INDEX(Employees!$A:$Z,MATCH(B124,Employees!$A:$A,0),MATCH("rating",Employees!$1:$1,0))</f>
        <v>3</v>
      </c>
      <c r="G124" s="22">
        <f>INDEX(Employees!$A:$Z,MATCH(B124,Employees!$A:$A,0),MATCH("hire_date",Employees!$1:$1,0))</f>
        <v>42606</v>
      </c>
      <c r="H124" s="22">
        <f>INDEX(Employees!$A:$Z,MATCH(B124,Employees!$A:$A,0),MATCH("last_change_date",Employees!$1:$1,0))</f>
        <v>46113</v>
      </c>
      <c r="I124" s="4">
        <f>INDEX(Employees!$A:$Z,MATCH(B124,Employees!$A:$A,0),MATCH("base_salary",Employees!$1:$1,0))</f>
        <v>54245.4</v>
      </c>
      <c r="J124" s="5">
        <f>INDEX(Employees!$A:$Z,MATCH(B124,Employees!$A:$A,0),MATCH("bonus_pct",Employees!$1:$1,0))/100</f>
        <v>5.21E-2</v>
      </c>
      <c r="K124" s="7">
        <f>INDEX(Employees!$A:$Z,MATCH(B124,Employees!$A:$A,0),MATCH("fte",Employees!$1:$1,0))</f>
        <v>1</v>
      </c>
      <c r="L124" s="3">
        <f>IF(ISNA(MATCH(C124&amp;"|"&amp;E124,Bands!$F:$F,0)),0,1)</f>
        <v>1</v>
      </c>
      <c r="M124" s="4">
        <f>INDEX(Bands!$C:$C,MATCH(C124&amp;"|"&amp;E124,Bands!$F:$F,0))</f>
        <v>46200</v>
      </c>
      <c r="N124" s="4">
        <f>INDEX(Bands!$D:$D,MATCH(C124&amp;"|"&amp;E124,Bands!$F:$F,0))</f>
        <v>55400</v>
      </c>
      <c r="O124" s="4">
        <f>INDEX(Bands!$E:$E,MATCH(C124&amp;"|"&amp;E124,Bands!$F:$F,0))</f>
        <v>64700</v>
      </c>
      <c r="P124" s="7">
        <f t="shared" si="56"/>
        <v>10.600958247775496</v>
      </c>
      <c r="Q124" s="4">
        <f t="shared" si="57"/>
        <v>57071.585340000005</v>
      </c>
      <c r="R124" s="7">
        <f t="shared" si="58"/>
        <v>49</v>
      </c>
      <c r="S124" s="7">
        <f t="shared" si="59"/>
        <v>112.38031577107932</v>
      </c>
      <c r="T124" s="7">
        <f t="shared" si="60"/>
        <v>74.206707734428477</v>
      </c>
      <c r="U124" s="7">
        <f t="shared" si="61"/>
        <v>399501.09738000005</v>
      </c>
      <c r="V124" s="7">
        <f t="shared" si="62"/>
        <v>605013.4933236962</v>
      </c>
      <c r="W124" s="4">
        <f t="shared" si="63"/>
        <v>57071.59</v>
      </c>
      <c r="X124" s="3">
        <f t="shared" si="64"/>
        <v>29</v>
      </c>
      <c r="Y124" s="4">
        <f>INDEX(Categories!$AH:$AH,MATCH(C124,Categories!$A:$A,0))</f>
        <v>48803.730524999999</v>
      </c>
      <c r="Z124" s="3">
        <f>IF(AND(D124="F",Q124&lt;Y124,INDEX(Categories!$AI:$AI,MATCH(C124,Categories!$A:$A,0))&gt;0),1,0)</f>
        <v>0</v>
      </c>
      <c r="AA124" s="4">
        <f t="shared" si="65"/>
        <v>0</v>
      </c>
      <c r="AB124" s="4">
        <f>IF(Z124=1,INDEX(Categories!$AI:$AI,MATCH(C124,Categories!$A:$A,0))*AA124/INDEX(Categories!$AJ:$AJ,MATCH(C124,Categories!$A:$A,0)),0)</f>
        <v>0</v>
      </c>
      <c r="AC124" s="4">
        <f t="shared" si="66"/>
        <v>0</v>
      </c>
      <c r="AD124" s="4">
        <f t="shared" si="67"/>
        <v>54245.4</v>
      </c>
      <c r="AE124" s="3">
        <f t="shared" si="68"/>
        <v>0</v>
      </c>
      <c r="AF124" s="3">
        <f t="shared" si="69"/>
        <v>127</v>
      </c>
      <c r="AG124" s="3">
        <f t="shared" si="70"/>
        <v>12</v>
      </c>
      <c r="AH124" s="3">
        <f t="shared" si="71"/>
        <v>1</v>
      </c>
      <c r="AI124" s="5">
        <f t="shared" si="72"/>
        <v>0.97915884476534298</v>
      </c>
      <c r="AJ124" s="3">
        <f>MATCH(AI124,Inputs!$B$31:$B$34,1)</f>
        <v>2</v>
      </c>
      <c r="AK124" s="5">
        <f>INDEX(Inputs!$C$21:$C$25,MATCH(F124,Inputs!$A$21:$A$25,0))</f>
        <v>1</v>
      </c>
      <c r="AL124" s="5">
        <f>INDEX(Inputs!$D$21:$D$25,MATCH(F124,Inputs!$A$21:$A$25,0))</f>
        <v>0</v>
      </c>
      <c r="AM124" s="4">
        <f t="shared" si="73"/>
        <v>55400</v>
      </c>
      <c r="AN124" s="4">
        <f t="shared" si="74"/>
        <v>1154.5999999999985</v>
      </c>
      <c r="AO124" s="3">
        <f t="shared" si="75"/>
        <v>1</v>
      </c>
      <c r="AP124" s="4">
        <f t="shared" si="76"/>
        <v>16273.619999999999</v>
      </c>
      <c r="AQ124" s="4">
        <f t="shared" si="77"/>
        <v>0</v>
      </c>
      <c r="AR124" s="4">
        <f t="shared" si="78"/>
        <v>1154.5999999999985</v>
      </c>
      <c r="AS124" s="3">
        <f t="shared" si="79"/>
        <v>0</v>
      </c>
      <c r="AT124" s="4">
        <f t="shared" si="80"/>
        <v>1154.5999999999985</v>
      </c>
      <c r="AU124" s="4">
        <f t="shared" si="81"/>
        <v>10454.599999999999</v>
      </c>
      <c r="AV124" s="4">
        <f t="shared" si="82"/>
        <v>1154.5999999999985</v>
      </c>
      <c r="AW124" s="4">
        <f t="shared" si="83"/>
        <v>1154.5999999999985</v>
      </c>
      <c r="AX124" s="5">
        <f t="shared" si="84"/>
        <v>2.1284754098965047E-2</v>
      </c>
      <c r="AY124" s="4">
        <f t="shared" si="85"/>
        <v>55400</v>
      </c>
      <c r="AZ124" s="3">
        <f t="shared" si="86"/>
        <v>0</v>
      </c>
      <c r="BA124" s="4">
        <f t="shared" si="87"/>
        <v>57071.585340000005</v>
      </c>
      <c r="BB124" s="4">
        <f t="shared" si="88"/>
        <v>18348.514686810002</v>
      </c>
      <c r="BC124" s="4">
        <f t="shared" si="89"/>
        <v>57071.585340000005</v>
      </c>
      <c r="BD124" s="4">
        <f t="shared" si="90"/>
        <v>18348.514686810002</v>
      </c>
      <c r="BE124" s="4">
        <f t="shared" si="91"/>
        <v>58286.340000000004</v>
      </c>
      <c r="BF124" s="4">
        <f t="shared" si="92"/>
        <v>18739.05831</v>
      </c>
      <c r="BG124" s="4">
        <f t="shared" si="93"/>
        <v>0</v>
      </c>
      <c r="BH124" s="4">
        <f t="shared" si="94"/>
        <v>0</v>
      </c>
      <c r="BI124" s="4">
        <f t="shared" si="95"/>
        <v>0</v>
      </c>
      <c r="BJ124" s="4">
        <f t="shared" si="96"/>
        <v>1154.5999999999985</v>
      </c>
      <c r="BK124" s="4">
        <f t="shared" si="97"/>
        <v>60.154659999999922</v>
      </c>
      <c r="BL124" s="4">
        <f t="shared" si="98"/>
        <v>390.54362318999847</v>
      </c>
      <c r="BM124" s="4">
        <f t="shared" si="99"/>
        <v>54245.4</v>
      </c>
      <c r="BN124" s="4">
        <f t="shared" si="100"/>
        <v>2169.8160000000003</v>
      </c>
      <c r="BO124" s="4">
        <f t="shared" si="101"/>
        <v>2169.8160000000003</v>
      </c>
      <c r="BP124" s="4">
        <f t="shared" si="102"/>
        <v>113.04741360000001</v>
      </c>
      <c r="BQ124" s="4">
        <f t="shared" si="103"/>
        <v>59354.448753600002</v>
      </c>
      <c r="BR124" s="4">
        <f t="shared" si="104"/>
        <v>19082.455274282402</v>
      </c>
      <c r="BS124" s="4">
        <f t="shared" si="105"/>
        <v>733.94058747239978</v>
      </c>
      <c r="BT124" s="4">
        <f t="shared" si="106"/>
        <v>57071.585340000005</v>
      </c>
      <c r="BU124" s="4">
        <f t="shared" si="107"/>
        <v>58286.340000000004</v>
      </c>
      <c r="BV124" s="7">
        <f t="shared" si="108"/>
        <v>408004.38</v>
      </c>
      <c r="BW124" s="7">
        <f t="shared" si="109"/>
        <v>617891.05675564683</v>
      </c>
    </row>
    <row r="125" spans="1:75" x14ac:dyDescent="0.3">
      <c r="A125" s="3">
        <f t="shared" si="55"/>
        <v>121</v>
      </c>
      <c r="B125" t="str">
        <f>INDEX(Employees!$A:$A,A125+1)</f>
        <v>E121</v>
      </c>
      <c r="C125" t="str">
        <f>INDEX(Employees!$A:$Z,MATCH(B125,Employees!$A:$A,0),MATCH("category",Employees!$1:$1,0))</f>
        <v>Manufacturing</v>
      </c>
      <c r="D125" t="str">
        <f>INDEX(Employees!$A:$Z,MATCH(B125,Employees!$A:$A,0),MATCH("gender",Employees!$1:$1,0))</f>
        <v>F</v>
      </c>
      <c r="E125" s="3">
        <f>INDEX(Employees!$A:$Z,MATCH(B125,Employees!$A:$A,0),MATCH("grade",Employees!$1:$1,0))</f>
        <v>6</v>
      </c>
      <c r="F125" s="3">
        <f>INDEX(Employees!$A:$Z,MATCH(B125,Employees!$A:$A,0),MATCH("rating",Employees!$1:$1,0))</f>
        <v>5</v>
      </c>
      <c r="G125" s="22">
        <f>INDEX(Employees!$A:$Z,MATCH(B125,Employees!$A:$A,0),MATCH("hire_date",Employees!$1:$1,0))</f>
        <v>43556</v>
      </c>
      <c r="H125" s="22">
        <f>INDEX(Employees!$A:$Z,MATCH(B125,Employees!$A:$A,0),MATCH("last_change_date",Employees!$1:$1,0))</f>
        <v>46113</v>
      </c>
      <c r="I125" s="4">
        <f>INDEX(Employees!$A:$Z,MATCH(B125,Employees!$A:$A,0),MATCH("base_salary",Employees!$1:$1,0))</f>
        <v>47307.07</v>
      </c>
      <c r="J125" s="5">
        <f>INDEX(Employees!$A:$Z,MATCH(B125,Employees!$A:$A,0),MATCH("bonus_pct",Employees!$1:$1,0))/100</f>
        <v>6.9500000000000006E-2</v>
      </c>
      <c r="K125" s="7">
        <f>INDEX(Employees!$A:$Z,MATCH(B125,Employees!$A:$A,0),MATCH("fte",Employees!$1:$1,0))</f>
        <v>1</v>
      </c>
      <c r="L125" s="3">
        <f>IF(ISNA(MATCH(C125&amp;"|"&amp;E125,Bands!$F:$F,0)),0,1)</f>
        <v>1</v>
      </c>
      <c r="M125" s="4">
        <f>INDEX(Bands!$C:$C,MATCH(C125&amp;"|"&amp;E125,Bands!$F:$F,0))</f>
        <v>39700</v>
      </c>
      <c r="N125" s="4">
        <f>INDEX(Bands!$D:$D,MATCH(C125&amp;"|"&amp;E125,Bands!$F:$F,0))</f>
        <v>47600</v>
      </c>
      <c r="O125" s="4">
        <f>INDEX(Bands!$E:$E,MATCH(C125&amp;"|"&amp;E125,Bands!$F:$F,0))</f>
        <v>55600</v>
      </c>
      <c r="P125" s="7">
        <f t="shared" si="56"/>
        <v>8</v>
      </c>
      <c r="Q125" s="4">
        <f t="shared" si="57"/>
        <v>50594.911365000007</v>
      </c>
      <c r="R125" s="7">
        <f t="shared" si="58"/>
        <v>36</v>
      </c>
      <c r="S125" s="7">
        <f t="shared" si="59"/>
        <v>64</v>
      </c>
      <c r="T125" s="7">
        <f t="shared" si="60"/>
        <v>48</v>
      </c>
      <c r="U125" s="7">
        <f t="shared" si="61"/>
        <v>303569.46819000004</v>
      </c>
      <c r="V125" s="7">
        <f t="shared" si="62"/>
        <v>404759.29092000006</v>
      </c>
      <c r="W125" s="4">
        <f t="shared" si="63"/>
        <v>50594.91</v>
      </c>
      <c r="X125" s="3">
        <f t="shared" si="64"/>
        <v>23</v>
      </c>
      <c r="Y125" s="4">
        <f>INDEX(Categories!$AH:$AH,MATCH(C125,Categories!$A:$A,0))</f>
        <v>48803.730524999999</v>
      </c>
      <c r="Z125" s="3">
        <f>IF(AND(D125="F",Q125&lt;Y125,INDEX(Categories!$AI:$AI,MATCH(C125,Categories!$A:$A,0))&gt;0),1,0)</f>
        <v>0</v>
      </c>
      <c r="AA125" s="4">
        <f t="shared" si="65"/>
        <v>0</v>
      </c>
      <c r="AB125" s="4">
        <f>IF(Z125=1,INDEX(Categories!$AI:$AI,MATCH(C125,Categories!$A:$A,0))*AA125/INDEX(Categories!$AJ:$AJ,MATCH(C125,Categories!$A:$A,0)),0)</f>
        <v>0</v>
      </c>
      <c r="AC125" s="4">
        <f t="shared" si="66"/>
        <v>0</v>
      </c>
      <c r="AD125" s="4">
        <f t="shared" si="67"/>
        <v>47307.07</v>
      </c>
      <c r="AE125" s="3">
        <f t="shared" si="68"/>
        <v>0</v>
      </c>
      <c r="AF125" s="3">
        <f t="shared" si="69"/>
        <v>96</v>
      </c>
      <c r="AG125" s="3">
        <f t="shared" si="70"/>
        <v>12</v>
      </c>
      <c r="AH125" s="3">
        <f t="shared" si="71"/>
        <v>1</v>
      </c>
      <c r="AI125" s="5">
        <f t="shared" si="72"/>
        <v>0.99384600840336135</v>
      </c>
      <c r="AJ125" s="3">
        <f>MATCH(AI125,Inputs!$B$31:$B$34,1)</f>
        <v>2</v>
      </c>
      <c r="AK125" s="5">
        <f>INDEX(Inputs!$C$21:$C$25,MATCH(F125,Inputs!$A$21:$A$25,0))</f>
        <v>1.1000000000000001</v>
      </c>
      <c r="AL125" s="5">
        <f>INDEX(Inputs!$D$21:$D$25,MATCH(F125,Inputs!$A$21:$A$25,0))</f>
        <v>0.02</v>
      </c>
      <c r="AM125" s="4">
        <f t="shared" si="73"/>
        <v>52360.000000000007</v>
      </c>
      <c r="AN125" s="4">
        <f t="shared" si="74"/>
        <v>5052.9300000000076</v>
      </c>
      <c r="AO125" s="3">
        <f t="shared" si="75"/>
        <v>1</v>
      </c>
      <c r="AP125" s="4">
        <f t="shared" si="76"/>
        <v>14192.120999999999</v>
      </c>
      <c r="AQ125" s="4">
        <f t="shared" si="77"/>
        <v>946.14139999999998</v>
      </c>
      <c r="AR125" s="4">
        <f t="shared" si="78"/>
        <v>5052.9300000000076</v>
      </c>
      <c r="AS125" s="3">
        <f t="shared" si="79"/>
        <v>0</v>
      </c>
      <c r="AT125" s="4">
        <f t="shared" si="80"/>
        <v>5052.9300000000076</v>
      </c>
      <c r="AU125" s="4">
        <f t="shared" si="81"/>
        <v>8292.93</v>
      </c>
      <c r="AV125" s="4">
        <f t="shared" si="82"/>
        <v>5052.9300000000076</v>
      </c>
      <c r="AW125" s="4">
        <f t="shared" si="83"/>
        <v>5052.9300000000076</v>
      </c>
      <c r="AX125" s="5">
        <f t="shared" si="84"/>
        <v>0.10681130748532952</v>
      </c>
      <c r="AY125" s="4">
        <f t="shared" si="85"/>
        <v>52360.000000000007</v>
      </c>
      <c r="AZ125" s="3">
        <f t="shared" si="86"/>
        <v>0</v>
      </c>
      <c r="BA125" s="4">
        <f t="shared" si="87"/>
        <v>50594.911365000007</v>
      </c>
      <c r="BB125" s="4">
        <f t="shared" si="88"/>
        <v>16266.264003847502</v>
      </c>
      <c r="BC125" s="4">
        <f t="shared" si="89"/>
        <v>50594.911365000007</v>
      </c>
      <c r="BD125" s="4">
        <f t="shared" si="90"/>
        <v>16266.264003847502</v>
      </c>
      <c r="BE125" s="4">
        <f t="shared" si="91"/>
        <v>55999.020000000011</v>
      </c>
      <c r="BF125" s="4">
        <f t="shared" si="92"/>
        <v>18003.684930000003</v>
      </c>
      <c r="BG125" s="4">
        <f t="shared" si="93"/>
        <v>0</v>
      </c>
      <c r="BH125" s="4">
        <f t="shared" si="94"/>
        <v>0</v>
      </c>
      <c r="BI125" s="4">
        <f t="shared" si="95"/>
        <v>0</v>
      </c>
      <c r="BJ125" s="4">
        <f t="shared" si="96"/>
        <v>5052.9300000000076</v>
      </c>
      <c r="BK125" s="4">
        <f t="shared" si="97"/>
        <v>351.17863500000055</v>
      </c>
      <c r="BL125" s="4">
        <f t="shared" si="98"/>
        <v>1737.4209261525011</v>
      </c>
      <c r="BM125" s="4">
        <f t="shared" si="99"/>
        <v>47307.07</v>
      </c>
      <c r="BN125" s="4">
        <f t="shared" si="100"/>
        <v>1892.2828</v>
      </c>
      <c r="BO125" s="4">
        <f t="shared" si="101"/>
        <v>1892.2828</v>
      </c>
      <c r="BP125" s="4">
        <f t="shared" si="102"/>
        <v>131.5136546</v>
      </c>
      <c r="BQ125" s="4">
        <f t="shared" si="103"/>
        <v>52618.707819600007</v>
      </c>
      <c r="BR125" s="4">
        <f t="shared" si="104"/>
        <v>16916.914564001403</v>
      </c>
      <c r="BS125" s="4">
        <f t="shared" si="105"/>
        <v>650.6505601539011</v>
      </c>
      <c r="BT125" s="4">
        <f t="shared" si="106"/>
        <v>50594.911365000007</v>
      </c>
      <c r="BU125" s="4">
        <f t="shared" si="107"/>
        <v>55999.020000000011</v>
      </c>
      <c r="BV125" s="7">
        <f t="shared" si="108"/>
        <v>335994.12000000005</v>
      </c>
      <c r="BW125" s="7">
        <f t="shared" si="109"/>
        <v>447992.16000000009</v>
      </c>
    </row>
    <row r="126" spans="1:75" x14ac:dyDescent="0.3">
      <c r="A126" s="3">
        <f t="shared" si="55"/>
        <v>122</v>
      </c>
      <c r="B126" t="str">
        <f>INDEX(Employees!$A:$A,A126+1)</f>
        <v>E122</v>
      </c>
      <c r="C126" t="str">
        <f>INDEX(Employees!$A:$Z,MATCH(B126,Employees!$A:$A,0),MATCH("category",Employees!$1:$1,0))</f>
        <v>Manufacturing</v>
      </c>
      <c r="D126" t="str">
        <f>INDEX(Employees!$A:$Z,MATCH(B126,Employees!$A:$A,0),MATCH("gender",Employees!$1:$1,0))</f>
        <v>M</v>
      </c>
      <c r="E126" s="3">
        <f>INDEX(Employees!$A:$Z,MATCH(B126,Employees!$A:$A,0),MATCH("grade",Employees!$1:$1,0))</f>
        <v>4</v>
      </c>
      <c r="F126" s="3">
        <f>INDEX(Employees!$A:$Z,MATCH(B126,Employees!$A:$A,0),MATCH("rating",Employees!$1:$1,0))</f>
        <v>2</v>
      </c>
      <c r="G126" s="22">
        <f>INDEX(Employees!$A:$Z,MATCH(B126,Employees!$A:$A,0),MATCH("hire_date",Employees!$1:$1,0))</f>
        <v>45163</v>
      </c>
      <c r="H126" s="22">
        <f>INDEX(Employees!$A:$Z,MATCH(B126,Employees!$A:$A,0),MATCH("last_change_date",Employees!$1:$1,0))</f>
        <v>46113</v>
      </c>
      <c r="I126" s="4">
        <f>INDEX(Employees!$A:$Z,MATCH(B126,Employees!$A:$A,0),MATCH("base_salary",Employees!$1:$1,0))</f>
        <v>35984.269999999997</v>
      </c>
      <c r="J126" s="5">
        <f>INDEX(Employees!$A:$Z,MATCH(B126,Employees!$A:$A,0),MATCH("bonus_pct",Employees!$1:$1,0))/100</f>
        <v>7.1399999999999991E-2</v>
      </c>
      <c r="K126" s="7">
        <f>INDEX(Employees!$A:$Z,MATCH(B126,Employees!$A:$A,0),MATCH("fte",Employees!$1:$1,0))</f>
        <v>1</v>
      </c>
      <c r="L126" s="3">
        <f>IF(ISNA(MATCH(C126&amp;"|"&amp;E126,Bands!$F:$F,0)),0,1)</f>
        <v>1</v>
      </c>
      <c r="M126" s="4">
        <f>INDEX(Bands!$C:$C,MATCH(C126&amp;"|"&amp;E126,Bands!$F:$F,0))</f>
        <v>30400</v>
      </c>
      <c r="N126" s="4">
        <f>INDEX(Bands!$D:$D,MATCH(C126&amp;"|"&amp;E126,Bands!$F:$F,0))</f>
        <v>35000</v>
      </c>
      <c r="O126" s="4">
        <f>INDEX(Bands!$E:$E,MATCH(C126&amp;"|"&amp;E126,Bands!$F:$F,0))</f>
        <v>39500</v>
      </c>
      <c r="P126" s="7">
        <f t="shared" si="56"/>
        <v>3.6002737850787132</v>
      </c>
      <c r="Q126" s="4">
        <f t="shared" si="57"/>
        <v>38553.546877999994</v>
      </c>
      <c r="R126" s="7">
        <f t="shared" si="58"/>
        <v>16</v>
      </c>
      <c r="S126" s="7">
        <f t="shared" si="59"/>
        <v>12.961971327525005</v>
      </c>
      <c r="T126" s="7">
        <f t="shared" si="60"/>
        <v>14.401095140314853</v>
      </c>
      <c r="U126" s="7">
        <f t="shared" si="61"/>
        <v>154214.18751199997</v>
      </c>
      <c r="V126" s="7">
        <f t="shared" si="62"/>
        <v>138803.32414666665</v>
      </c>
      <c r="W126" s="4">
        <f t="shared" si="63"/>
        <v>38553.550000000003</v>
      </c>
      <c r="X126" s="3">
        <f t="shared" si="64"/>
        <v>5</v>
      </c>
      <c r="Y126" s="4">
        <f>INDEX(Categories!$AH:$AH,MATCH(C126,Categories!$A:$A,0))</f>
        <v>48803.730524999999</v>
      </c>
      <c r="Z126" s="3">
        <f>IF(AND(D126="F",Q126&lt;Y126,INDEX(Categories!$AI:$AI,MATCH(C126,Categories!$A:$A,0))&gt;0),1,0)</f>
        <v>0</v>
      </c>
      <c r="AA126" s="4">
        <f t="shared" si="65"/>
        <v>0</v>
      </c>
      <c r="AB126" s="4">
        <f>IF(Z126=1,INDEX(Categories!$AI:$AI,MATCH(C126,Categories!$A:$A,0))*AA126/INDEX(Categories!$AJ:$AJ,MATCH(C126,Categories!$A:$A,0)),0)</f>
        <v>0</v>
      </c>
      <c r="AC126" s="4">
        <f t="shared" si="66"/>
        <v>0</v>
      </c>
      <c r="AD126" s="4">
        <f t="shared" si="67"/>
        <v>35984.269999999997</v>
      </c>
      <c r="AE126" s="3">
        <f t="shared" si="68"/>
        <v>0</v>
      </c>
      <c r="AF126" s="3">
        <f t="shared" si="69"/>
        <v>43</v>
      </c>
      <c r="AG126" s="3">
        <f t="shared" si="70"/>
        <v>12</v>
      </c>
      <c r="AH126" s="3">
        <f t="shared" si="71"/>
        <v>1</v>
      </c>
      <c r="AI126" s="5">
        <f t="shared" si="72"/>
        <v>1.028122</v>
      </c>
      <c r="AJ126" s="3">
        <f>MATCH(AI126,Inputs!$B$31:$B$34,1)</f>
        <v>3</v>
      </c>
      <c r="AK126" s="5">
        <f>INDEX(Inputs!$C$21:$C$25,MATCH(F126,Inputs!$A$21:$A$25,0))</f>
        <v>0.95</v>
      </c>
      <c r="AL126" s="5">
        <f>INDEX(Inputs!$D$21:$D$25,MATCH(F126,Inputs!$A$21:$A$25,0))</f>
        <v>0</v>
      </c>
      <c r="AM126" s="4">
        <f t="shared" si="73"/>
        <v>33250</v>
      </c>
      <c r="AN126" s="4">
        <f t="shared" si="74"/>
        <v>0</v>
      </c>
      <c r="AO126" s="3">
        <f t="shared" si="75"/>
        <v>1</v>
      </c>
      <c r="AP126" s="4">
        <f t="shared" si="76"/>
        <v>10795.280999999999</v>
      </c>
      <c r="AQ126" s="4">
        <f t="shared" si="77"/>
        <v>0</v>
      </c>
      <c r="AR126" s="4">
        <f t="shared" si="78"/>
        <v>0</v>
      </c>
      <c r="AS126" s="3">
        <f t="shared" si="79"/>
        <v>0</v>
      </c>
      <c r="AT126" s="4">
        <f t="shared" si="80"/>
        <v>0</v>
      </c>
      <c r="AU126" s="4">
        <f t="shared" si="81"/>
        <v>3515.7300000000032</v>
      </c>
      <c r="AV126" s="4">
        <f t="shared" si="82"/>
        <v>0</v>
      </c>
      <c r="AW126" s="4">
        <f t="shared" si="83"/>
        <v>0</v>
      </c>
      <c r="AX126" s="5">
        <f t="shared" si="84"/>
        <v>0</v>
      </c>
      <c r="AY126" s="4">
        <f t="shared" si="85"/>
        <v>35984.269999999997</v>
      </c>
      <c r="AZ126" s="3">
        <f t="shared" si="86"/>
        <v>0</v>
      </c>
      <c r="BA126" s="4">
        <f t="shared" si="87"/>
        <v>38553.546877999994</v>
      </c>
      <c r="BB126" s="4">
        <f t="shared" si="88"/>
        <v>12394.965321276999</v>
      </c>
      <c r="BC126" s="4">
        <f t="shared" si="89"/>
        <v>38553.546877999994</v>
      </c>
      <c r="BD126" s="4">
        <f t="shared" si="90"/>
        <v>12394.965321276999</v>
      </c>
      <c r="BE126" s="4">
        <f t="shared" si="91"/>
        <v>38553.546877999994</v>
      </c>
      <c r="BF126" s="4">
        <f t="shared" si="92"/>
        <v>12394.965321276999</v>
      </c>
      <c r="BG126" s="4">
        <f t="shared" si="93"/>
        <v>0</v>
      </c>
      <c r="BH126" s="4">
        <f t="shared" si="94"/>
        <v>0</v>
      </c>
      <c r="BI126" s="4">
        <f t="shared" si="95"/>
        <v>0</v>
      </c>
      <c r="BJ126" s="4">
        <f t="shared" si="96"/>
        <v>0</v>
      </c>
      <c r="BK126" s="4">
        <f t="shared" si="97"/>
        <v>0</v>
      </c>
      <c r="BL126" s="4">
        <f t="shared" si="98"/>
        <v>0</v>
      </c>
      <c r="BM126" s="4">
        <f t="shared" si="99"/>
        <v>35984.269999999997</v>
      </c>
      <c r="BN126" s="4">
        <f t="shared" si="100"/>
        <v>1439.3707999999999</v>
      </c>
      <c r="BO126" s="4">
        <f t="shared" si="101"/>
        <v>1439.3707999999999</v>
      </c>
      <c r="BP126" s="4">
        <f t="shared" si="102"/>
        <v>102.77107511999998</v>
      </c>
      <c r="BQ126" s="4">
        <f t="shared" si="103"/>
        <v>40095.68875311999</v>
      </c>
      <c r="BR126" s="4">
        <f t="shared" si="104"/>
        <v>12890.763934128077</v>
      </c>
      <c r="BS126" s="4">
        <f t="shared" si="105"/>
        <v>495.79861285107836</v>
      </c>
      <c r="BT126" s="4">
        <f t="shared" si="106"/>
        <v>38553.546877999994</v>
      </c>
      <c r="BU126" s="4">
        <f t="shared" si="107"/>
        <v>38553.546877999994</v>
      </c>
      <c r="BV126" s="7">
        <f t="shared" si="108"/>
        <v>154214.18751199997</v>
      </c>
      <c r="BW126" s="7">
        <f t="shared" si="109"/>
        <v>138803.32414666665</v>
      </c>
    </row>
    <row r="127" spans="1:75" x14ac:dyDescent="0.3">
      <c r="A127" s="3">
        <f t="shared" si="55"/>
        <v>123</v>
      </c>
      <c r="B127" t="str">
        <f>INDEX(Employees!$A:$A,A127+1)</f>
        <v>E123</v>
      </c>
      <c r="C127" t="str">
        <f>INDEX(Employees!$A:$Z,MATCH(B127,Employees!$A:$A,0),MATCH("category",Employees!$1:$1,0))</f>
        <v>Manufacturing</v>
      </c>
      <c r="D127" t="str">
        <f>INDEX(Employees!$A:$Z,MATCH(B127,Employees!$A:$A,0),MATCH("gender",Employees!$1:$1,0))</f>
        <v>F</v>
      </c>
      <c r="E127" s="3">
        <f>INDEX(Employees!$A:$Z,MATCH(B127,Employees!$A:$A,0),MATCH("grade",Employees!$1:$1,0))</f>
        <v>6</v>
      </c>
      <c r="F127" s="3">
        <f>INDEX(Employees!$A:$Z,MATCH(B127,Employees!$A:$A,0),MATCH("rating",Employees!$1:$1,0))</f>
        <v>3</v>
      </c>
      <c r="G127" s="22">
        <f>INDEX(Employees!$A:$Z,MATCH(B127,Employees!$A:$A,0),MATCH("hire_date",Employees!$1:$1,0))</f>
        <v>43629</v>
      </c>
      <c r="H127" s="22">
        <f>INDEX(Employees!$A:$Z,MATCH(B127,Employees!$A:$A,0),MATCH("last_change_date",Employees!$1:$1,0))</f>
        <v>46113</v>
      </c>
      <c r="I127" s="4">
        <f>INDEX(Employees!$A:$Z,MATCH(B127,Employees!$A:$A,0),MATCH("base_salary",Employees!$1:$1,0))</f>
        <v>41640.83</v>
      </c>
      <c r="J127" s="5">
        <f>INDEX(Employees!$A:$Z,MATCH(B127,Employees!$A:$A,0),MATCH("bonus_pct",Employees!$1:$1,0))/100</f>
        <v>5.3800000000000001E-2</v>
      </c>
      <c r="K127" s="7">
        <f>INDEX(Employees!$A:$Z,MATCH(B127,Employees!$A:$A,0),MATCH("fte",Employees!$1:$1,0))</f>
        <v>1</v>
      </c>
      <c r="L127" s="3">
        <f>IF(ISNA(MATCH(C127&amp;"|"&amp;E127,Bands!$F:$F,0)),0,1)</f>
        <v>1</v>
      </c>
      <c r="M127" s="4">
        <f>INDEX(Bands!$C:$C,MATCH(C127&amp;"|"&amp;E127,Bands!$F:$F,0))</f>
        <v>39700</v>
      </c>
      <c r="N127" s="4">
        <f>INDEX(Bands!$D:$D,MATCH(C127&amp;"|"&amp;E127,Bands!$F:$F,0))</f>
        <v>47600</v>
      </c>
      <c r="O127" s="4">
        <f>INDEX(Bands!$E:$E,MATCH(C127&amp;"|"&amp;E127,Bands!$F:$F,0))</f>
        <v>55600</v>
      </c>
      <c r="P127" s="7">
        <f t="shared" si="56"/>
        <v>7.8001368925393564</v>
      </c>
      <c r="Q127" s="4">
        <f t="shared" si="57"/>
        <v>43881.106654000003</v>
      </c>
      <c r="R127" s="7">
        <f t="shared" si="58"/>
        <v>36</v>
      </c>
      <c r="S127" s="7">
        <f t="shared" si="59"/>
        <v>60.842135542353525</v>
      </c>
      <c r="T127" s="7">
        <f t="shared" si="60"/>
        <v>46.800821355236138</v>
      </c>
      <c r="U127" s="7">
        <f t="shared" si="61"/>
        <v>263286.63992400002</v>
      </c>
      <c r="V127" s="7">
        <f t="shared" si="62"/>
        <v>342278.63889731967</v>
      </c>
      <c r="W127" s="4">
        <f t="shared" si="63"/>
        <v>43881.11</v>
      </c>
      <c r="X127" s="3">
        <f t="shared" si="64"/>
        <v>15</v>
      </c>
      <c r="Y127" s="4">
        <f>INDEX(Categories!$AH:$AH,MATCH(C127,Categories!$A:$A,0))</f>
        <v>48803.730524999999</v>
      </c>
      <c r="Z127" s="3">
        <f>IF(AND(D127="F",Q127&lt;Y127,INDEX(Categories!$AI:$AI,MATCH(C127,Categories!$A:$A,0))&gt;0),1,0)</f>
        <v>1</v>
      </c>
      <c r="AA127" s="4">
        <f t="shared" si="65"/>
        <v>4922.6238709999961</v>
      </c>
      <c r="AB127" s="4">
        <f>IF(Z127=1,INDEX(Categories!$AI:$AI,MATCH(C127,Categories!$A:$A,0))*AA127/INDEX(Categories!$AJ:$AJ,MATCH(C127,Categories!$A:$A,0)),0)</f>
        <v>3199.7401226522134</v>
      </c>
      <c r="AC127" s="4">
        <f t="shared" si="66"/>
        <v>3036.3827316874294</v>
      </c>
      <c r="AD127" s="4">
        <f t="shared" si="67"/>
        <v>44677.212731687432</v>
      </c>
      <c r="AE127" s="3">
        <f t="shared" si="68"/>
        <v>0</v>
      </c>
      <c r="AF127" s="3">
        <f t="shared" si="69"/>
        <v>93</v>
      </c>
      <c r="AG127" s="3">
        <f t="shared" si="70"/>
        <v>12</v>
      </c>
      <c r="AH127" s="3">
        <f t="shared" si="71"/>
        <v>1</v>
      </c>
      <c r="AI127" s="5">
        <f t="shared" si="72"/>
        <v>0.93859690612788726</v>
      </c>
      <c r="AJ127" s="3">
        <f>MATCH(AI127,Inputs!$B$31:$B$34,1)</f>
        <v>2</v>
      </c>
      <c r="AK127" s="5">
        <f>INDEX(Inputs!$C$21:$C$25,MATCH(F127,Inputs!$A$21:$A$25,0))</f>
        <v>1</v>
      </c>
      <c r="AL127" s="5">
        <f>INDEX(Inputs!$D$21:$D$25,MATCH(F127,Inputs!$A$21:$A$25,0))</f>
        <v>0</v>
      </c>
      <c r="AM127" s="4">
        <f t="shared" si="73"/>
        <v>47600</v>
      </c>
      <c r="AN127" s="4">
        <f t="shared" si="74"/>
        <v>2922.7872683125679</v>
      </c>
      <c r="AO127" s="3">
        <f t="shared" si="75"/>
        <v>1</v>
      </c>
      <c r="AP127" s="4">
        <f t="shared" si="76"/>
        <v>13403.16381950623</v>
      </c>
      <c r="AQ127" s="4">
        <f t="shared" si="77"/>
        <v>0</v>
      </c>
      <c r="AR127" s="4">
        <f t="shared" si="78"/>
        <v>2922.7872683125679</v>
      </c>
      <c r="AS127" s="3">
        <f t="shared" si="79"/>
        <v>0</v>
      </c>
      <c r="AT127" s="4">
        <f t="shared" si="80"/>
        <v>2922.7872683125679</v>
      </c>
      <c r="AU127" s="4">
        <f t="shared" si="81"/>
        <v>10922.787268312568</v>
      </c>
      <c r="AV127" s="4">
        <f t="shared" si="82"/>
        <v>2922.7872683125679</v>
      </c>
      <c r="AW127" s="4">
        <f t="shared" si="83"/>
        <v>2922.7872683125679</v>
      </c>
      <c r="AX127" s="5">
        <f t="shared" si="84"/>
        <v>6.5420089786388427E-2</v>
      </c>
      <c r="AY127" s="4">
        <f t="shared" si="85"/>
        <v>47600</v>
      </c>
      <c r="AZ127" s="3">
        <f t="shared" si="86"/>
        <v>0</v>
      </c>
      <c r="BA127" s="4">
        <f t="shared" si="87"/>
        <v>43881.106654000003</v>
      </c>
      <c r="BB127" s="4">
        <f t="shared" si="88"/>
        <v>14107.775789261001</v>
      </c>
      <c r="BC127" s="4">
        <f t="shared" si="89"/>
        <v>47080.846776652223</v>
      </c>
      <c r="BD127" s="4">
        <f t="shared" si="90"/>
        <v>15136.492238693691</v>
      </c>
      <c r="BE127" s="4">
        <f t="shared" si="91"/>
        <v>50160.880000000005</v>
      </c>
      <c r="BF127" s="4">
        <f t="shared" si="92"/>
        <v>16126.722920000002</v>
      </c>
      <c r="BG127" s="4">
        <f t="shared" si="93"/>
        <v>3036.3827316874294</v>
      </c>
      <c r="BH127" s="4">
        <f t="shared" si="94"/>
        <v>163.35739096478372</v>
      </c>
      <c r="BI127" s="4">
        <f t="shared" si="95"/>
        <v>1028.7164494326898</v>
      </c>
      <c r="BJ127" s="4">
        <f t="shared" si="96"/>
        <v>2922.7872683125679</v>
      </c>
      <c r="BK127" s="4">
        <f t="shared" si="97"/>
        <v>157.24595503521616</v>
      </c>
      <c r="BL127" s="4">
        <f t="shared" si="98"/>
        <v>990.23068130631145</v>
      </c>
      <c r="BM127" s="4">
        <f t="shared" si="99"/>
        <v>44677.212731687432</v>
      </c>
      <c r="BN127" s="4">
        <f t="shared" si="100"/>
        <v>1787.0885092674973</v>
      </c>
      <c r="BO127" s="4">
        <f t="shared" si="101"/>
        <v>1787.0885092674973</v>
      </c>
      <c r="BP127" s="4">
        <f t="shared" si="102"/>
        <v>96.145361798591352</v>
      </c>
      <c r="BQ127" s="4">
        <f t="shared" si="103"/>
        <v>48964.080647718307</v>
      </c>
      <c r="BR127" s="4">
        <f t="shared" si="104"/>
        <v>15741.951928241437</v>
      </c>
      <c r="BS127" s="4">
        <f t="shared" si="105"/>
        <v>605.45968954774617</v>
      </c>
      <c r="BT127" s="4">
        <f t="shared" si="106"/>
        <v>47080.846776652223</v>
      </c>
      <c r="BU127" s="4">
        <f t="shared" si="107"/>
        <v>50160.880000000005</v>
      </c>
      <c r="BV127" s="7">
        <f t="shared" si="108"/>
        <v>300965.28000000003</v>
      </c>
      <c r="BW127" s="7">
        <f t="shared" si="109"/>
        <v>391261.73065023957</v>
      </c>
    </row>
    <row r="128" spans="1:75" x14ac:dyDescent="0.3">
      <c r="A128" s="3">
        <f t="shared" si="55"/>
        <v>124</v>
      </c>
      <c r="B128" t="str">
        <f>INDEX(Employees!$A:$A,A128+1)</f>
        <v>E124</v>
      </c>
      <c r="C128" t="str">
        <f>INDEX(Employees!$A:$Z,MATCH(B128,Employees!$A:$A,0),MATCH("category",Employees!$1:$1,0))</f>
        <v>Manufacturing</v>
      </c>
      <c r="D128" t="str">
        <f>INDEX(Employees!$A:$Z,MATCH(B128,Employees!$A:$A,0),MATCH("gender",Employees!$1:$1,0))</f>
        <v>F</v>
      </c>
      <c r="E128" s="3">
        <f>INDEX(Employees!$A:$Z,MATCH(B128,Employees!$A:$A,0),MATCH("grade",Employees!$1:$1,0))</f>
        <v>5</v>
      </c>
      <c r="F128" s="3">
        <f>INDEX(Employees!$A:$Z,MATCH(B128,Employees!$A:$A,0),MATCH("rating",Employees!$1:$1,0))</f>
        <v>3</v>
      </c>
      <c r="G128" s="22">
        <f>INDEX(Employees!$A:$Z,MATCH(B128,Employees!$A:$A,0),MATCH("hire_date",Employees!$1:$1,0))</f>
        <v>43775</v>
      </c>
      <c r="H128" s="22">
        <f>INDEX(Employees!$A:$Z,MATCH(B128,Employees!$A:$A,0),MATCH("last_change_date",Employees!$1:$1,0))</f>
        <v>46113</v>
      </c>
      <c r="I128" s="4">
        <f>INDEX(Employees!$A:$Z,MATCH(B128,Employees!$A:$A,0),MATCH("base_salary",Employees!$1:$1,0))</f>
        <v>37644.410000000003</v>
      </c>
      <c r="J128" s="5">
        <f>INDEX(Employees!$A:$Z,MATCH(B128,Employees!$A:$A,0),MATCH("bonus_pct",Employees!$1:$1,0))/100</f>
        <v>5.3499999999999999E-2</v>
      </c>
      <c r="K128" s="7">
        <f>INDEX(Employees!$A:$Z,MATCH(B128,Employees!$A:$A,0),MATCH("fte",Employees!$1:$1,0))</f>
        <v>1</v>
      </c>
      <c r="L128" s="3">
        <f>IF(ISNA(MATCH(C128&amp;"|"&amp;E128,Bands!$F:$F,0)),0,1)</f>
        <v>1</v>
      </c>
      <c r="M128" s="4">
        <f>INDEX(Bands!$C:$C,MATCH(C128&amp;"|"&amp;E128,Bands!$F:$F,0))</f>
        <v>35600</v>
      </c>
      <c r="N128" s="4">
        <f>INDEX(Bands!$D:$D,MATCH(C128&amp;"|"&amp;E128,Bands!$F:$F,0))</f>
        <v>40900</v>
      </c>
      <c r="O128" s="4">
        <f>INDEX(Bands!$E:$E,MATCH(C128&amp;"|"&amp;E128,Bands!$F:$F,0))</f>
        <v>46300</v>
      </c>
      <c r="P128" s="7">
        <f t="shared" si="56"/>
        <v>7.40041067761807</v>
      </c>
      <c r="Q128" s="4">
        <f t="shared" si="57"/>
        <v>39658.385935000006</v>
      </c>
      <c r="R128" s="7">
        <f t="shared" si="58"/>
        <v>25</v>
      </c>
      <c r="S128" s="7">
        <f t="shared" si="59"/>
        <v>54.766078197403544</v>
      </c>
      <c r="T128" s="7">
        <f t="shared" si="60"/>
        <v>37.002053388090353</v>
      </c>
      <c r="U128" s="7">
        <f t="shared" si="61"/>
        <v>198291.92967500002</v>
      </c>
      <c r="V128" s="7">
        <f t="shared" si="62"/>
        <v>293488.34273047233</v>
      </c>
      <c r="W128" s="4">
        <f t="shared" si="63"/>
        <v>39658.39</v>
      </c>
      <c r="X128" s="3">
        <f t="shared" si="64"/>
        <v>7</v>
      </c>
      <c r="Y128" s="4">
        <f>INDEX(Categories!$AH:$AH,MATCH(C128,Categories!$A:$A,0))</f>
        <v>48803.730524999999</v>
      </c>
      <c r="Z128" s="3">
        <f>IF(AND(D128="F",Q128&lt;Y128,INDEX(Categories!$AI:$AI,MATCH(C128,Categories!$A:$A,0))&gt;0),1,0)</f>
        <v>1</v>
      </c>
      <c r="AA128" s="4">
        <f t="shared" si="65"/>
        <v>9145.3445899999933</v>
      </c>
      <c r="AB128" s="4">
        <f>IF(Z128=1,INDEX(Categories!$AI:$AI,MATCH(C128,Categories!$A:$A,0))*AA128/INDEX(Categories!$AJ:$AJ,MATCH(C128,Categories!$A:$A,0)),0)</f>
        <v>5944.5382761203773</v>
      </c>
      <c r="AC128" s="4">
        <f t="shared" si="66"/>
        <v>5642.6561709733051</v>
      </c>
      <c r="AD128" s="4">
        <f t="shared" si="67"/>
        <v>43287.06617097331</v>
      </c>
      <c r="AE128" s="3">
        <f t="shared" si="68"/>
        <v>0</v>
      </c>
      <c r="AF128" s="3">
        <f t="shared" si="69"/>
        <v>88</v>
      </c>
      <c r="AG128" s="3">
        <f t="shared" si="70"/>
        <v>12</v>
      </c>
      <c r="AH128" s="3">
        <f t="shared" si="71"/>
        <v>1</v>
      </c>
      <c r="AI128" s="5">
        <f t="shared" si="72"/>
        <v>1.058363476062917</v>
      </c>
      <c r="AJ128" s="3">
        <f>MATCH(AI128,Inputs!$B$31:$B$34,1)</f>
        <v>3</v>
      </c>
      <c r="AK128" s="5">
        <f>INDEX(Inputs!$C$21:$C$25,MATCH(F128,Inputs!$A$21:$A$25,0))</f>
        <v>1</v>
      </c>
      <c r="AL128" s="5">
        <f>INDEX(Inputs!$D$21:$D$25,MATCH(F128,Inputs!$A$21:$A$25,0))</f>
        <v>0</v>
      </c>
      <c r="AM128" s="4">
        <f t="shared" si="73"/>
        <v>40900</v>
      </c>
      <c r="AN128" s="4">
        <f t="shared" si="74"/>
        <v>0</v>
      </c>
      <c r="AO128" s="3">
        <f t="shared" si="75"/>
        <v>1</v>
      </c>
      <c r="AP128" s="4">
        <f t="shared" si="76"/>
        <v>12986.119851291993</v>
      </c>
      <c r="AQ128" s="4">
        <f t="shared" si="77"/>
        <v>0</v>
      </c>
      <c r="AR128" s="4">
        <f t="shared" si="78"/>
        <v>0</v>
      </c>
      <c r="AS128" s="3">
        <f t="shared" si="79"/>
        <v>0</v>
      </c>
      <c r="AT128" s="4">
        <f t="shared" si="80"/>
        <v>0</v>
      </c>
      <c r="AU128" s="4">
        <f t="shared" si="81"/>
        <v>3012.9338290266896</v>
      </c>
      <c r="AV128" s="4">
        <f t="shared" si="82"/>
        <v>0</v>
      </c>
      <c r="AW128" s="4">
        <f t="shared" si="83"/>
        <v>0</v>
      </c>
      <c r="AX128" s="5">
        <f t="shared" si="84"/>
        <v>0</v>
      </c>
      <c r="AY128" s="4">
        <f t="shared" si="85"/>
        <v>43287.06617097331</v>
      </c>
      <c r="AZ128" s="3">
        <f t="shared" si="86"/>
        <v>0</v>
      </c>
      <c r="BA128" s="4">
        <f t="shared" si="87"/>
        <v>39658.385935000006</v>
      </c>
      <c r="BB128" s="4">
        <f t="shared" si="88"/>
        <v>12750.171078102501</v>
      </c>
      <c r="BC128" s="4">
        <f t="shared" si="89"/>
        <v>45602.924211120386</v>
      </c>
      <c r="BD128" s="4">
        <f t="shared" si="90"/>
        <v>14661.340133875205</v>
      </c>
      <c r="BE128" s="4">
        <f t="shared" si="91"/>
        <v>45602.924211120386</v>
      </c>
      <c r="BF128" s="4">
        <f t="shared" si="92"/>
        <v>14661.340133875205</v>
      </c>
      <c r="BG128" s="4">
        <f t="shared" si="93"/>
        <v>5642.6561709733051</v>
      </c>
      <c r="BH128" s="4">
        <f t="shared" si="94"/>
        <v>301.8821051470718</v>
      </c>
      <c r="BI128" s="4">
        <f t="shared" si="95"/>
        <v>1911.1690557727034</v>
      </c>
      <c r="BJ128" s="4">
        <f t="shared" si="96"/>
        <v>0</v>
      </c>
      <c r="BK128" s="4">
        <f t="shared" si="97"/>
        <v>0</v>
      </c>
      <c r="BL128" s="4">
        <f t="shared" si="98"/>
        <v>0</v>
      </c>
      <c r="BM128" s="4">
        <f t="shared" si="99"/>
        <v>43287.06617097331</v>
      </c>
      <c r="BN128" s="4">
        <f t="shared" si="100"/>
        <v>1731.4826468389324</v>
      </c>
      <c r="BO128" s="4">
        <f t="shared" si="101"/>
        <v>1731.4826468389324</v>
      </c>
      <c r="BP128" s="4">
        <f t="shared" si="102"/>
        <v>92.634321605882874</v>
      </c>
      <c r="BQ128" s="4">
        <f t="shared" si="103"/>
        <v>47427.041179565196</v>
      </c>
      <c r="BR128" s="4">
        <f t="shared" si="104"/>
        <v>15247.79373923021</v>
      </c>
      <c r="BS128" s="4">
        <f t="shared" si="105"/>
        <v>586.45360535500549</v>
      </c>
      <c r="BT128" s="4">
        <f t="shared" si="106"/>
        <v>45602.924211120386</v>
      </c>
      <c r="BU128" s="4">
        <f t="shared" si="107"/>
        <v>45602.924211120386</v>
      </c>
      <c r="BV128" s="7">
        <f t="shared" si="108"/>
        <v>228014.62105560192</v>
      </c>
      <c r="BW128" s="7">
        <f t="shared" si="109"/>
        <v>337480.36726258288</v>
      </c>
    </row>
    <row r="129" spans="1:75" x14ac:dyDescent="0.3">
      <c r="A129" s="3">
        <f t="shared" si="55"/>
        <v>125</v>
      </c>
      <c r="B129" t="str">
        <f>INDEX(Employees!$A:$A,A129+1)</f>
        <v>E125</v>
      </c>
      <c r="C129" t="str">
        <f>INDEX(Employees!$A:$Z,MATCH(B129,Employees!$A:$A,0),MATCH("category",Employees!$1:$1,0))</f>
        <v>Manufacturing</v>
      </c>
      <c r="D129" t="str">
        <f>INDEX(Employees!$A:$Z,MATCH(B129,Employees!$A:$A,0),MATCH("gender",Employees!$1:$1,0))</f>
        <v>F</v>
      </c>
      <c r="E129" s="3">
        <f>INDEX(Employees!$A:$Z,MATCH(B129,Employees!$A:$A,0),MATCH("grade",Employees!$1:$1,0))</f>
        <v>5</v>
      </c>
      <c r="F129" s="3">
        <f>INDEX(Employees!$A:$Z,MATCH(B129,Employees!$A:$A,0),MATCH("rating",Employees!$1:$1,0))</f>
        <v>3</v>
      </c>
      <c r="G129" s="22">
        <f>INDEX(Employees!$A:$Z,MATCH(B129,Employees!$A:$A,0),MATCH("hire_date",Employees!$1:$1,0))</f>
        <v>44323</v>
      </c>
      <c r="H129" s="22">
        <f>INDEX(Employees!$A:$Z,MATCH(B129,Employees!$A:$A,0),MATCH("last_change_date",Employees!$1:$1,0))</f>
        <v>46113</v>
      </c>
      <c r="I129" s="4">
        <f>INDEX(Employees!$A:$Z,MATCH(B129,Employees!$A:$A,0),MATCH("base_salary",Employees!$1:$1,0))</f>
        <v>40999.53</v>
      </c>
      <c r="J129" s="5">
        <f>INDEX(Employees!$A:$Z,MATCH(B129,Employees!$A:$A,0),MATCH("bonus_pct",Employees!$1:$1,0))/100</f>
        <v>5.2999999999999999E-2</v>
      </c>
      <c r="K129" s="7">
        <f>INDEX(Employees!$A:$Z,MATCH(B129,Employees!$A:$A,0),MATCH("fte",Employees!$1:$1,0))</f>
        <v>1</v>
      </c>
      <c r="L129" s="3">
        <f>IF(ISNA(MATCH(C129&amp;"|"&amp;E129,Bands!$F:$F,0)),0,1)</f>
        <v>1</v>
      </c>
      <c r="M129" s="4">
        <f>INDEX(Bands!$C:$C,MATCH(C129&amp;"|"&amp;E129,Bands!$F:$F,0))</f>
        <v>35600</v>
      </c>
      <c r="N129" s="4">
        <f>INDEX(Bands!$D:$D,MATCH(C129&amp;"|"&amp;E129,Bands!$F:$F,0))</f>
        <v>40900</v>
      </c>
      <c r="O129" s="4">
        <f>INDEX(Bands!$E:$E,MATCH(C129&amp;"|"&amp;E129,Bands!$F:$F,0))</f>
        <v>46300</v>
      </c>
      <c r="P129" s="7">
        <f t="shared" si="56"/>
        <v>5.9000684462696782</v>
      </c>
      <c r="Q129" s="4">
        <f t="shared" si="57"/>
        <v>43172.505089999999</v>
      </c>
      <c r="R129" s="7">
        <f t="shared" si="58"/>
        <v>25</v>
      </c>
      <c r="S129" s="7">
        <f t="shared" si="59"/>
        <v>34.810807670667096</v>
      </c>
      <c r="T129" s="7">
        <f t="shared" si="60"/>
        <v>29.500342231348391</v>
      </c>
      <c r="U129" s="7">
        <f t="shared" si="61"/>
        <v>215862.52544999999</v>
      </c>
      <c r="V129" s="7">
        <f t="shared" si="62"/>
        <v>254720.73502792607</v>
      </c>
      <c r="W129" s="4">
        <f t="shared" si="63"/>
        <v>43172.51</v>
      </c>
      <c r="X129" s="3">
        <f t="shared" si="64"/>
        <v>13</v>
      </c>
      <c r="Y129" s="4">
        <f>INDEX(Categories!$AH:$AH,MATCH(C129,Categories!$A:$A,0))</f>
        <v>48803.730524999999</v>
      </c>
      <c r="Z129" s="3">
        <f>IF(AND(D129="F",Q129&lt;Y129,INDEX(Categories!$AI:$AI,MATCH(C129,Categories!$A:$A,0))&gt;0),1,0)</f>
        <v>1</v>
      </c>
      <c r="AA129" s="4">
        <f t="shared" si="65"/>
        <v>5631.2254350000003</v>
      </c>
      <c r="AB129" s="4">
        <f>IF(Z129=1,INDEX(Categories!$AI:$AI,MATCH(C129,Categories!$A:$A,0))*AA129/INDEX(Categories!$AJ:$AJ,MATCH(C129,Categories!$A:$A,0)),0)</f>
        <v>3660.3361207869093</v>
      </c>
      <c r="AC129" s="4">
        <f t="shared" si="66"/>
        <v>3476.1026788099807</v>
      </c>
      <c r="AD129" s="4">
        <f t="shared" si="67"/>
        <v>44475.632678809983</v>
      </c>
      <c r="AE129" s="3">
        <f t="shared" si="68"/>
        <v>0</v>
      </c>
      <c r="AF129" s="3">
        <f t="shared" si="69"/>
        <v>70</v>
      </c>
      <c r="AG129" s="3">
        <f t="shared" si="70"/>
        <v>12</v>
      </c>
      <c r="AH129" s="3">
        <f t="shared" si="71"/>
        <v>1</v>
      </c>
      <c r="AI129" s="5">
        <f t="shared" si="72"/>
        <v>1.0874237818779946</v>
      </c>
      <c r="AJ129" s="3">
        <f>MATCH(AI129,Inputs!$B$31:$B$34,1)</f>
        <v>3</v>
      </c>
      <c r="AK129" s="5">
        <f>INDEX(Inputs!$C$21:$C$25,MATCH(F129,Inputs!$A$21:$A$25,0))</f>
        <v>1</v>
      </c>
      <c r="AL129" s="5">
        <f>INDEX(Inputs!$D$21:$D$25,MATCH(F129,Inputs!$A$21:$A$25,0))</f>
        <v>0</v>
      </c>
      <c r="AM129" s="4">
        <f t="shared" si="73"/>
        <v>40900</v>
      </c>
      <c r="AN129" s="4">
        <f t="shared" si="74"/>
        <v>0</v>
      </c>
      <c r="AO129" s="3">
        <f t="shared" si="75"/>
        <v>1</v>
      </c>
      <c r="AP129" s="4">
        <f t="shared" si="76"/>
        <v>13342.689803642994</v>
      </c>
      <c r="AQ129" s="4">
        <f t="shared" si="77"/>
        <v>0</v>
      </c>
      <c r="AR129" s="4">
        <f t="shared" si="78"/>
        <v>0</v>
      </c>
      <c r="AS129" s="3">
        <f t="shared" si="79"/>
        <v>0</v>
      </c>
      <c r="AT129" s="4">
        <f t="shared" si="80"/>
        <v>0</v>
      </c>
      <c r="AU129" s="4">
        <f t="shared" si="81"/>
        <v>1824.3673211900168</v>
      </c>
      <c r="AV129" s="4">
        <f t="shared" si="82"/>
        <v>0</v>
      </c>
      <c r="AW129" s="4">
        <f t="shared" si="83"/>
        <v>0</v>
      </c>
      <c r="AX129" s="5">
        <f t="shared" si="84"/>
        <v>0</v>
      </c>
      <c r="AY129" s="4">
        <f t="shared" si="85"/>
        <v>44475.632678809983</v>
      </c>
      <c r="AZ129" s="3">
        <f t="shared" si="86"/>
        <v>0</v>
      </c>
      <c r="BA129" s="4">
        <f t="shared" si="87"/>
        <v>43172.505089999999</v>
      </c>
      <c r="BB129" s="4">
        <f t="shared" si="88"/>
        <v>13879.960386434999</v>
      </c>
      <c r="BC129" s="4">
        <f t="shared" si="89"/>
        <v>46832.841210786908</v>
      </c>
      <c r="BD129" s="4">
        <f t="shared" si="90"/>
        <v>15056.758449267991</v>
      </c>
      <c r="BE129" s="4">
        <f t="shared" si="91"/>
        <v>46832.841210786908</v>
      </c>
      <c r="BF129" s="4">
        <f t="shared" si="92"/>
        <v>15056.758449267991</v>
      </c>
      <c r="BG129" s="4">
        <f t="shared" si="93"/>
        <v>3476.1026788099807</v>
      </c>
      <c r="BH129" s="4">
        <f t="shared" si="94"/>
        <v>184.23344197692899</v>
      </c>
      <c r="BI129" s="4">
        <f t="shared" si="95"/>
        <v>1176.7980628329915</v>
      </c>
      <c r="BJ129" s="4">
        <f t="shared" si="96"/>
        <v>0</v>
      </c>
      <c r="BK129" s="4">
        <f t="shared" si="97"/>
        <v>0</v>
      </c>
      <c r="BL129" s="4">
        <f t="shared" si="98"/>
        <v>0</v>
      </c>
      <c r="BM129" s="4">
        <f t="shared" si="99"/>
        <v>44475.632678809983</v>
      </c>
      <c r="BN129" s="4">
        <f t="shared" si="100"/>
        <v>1779.0253071523994</v>
      </c>
      <c r="BO129" s="4">
        <f t="shared" si="101"/>
        <v>1779.0253071523994</v>
      </c>
      <c r="BP129" s="4">
        <f t="shared" si="102"/>
        <v>94.288341279077159</v>
      </c>
      <c r="BQ129" s="4">
        <f t="shared" si="103"/>
        <v>48706.154859218383</v>
      </c>
      <c r="BR129" s="4">
        <f t="shared" si="104"/>
        <v>15659.028787238711</v>
      </c>
      <c r="BS129" s="4">
        <f t="shared" si="105"/>
        <v>602.27033797071999</v>
      </c>
      <c r="BT129" s="4">
        <f t="shared" si="106"/>
        <v>46832.841210786908</v>
      </c>
      <c r="BU129" s="4">
        <f t="shared" si="107"/>
        <v>46832.841210786908</v>
      </c>
      <c r="BV129" s="7">
        <f t="shared" si="108"/>
        <v>234164.20605393453</v>
      </c>
      <c r="BW129" s="7">
        <f t="shared" si="109"/>
        <v>276316.96867692209</v>
      </c>
    </row>
    <row r="130" spans="1:75" x14ac:dyDescent="0.3">
      <c r="A130" s="3">
        <f t="shared" si="55"/>
        <v>126</v>
      </c>
      <c r="B130" t="str">
        <f>INDEX(Employees!$A:$A,A130+1)</f>
        <v>E126</v>
      </c>
      <c r="C130" t="str">
        <f>INDEX(Employees!$A:$Z,MATCH(B130,Employees!$A:$A,0),MATCH("category",Employees!$1:$1,0))</f>
        <v>Manufacturing</v>
      </c>
      <c r="D130" t="str">
        <f>INDEX(Employees!$A:$Z,MATCH(B130,Employees!$A:$A,0),MATCH("gender",Employees!$1:$1,0))</f>
        <v>M</v>
      </c>
      <c r="E130" s="3">
        <f>INDEX(Employees!$A:$Z,MATCH(B130,Employees!$A:$A,0),MATCH("grade",Employees!$1:$1,0))</f>
        <v>5</v>
      </c>
      <c r="F130" s="3">
        <f>INDEX(Employees!$A:$Z,MATCH(B130,Employees!$A:$A,0),MATCH("rating",Employees!$1:$1,0))</f>
        <v>4</v>
      </c>
      <c r="G130" s="22">
        <f>INDEX(Employees!$A:$Z,MATCH(B130,Employees!$A:$A,0),MATCH("hire_date",Employees!$1:$1,0))</f>
        <v>42168</v>
      </c>
      <c r="H130" s="22">
        <f>INDEX(Employees!$A:$Z,MATCH(B130,Employees!$A:$A,0),MATCH("last_change_date",Employees!$1:$1,0))</f>
        <v>46113</v>
      </c>
      <c r="I130" s="4">
        <f>INDEX(Employees!$A:$Z,MATCH(B130,Employees!$A:$A,0),MATCH("base_salary",Employees!$1:$1,0))</f>
        <v>47213.49</v>
      </c>
      <c r="J130" s="5">
        <f>INDEX(Employees!$A:$Z,MATCH(B130,Employees!$A:$A,0),MATCH("bonus_pct",Employees!$1:$1,0))/100</f>
        <v>6.0899999999999996E-2</v>
      </c>
      <c r="K130" s="7">
        <f>INDEX(Employees!$A:$Z,MATCH(B130,Employees!$A:$A,0),MATCH("fte",Employees!$1:$1,0))</f>
        <v>1</v>
      </c>
      <c r="L130" s="3">
        <f>IF(ISNA(MATCH(C130&amp;"|"&amp;E130,Bands!$F:$F,0)),0,1)</f>
        <v>1</v>
      </c>
      <c r="M130" s="4">
        <f>INDEX(Bands!$C:$C,MATCH(C130&amp;"|"&amp;E130,Bands!$F:$F,0))</f>
        <v>35600</v>
      </c>
      <c r="N130" s="4">
        <f>INDEX(Bands!$D:$D,MATCH(C130&amp;"|"&amp;E130,Bands!$F:$F,0))</f>
        <v>40900</v>
      </c>
      <c r="O130" s="4">
        <f>INDEX(Bands!$E:$E,MATCH(C130&amp;"|"&amp;E130,Bands!$F:$F,0))</f>
        <v>46300</v>
      </c>
      <c r="P130" s="7">
        <f t="shared" si="56"/>
        <v>11.800136892539356</v>
      </c>
      <c r="Q130" s="4">
        <f t="shared" si="57"/>
        <v>50088.791540999999</v>
      </c>
      <c r="R130" s="7">
        <f t="shared" si="58"/>
        <v>25</v>
      </c>
      <c r="S130" s="7">
        <f t="shared" si="59"/>
        <v>139.24323068266838</v>
      </c>
      <c r="T130" s="7">
        <f t="shared" si="60"/>
        <v>59.000684462696782</v>
      </c>
      <c r="U130" s="7">
        <f t="shared" si="61"/>
        <v>250443.95770500001</v>
      </c>
      <c r="V130" s="7">
        <f t="shared" si="62"/>
        <v>591054.59696566733</v>
      </c>
      <c r="W130" s="4">
        <f t="shared" si="63"/>
        <v>50088.79</v>
      </c>
      <c r="X130" s="3">
        <f t="shared" si="64"/>
        <v>22</v>
      </c>
      <c r="Y130" s="4">
        <f>INDEX(Categories!$AH:$AH,MATCH(C130,Categories!$A:$A,0))</f>
        <v>48803.730524999999</v>
      </c>
      <c r="Z130" s="3">
        <f>IF(AND(D130="F",Q130&lt;Y130,INDEX(Categories!$AI:$AI,MATCH(C130,Categories!$A:$A,0))&gt;0),1,0)</f>
        <v>0</v>
      </c>
      <c r="AA130" s="4">
        <f t="shared" si="65"/>
        <v>0</v>
      </c>
      <c r="AB130" s="4">
        <f>IF(Z130=1,INDEX(Categories!$AI:$AI,MATCH(C130,Categories!$A:$A,0))*AA130/INDEX(Categories!$AJ:$AJ,MATCH(C130,Categories!$A:$A,0)),0)</f>
        <v>0</v>
      </c>
      <c r="AC130" s="4">
        <f t="shared" si="66"/>
        <v>0</v>
      </c>
      <c r="AD130" s="4">
        <f t="shared" si="67"/>
        <v>47213.49</v>
      </c>
      <c r="AE130" s="3">
        <f t="shared" si="68"/>
        <v>0</v>
      </c>
      <c r="AF130" s="3">
        <f t="shared" si="69"/>
        <v>141</v>
      </c>
      <c r="AG130" s="3">
        <f t="shared" si="70"/>
        <v>12</v>
      </c>
      <c r="AH130" s="3">
        <f t="shared" si="71"/>
        <v>1</v>
      </c>
      <c r="AI130" s="5">
        <f t="shared" si="72"/>
        <v>1.1543640586797066</v>
      </c>
      <c r="AJ130" s="3">
        <f>MATCH(AI130,Inputs!$B$31:$B$34,1)</f>
        <v>4</v>
      </c>
      <c r="AK130" s="5">
        <f>INDEX(Inputs!$C$21:$C$25,MATCH(F130,Inputs!$A$21:$A$25,0))</f>
        <v>1.05</v>
      </c>
      <c r="AL130" s="5">
        <f>INDEX(Inputs!$D$21:$D$25,MATCH(F130,Inputs!$A$21:$A$25,0))</f>
        <v>0.01</v>
      </c>
      <c r="AM130" s="4">
        <f t="shared" si="73"/>
        <v>42945</v>
      </c>
      <c r="AN130" s="4">
        <f t="shared" si="74"/>
        <v>0</v>
      </c>
      <c r="AO130" s="3">
        <f t="shared" si="75"/>
        <v>1</v>
      </c>
      <c r="AP130" s="4">
        <f t="shared" si="76"/>
        <v>14164.046999999999</v>
      </c>
      <c r="AQ130" s="4">
        <f t="shared" si="77"/>
        <v>472.13490000000002</v>
      </c>
      <c r="AR130" s="4">
        <f t="shared" si="78"/>
        <v>472.13490000000002</v>
      </c>
      <c r="AS130" s="3">
        <f t="shared" si="79"/>
        <v>1</v>
      </c>
      <c r="AT130" s="4">
        <f t="shared" si="80"/>
        <v>0</v>
      </c>
      <c r="AU130" s="4">
        <f t="shared" si="81"/>
        <v>0</v>
      </c>
      <c r="AV130" s="4">
        <f t="shared" si="82"/>
        <v>0</v>
      </c>
      <c r="AW130" s="4">
        <f t="shared" si="83"/>
        <v>0</v>
      </c>
      <c r="AX130" s="5">
        <f t="shared" si="84"/>
        <v>0</v>
      </c>
      <c r="AY130" s="4">
        <f t="shared" si="85"/>
        <v>47213.49</v>
      </c>
      <c r="AZ130" s="3">
        <f t="shared" si="86"/>
        <v>0</v>
      </c>
      <c r="BA130" s="4">
        <f t="shared" si="87"/>
        <v>50088.791540999999</v>
      </c>
      <c r="BB130" s="4">
        <f t="shared" si="88"/>
        <v>16103.5464804315</v>
      </c>
      <c r="BC130" s="4">
        <f t="shared" si="89"/>
        <v>50088.791540999999</v>
      </c>
      <c r="BD130" s="4">
        <f t="shared" si="90"/>
        <v>16103.5464804315</v>
      </c>
      <c r="BE130" s="4">
        <f t="shared" si="91"/>
        <v>50088.791540999999</v>
      </c>
      <c r="BF130" s="4">
        <f t="shared" si="92"/>
        <v>16103.5464804315</v>
      </c>
      <c r="BG130" s="4">
        <f t="shared" si="93"/>
        <v>0</v>
      </c>
      <c r="BH130" s="4">
        <f t="shared" si="94"/>
        <v>0</v>
      </c>
      <c r="BI130" s="4">
        <f t="shared" si="95"/>
        <v>0</v>
      </c>
      <c r="BJ130" s="4">
        <f t="shared" si="96"/>
        <v>0</v>
      </c>
      <c r="BK130" s="4">
        <f t="shared" si="97"/>
        <v>0</v>
      </c>
      <c r="BL130" s="4">
        <f t="shared" si="98"/>
        <v>0</v>
      </c>
      <c r="BM130" s="4">
        <f t="shared" si="99"/>
        <v>47213.49</v>
      </c>
      <c r="BN130" s="4">
        <f t="shared" si="100"/>
        <v>1888.5396000000001</v>
      </c>
      <c r="BO130" s="4">
        <f t="shared" si="101"/>
        <v>1888.5396000000001</v>
      </c>
      <c r="BP130" s="4">
        <f t="shared" si="102"/>
        <v>115.01206164</v>
      </c>
      <c r="BQ130" s="4">
        <f t="shared" si="103"/>
        <v>52092.34320263999</v>
      </c>
      <c r="BR130" s="4">
        <f t="shared" si="104"/>
        <v>16747.688339648757</v>
      </c>
      <c r="BS130" s="4">
        <f t="shared" si="105"/>
        <v>644.14185921725766</v>
      </c>
      <c r="BT130" s="4">
        <f t="shared" si="106"/>
        <v>50088.791540999999</v>
      </c>
      <c r="BU130" s="4">
        <f t="shared" si="107"/>
        <v>50088.791540999999</v>
      </c>
      <c r="BV130" s="7">
        <f t="shared" si="108"/>
        <v>250443.95770500001</v>
      </c>
      <c r="BW130" s="7">
        <f t="shared" si="109"/>
        <v>591054.59696566733</v>
      </c>
    </row>
    <row r="131" spans="1:75" x14ac:dyDescent="0.3">
      <c r="A131" s="3">
        <f t="shared" si="55"/>
        <v>127</v>
      </c>
      <c r="B131" t="str">
        <f>INDEX(Employees!$A:$A,A131+1)</f>
        <v>E127</v>
      </c>
      <c r="C131" t="str">
        <f>INDEX(Employees!$A:$Z,MATCH(B131,Employees!$A:$A,0),MATCH("category",Employees!$1:$1,0))</f>
        <v>Manufacturing</v>
      </c>
      <c r="D131" t="str">
        <f>INDEX(Employees!$A:$Z,MATCH(B131,Employees!$A:$A,0),MATCH("gender",Employees!$1:$1,0))</f>
        <v>M</v>
      </c>
      <c r="E131" s="3">
        <f>INDEX(Employees!$A:$Z,MATCH(B131,Employees!$A:$A,0),MATCH("grade",Employees!$1:$1,0))</f>
        <v>7</v>
      </c>
      <c r="F131" s="3">
        <f>INDEX(Employees!$A:$Z,MATCH(B131,Employees!$A:$A,0),MATCH("rating",Employees!$1:$1,0))</f>
        <v>3</v>
      </c>
      <c r="G131" s="22">
        <f>INDEX(Employees!$A:$Z,MATCH(B131,Employees!$A:$A,0),MATCH("hire_date",Employees!$1:$1,0))</f>
        <v>39721</v>
      </c>
      <c r="H131" s="22">
        <f>INDEX(Employees!$A:$Z,MATCH(B131,Employees!$A:$A,0),MATCH("last_change_date",Employees!$1:$1,0))</f>
        <v>46113</v>
      </c>
      <c r="I131" s="4">
        <f>INDEX(Employees!$A:$Z,MATCH(B131,Employees!$A:$A,0),MATCH("base_salary",Employees!$1:$1,0))</f>
        <v>59702.38</v>
      </c>
      <c r="J131" s="5">
        <f>INDEX(Employees!$A:$Z,MATCH(B131,Employees!$A:$A,0),MATCH("bonus_pct",Employees!$1:$1,0))/100</f>
        <v>5.16E-2</v>
      </c>
      <c r="K131" s="7">
        <f>INDEX(Employees!$A:$Z,MATCH(B131,Employees!$A:$A,0),MATCH("fte",Employees!$1:$1,0))</f>
        <v>1</v>
      </c>
      <c r="L131" s="3">
        <f>IF(ISNA(MATCH(C131&amp;"|"&amp;E131,Bands!$F:$F,0)),0,1)</f>
        <v>1</v>
      </c>
      <c r="M131" s="4">
        <f>INDEX(Bands!$C:$C,MATCH(C131&amp;"|"&amp;E131,Bands!$F:$F,0))</f>
        <v>46200</v>
      </c>
      <c r="N131" s="4">
        <f>INDEX(Bands!$D:$D,MATCH(C131&amp;"|"&amp;E131,Bands!$F:$F,0))</f>
        <v>55400</v>
      </c>
      <c r="O131" s="4">
        <f>INDEX(Bands!$E:$E,MATCH(C131&amp;"|"&amp;E131,Bands!$F:$F,0))</f>
        <v>64700</v>
      </c>
      <c r="P131" s="7">
        <f t="shared" si="56"/>
        <v>18.499657768651609</v>
      </c>
      <c r="Q131" s="4">
        <f t="shared" si="57"/>
        <v>62783.022808000002</v>
      </c>
      <c r="R131" s="7">
        <f t="shared" si="58"/>
        <v>49</v>
      </c>
      <c r="S131" s="7">
        <f t="shared" si="59"/>
        <v>342.23733755723185</v>
      </c>
      <c r="T131" s="7">
        <f t="shared" si="60"/>
        <v>129.49760438056126</v>
      </c>
      <c r="U131" s="7">
        <f t="shared" si="61"/>
        <v>439481.15965600003</v>
      </c>
      <c r="V131" s="7">
        <f t="shared" si="62"/>
        <v>1161464.4356294484</v>
      </c>
      <c r="W131" s="4">
        <f t="shared" si="63"/>
        <v>62783.02</v>
      </c>
      <c r="X131" s="3">
        <f t="shared" si="64"/>
        <v>36</v>
      </c>
      <c r="Y131" s="4">
        <f>INDEX(Categories!$AH:$AH,MATCH(C131,Categories!$A:$A,0))</f>
        <v>48803.730524999999</v>
      </c>
      <c r="Z131" s="3">
        <f>IF(AND(D131="F",Q131&lt;Y131,INDEX(Categories!$AI:$AI,MATCH(C131,Categories!$A:$A,0))&gt;0),1,0)</f>
        <v>0</v>
      </c>
      <c r="AA131" s="4">
        <f t="shared" si="65"/>
        <v>0</v>
      </c>
      <c r="AB131" s="4">
        <f>IF(Z131=1,INDEX(Categories!$AI:$AI,MATCH(C131,Categories!$A:$A,0))*AA131/INDEX(Categories!$AJ:$AJ,MATCH(C131,Categories!$A:$A,0)),0)</f>
        <v>0</v>
      </c>
      <c r="AC131" s="4">
        <f t="shared" si="66"/>
        <v>0</v>
      </c>
      <c r="AD131" s="4">
        <f t="shared" si="67"/>
        <v>59702.38</v>
      </c>
      <c r="AE131" s="3">
        <f t="shared" si="68"/>
        <v>0</v>
      </c>
      <c r="AF131" s="3">
        <f t="shared" si="69"/>
        <v>222</v>
      </c>
      <c r="AG131" s="3">
        <f t="shared" si="70"/>
        <v>12</v>
      </c>
      <c r="AH131" s="3">
        <f t="shared" si="71"/>
        <v>1</v>
      </c>
      <c r="AI131" s="5">
        <f t="shared" si="72"/>
        <v>1.0776602888086642</v>
      </c>
      <c r="AJ131" s="3">
        <f>MATCH(AI131,Inputs!$B$31:$B$34,1)</f>
        <v>3</v>
      </c>
      <c r="AK131" s="5">
        <f>INDEX(Inputs!$C$21:$C$25,MATCH(F131,Inputs!$A$21:$A$25,0))</f>
        <v>1</v>
      </c>
      <c r="AL131" s="5">
        <f>INDEX(Inputs!$D$21:$D$25,MATCH(F131,Inputs!$A$21:$A$25,0))</f>
        <v>0</v>
      </c>
      <c r="AM131" s="4">
        <f t="shared" si="73"/>
        <v>55400</v>
      </c>
      <c r="AN131" s="4">
        <f t="shared" si="74"/>
        <v>0</v>
      </c>
      <c r="AO131" s="3">
        <f t="shared" si="75"/>
        <v>1</v>
      </c>
      <c r="AP131" s="4">
        <f t="shared" si="76"/>
        <v>17910.714</v>
      </c>
      <c r="AQ131" s="4">
        <f t="shared" si="77"/>
        <v>0</v>
      </c>
      <c r="AR131" s="4">
        <f t="shared" si="78"/>
        <v>0</v>
      </c>
      <c r="AS131" s="3">
        <f t="shared" si="79"/>
        <v>0</v>
      </c>
      <c r="AT131" s="4">
        <f t="shared" si="80"/>
        <v>0</v>
      </c>
      <c r="AU131" s="4">
        <f t="shared" si="81"/>
        <v>4997.6200000000026</v>
      </c>
      <c r="AV131" s="4">
        <f t="shared" si="82"/>
        <v>0</v>
      </c>
      <c r="AW131" s="4">
        <f t="shared" si="83"/>
        <v>0</v>
      </c>
      <c r="AX131" s="5">
        <f t="shared" si="84"/>
        <v>0</v>
      </c>
      <c r="AY131" s="4">
        <f t="shared" si="85"/>
        <v>59702.38</v>
      </c>
      <c r="AZ131" s="3">
        <f t="shared" si="86"/>
        <v>0</v>
      </c>
      <c r="BA131" s="4">
        <f t="shared" si="87"/>
        <v>62783.022808000002</v>
      </c>
      <c r="BB131" s="4">
        <f t="shared" si="88"/>
        <v>19695.488378956801</v>
      </c>
      <c r="BC131" s="4">
        <f t="shared" si="89"/>
        <v>62783.022808000002</v>
      </c>
      <c r="BD131" s="4">
        <f t="shared" si="90"/>
        <v>19695.488378956801</v>
      </c>
      <c r="BE131" s="4">
        <f t="shared" si="91"/>
        <v>62783.022808000002</v>
      </c>
      <c r="BF131" s="4">
        <f t="shared" si="92"/>
        <v>19695.488378956801</v>
      </c>
      <c r="BG131" s="4">
        <f t="shared" si="93"/>
        <v>0</v>
      </c>
      <c r="BH131" s="4">
        <f t="shared" si="94"/>
        <v>0</v>
      </c>
      <c r="BI131" s="4">
        <f t="shared" si="95"/>
        <v>0</v>
      </c>
      <c r="BJ131" s="4">
        <f t="shared" si="96"/>
        <v>0</v>
      </c>
      <c r="BK131" s="4">
        <f t="shared" si="97"/>
        <v>0</v>
      </c>
      <c r="BL131" s="4">
        <f t="shared" si="98"/>
        <v>0</v>
      </c>
      <c r="BM131" s="4">
        <f t="shared" si="99"/>
        <v>59702.38</v>
      </c>
      <c r="BN131" s="4">
        <f t="shared" si="100"/>
        <v>2388.0951999999997</v>
      </c>
      <c r="BO131" s="4">
        <f t="shared" si="101"/>
        <v>2388.0951999999997</v>
      </c>
      <c r="BP131" s="4">
        <f t="shared" si="102"/>
        <v>123.22571231999999</v>
      </c>
      <c r="BQ131" s="4">
        <f t="shared" si="103"/>
        <v>65294.343720320008</v>
      </c>
      <c r="BR131" s="4">
        <f t="shared" si="104"/>
        <v>19719.59705971507</v>
      </c>
      <c r="BS131" s="4">
        <f t="shared" si="105"/>
        <v>24.108680758268747</v>
      </c>
      <c r="BT131" s="4">
        <f t="shared" si="106"/>
        <v>62783.022808000002</v>
      </c>
      <c r="BU131" s="4">
        <f t="shared" si="107"/>
        <v>62783.022808000002</v>
      </c>
      <c r="BV131" s="7">
        <f t="shared" si="108"/>
        <v>439481.15965600003</v>
      </c>
      <c r="BW131" s="7">
        <f t="shared" si="109"/>
        <v>1161464.4356294484</v>
      </c>
    </row>
    <row r="132" spans="1:75" x14ac:dyDescent="0.3">
      <c r="A132" s="3">
        <f t="shared" si="55"/>
        <v>128</v>
      </c>
      <c r="B132" t="str">
        <f>INDEX(Employees!$A:$A,A132+1)</f>
        <v>E128</v>
      </c>
      <c r="C132" t="str">
        <f>INDEX(Employees!$A:$Z,MATCH(B132,Employees!$A:$A,0),MATCH("category",Employees!$1:$1,0))</f>
        <v>Manufacturing</v>
      </c>
      <c r="D132" t="str">
        <f>INDEX(Employees!$A:$Z,MATCH(B132,Employees!$A:$A,0),MATCH("gender",Employees!$1:$1,0))</f>
        <v>F</v>
      </c>
      <c r="E132" s="3">
        <f>INDEX(Employees!$A:$Z,MATCH(B132,Employees!$A:$A,0),MATCH("grade",Employees!$1:$1,0))</f>
        <v>6</v>
      </c>
      <c r="F132" s="3">
        <f>INDEX(Employees!$A:$Z,MATCH(B132,Employees!$A:$A,0),MATCH("rating",Employees!$1:$1,0))</f>
        <v>4</v>
      </c>
      <c r="G132" s="22">
        <f>INDEX(Employees!$A:$Z,MATCH(B132,Employees!$A:$A,0),MATCH("hire_date",Employees!$1:$1,0))</f>
        <v>43885</v>
      </c>
      <c r="H132" s="22">
        <f>INDEX(Employees!$A:$Z,MATCH(B132,Employees!$A:$A,0),MATCH("last_change_date",Employees!$1:$1,0))</f>
        <v>46113</v>
      </c>
      <c r="I132" s="4">
        <f>INDEX(Employees!$A:$Z,MATCH(B132,Employees!$A:$A,0),MATCH("base_salary",Employees!$1:$1,0))</f>
        <v>48326.85</v>
      </c>
      <c r="J132" s="5">
        <f>INDEX(Employees!$A:$Z,MATCH(B132,Employees!$A:$A,0),MATCH("bonus_pct",Employees!$1:$1,0))/100</f>
        <v>4.8899999999999999E-2</v>
      </c>
      <c r="K132" s="7">
        <f>INDEX(Employees!$A:$Z,MATCH(B132,Employees!$A:$A,0),MATCH("fte",Employees!$1:$1,0))</f>
        <v>1</v>
      </c>
      <c r="L132" s="3">
        <f>IF(ISNA(MATCH(C132&amp;"|"&amp;E132,Bands!$F:$F,0)),0,1)</f>
        <v>1</v>
      </c>
      <c r="M132" s="4">
        <f>INDEX(Bands!$C:$C,MATCH(C132&amp;"|"&amp;E132,Bands!$F:$F,0))</f>
        <v>39700</v>
      </c>
      <c r="N132" s="4">
        <f>INDEX(Bands!$D:$D,MATCH(C132&amp;"|"&amp;E132,Bands!$F:$F,0))</f>
        <v>47600</v>
      </c>
      <c r="O132" s="4">
        <f>INDEX(Bands!$E:$E,MATCH(C132&amp;"|"&amp;E132,Bands!$F:$F,0))</f>
        <v>55600</v>
      </c>
      <c r="P132" s="7">
        <f t="shared" si="56"/>
        <v>7.099247091033539</v>
      </c>
      <c r="Q132" s="4">
        <f t="shared" si="57"/>
        <v>50690.032964999999</v>
      </c>
      <c r="R132" s="7">
        <f t="shared" si="58"/>
        <v>36</v>
      </c>
      <c r="S132" s="7">
        <f t="shared" si="59"/>
        <v>50.399309259548168</v>
      </c>
      <c r="T132" s="7">
        <f t="shared" si="60"/>
        <v>42.595482546201232</v>
      </c>
      <c r="U132" s="7">
        <f t="shared" si="61"/>
        <v>304140.19779000001</v>
      </c>
      <c r="V132" s="7">
        <f t="shared" si="62"/>
        <v>359861.06907117047</v>
      </c>
      <c r="W132" s="4">
        <f t="shared" si="63"/>
        <v>50690.03</v>
      </c>
      <c r="X132" s="3">
        <f t="shared" si="64"/>
        <v>24</v>
      </c>
      <c r="Y132" s="4">
        <f>INDEX(Categories!$AH:$AH,MATCH(C132,Categories!$A:$A,0))</f>
        <v>48803.730524999999</v>
      </c>
      <c r="Z132" s="3">
        <f>IF(AND(D132="F",Q132&lt;Y132,INDEX(Categories!$AI:$AI,MATCH(C132,Categories!$A:$A,0))&gt;0),1,0)</f>
        <v>0</v>
      </c>
      <c r="AA132" s="4">
        <f t="shared" si="65"/>
        <v>0</v>
      </c>
      <c r="AB132" s="4">
        <f>IF(Z132=1,INDEX(Categories!$AI:$AI,MATCH(C132,Categories!$A:$A,0))*AA132/INDEX(Categories!$AJ:$AJ,MATCH(C132,Categories!$A:$A,0)),0)</f>
        <v>0</v>
      </c>
      <c r="AC132" s="4">
        <f t="shared" si="66"/>
        <v>0</v>
      </c>
      <c r="AD132" s="4">
        <f t="shared" si="67"/>
        <v>48326.85</v>
      </c>
      <c r="AE132" s="3">
        <f t="shared" si="68"/>
        <v>0</v>
      </c>
      <c r="AF132" s="3">
        <f t="shared" si="69"/>
        <v>85</v>
      </c>
      <c r="AG132" s="3">
        <f t="shared" si="70"/>
        <v>12</v>
      </c>
      <c r="AH132" s="3">
        <f t="shared" si="71"/>
        <v>1</v>
      </c>
      <c r="AI132" s="5">
        <f t="shared" si="72"/>
        <v>1.0152699579831932</v>
      </c>
      <c r="AJ132" s="3">
        <f>MATCH(AI132,Inputs!$B$31:$B$34,1)</f>
        <v>3</v>
      </c>
      <c r="AK132" s="5">
        <f>INDEX(Inputs!$C$21:$C$25,MATCH(F132,Inputs!$A$21:$A$25,0))</f>
        <v>1.05</v>
      </c>
      <c r="AL132" s="5">
        <f>INDEX(Inputs!$D$21:$D$25,MATCH(F132,Inputs!$A$21:$A$25,0))</f>
        <v>0.01</v>
      </c>
      <c r="AM132" s="4">
        <f t="shared" si="73"/>
        <v>49980</v>
      </c>
      <c r="AN132" s="4">
        <f t="shared" si="74"/>
        <v>1653.1500000000015</v>
      </c>
      <c r="AO132" s="3">
        <f t="shared" si="75"/>
        <v>1</v>
      </c>
      <c r="AP132" s="4">
        <f t="shared" si="76"/>
        <v>14498.054999999998</v>
      </c>
      <c r="AQ132" s="4">
        <f t="shared" si="77"/>
        <v>483.26850000000002</v>
      </c>
      <c r="AR132" s="4">
        <f t="shared" si="78"/>
        <v>1653.1500000000015</v>
      </c>
      <c r="AS132" s="3">
        <f t="shared" si="79"/>
        <v>0</v>
      </c>
      <c r="AT132" s="4">
        <f t="shared" si="80"/>
        <v>1653.1500000000015</v>
      </c>
      <c r="AU132" s="4">
        <f t="shared" si="81"/>
        <v>7273.1500000000015</v>
      </c>
      <c r="AV132" s="4">
        <f t="shared" si="82"/>
        <v>1653.1500000000015</v>
      </c>
      <c r="AW132" s="4">
        <f t="shared" si="83"/>
        <v>1653.1500000000015</v>
      </c>
      <c r="AX132" s="5">
        <f t="shared" si="84"/>
        <v>3.4207691997305875E-2</v>
      </c>
      <c r="AY132" s="4">
        <f t="shared" si="85"/>
        <v>49980</v>
      </c>
      <c r="AZ132" s="3">
        <f t="shared" si="86"/>
        <v>0</v>
      </c>
      <c r="BA132" s="4">
        <f t="shared" si="87"/>
        <v>50690.032964999999</v>
      </c>
      <c r="BB132" s="4">
        <f t="shared" si="88"/>
        <v>16296.845598247501</v>
      </c>
      <c r="BC132" s="4">
        <f t="shared" si="89"/>
        <v>50690.032964999999</v>
      </c>
      <c r="BD132" s="4">
        <f t="shared" si="90"/>
        <v>16296.845598247501</v>
      </c>
      <c r="BE132" s="4">
        <f t="shared" si="91"/>
        <v>52424.021999999997</v>
      </c>
      <c r="BF132" s="4">
        <f t="shared" si="92"/>
        <v>16854.323073</v>
      </c>
      <c r="BG132" s="4">
        <f t="shared" si="93"/>
        <v>0</v>
      </c>
      <c r="BH132" s="4">
        <f t="shared" si="94"/>
        <v>0</v>
      </c>
      <c r="BI132" s="4">
        <f t="shared" si="95"/>
        <v>0</v>
      </c>
      <c r="BJ132" s="4">
        <f t="shared" si="96"/>
        <v>1653.1500000000015</v>
      </c>
      <c r="BK132" s="4">
        <f t="shared" si="97"/>
        <v>80.839035000000067</v>
      </c>
      <c r="BL132" s="4">
        <f t="shared" si="98"/>
        <v>557.47747475249889</v>
      </c>
      <c r="BM132" s="4">
        <f t="shared" si="99"/>
        <v>48326.85</v>
      </c>
      <c r="BN132" s="4">
        <f t="shared" si="100"/>
        <v>1933.0740000000001</v>
      </c>
      <c r="BO132" s="4">
        <f t="shared" si="101"/>
        <v>1933.0740000000001</v>
      </c>
      <c r="BP132" s="4">
        <f t="shared" si="102"/>
        <v>94.527318600000001</v>
      </c>
      <c r="BQ132" s="4">
        <f t="shared" si="103"/>
        <v>52717.634283599997</v>
      </c>
      <c r="BR132" s="4">
        <f t="shared" si="104"/>
        <v>16948.719422177401</v>
      </c>
      <c r="BS132" s="4">
        <f t="shared" si="105"/>
        <v>651.87382392990003</v>
      </c>
      <c r="BT132" s="4">
        <f t="shared" si="106"/>
        <v>50690.032964999999</v>
      </c>
      <c r="BU132" s="4">
        <f t="shared" si="107"/>
        <v>52424.021999999997</v>
      </c>
      <c r="BV132" s="7">
        <f t="shared" si="108"/>
        <v>314544.13199999998</v>
      </c>
      <c r="BW132" s="7">
        <f t="shared" si="109"/>
        <v>372171.08568377822</v>
      </c>
    </row>
    <row r="133" spans="1:75" x14ac:dyDescent="0.3">
      <c r="A133" s="3">
        <f t="shared" ref="A133:A196" si="110">ROW()-4</f>
        <v>129</v>
      </c>
      <c r="B133" t="str">
        <f>INDEX(Employees!$A:$A,A133+1)</f>
        <v>E129</v>
      </c>
      <c r="C133" t="str">
        <f>INDEX(Employees!$A:$Z,MATCH(B133,Employees!$A:$A,0),MATCH("category",Employees!$1:$1,0))</f>
        <v>Manufacturing</v>
      </c>
      <c r="D133" t="str">
        <f>INDEX(Employees!$A:$Z,MATCH(B133,Employees!$A:$A,0),MATCH("gender",Employees!$1:$1,0))</f>
        <v>M</v>
      </c>
      <c r="E133" s="3">
        <f>INDEX(Employees!$A:$Z,MATCH(B133,Employees!$A:$A,0),MATCH("grade",Employees!$1:$1,0))</f>
        <v>5</v>
      </c>
      <c r="F133" s="3">
        <f>INDEX(Employees!$A:$Z,MATCH(B133,Employees!$A:$A,0),MATCH("rating",Employees!$1:$1,0))</f>
        <v>3</v>
      </c>
      <c r="G133" s="22">
        <f>INDEX(Employees!$A:$Z,MATCH(B133,Employees!$A:$A,0),MATCH("hire_date",Employees!$1:$1,0))</f>
        <v>45236</v>
      </c>
      <c r="H133" s="22">
        <f>INDEX(Employees!$A:$Z,MATCH(B133,Employees!$A:$A,0),MATCH("last_change_date",Employees!$1:$1,0))</f>
        <v>46113</v>
      </c>
      <c r="I133" s="4">
        <f>INDEX(Employees!$A:$Z,MATCH(B133,Employees!$A:$A,0),MATCH("base_salary",Employees!$1:$1,0))</f>
        <v>41490.03</v>
      </c>
      <c r="J133" s="5">
        <f>INDEX(Employees!$A:$Z,MATCH(B133,Employees!$A:$A,0),MATCH("bonus_pct",Employees!$1:$1,0))/100</f>
        <v>6.88E-2</v>
      </c>
      <c r="K133" s="7">
        <f>INDEX(Employees!$A:$Z,MATCH(B133,Employees!$A:$A,0),MATCH("fte",Employees!$1:$1,0))</f>
        <v>1</v>
      </c>
      <c r="L133" s="3">
        <f>IF(ISNA(MATCH(C133&amp;"|"&amp;E133,Bands!$F:$F,0)),0,1)</f>
        <v>1</v>
      </c>
      <c r="M133" s="4">
        <f>INDEX(Bands!$C:$C,MATCH(C133&amp;"|"&amp;E133,Bands!$F:$F,0))</f>
        <v>35600</v>
      </c>
      <c r="N133" s="4">
        <f>INDEX(Bands!$D:$D,MATCH(C133&amp;"|"&amp;E133,Bands!$F:$F,0))</f>
        <v>40900</v>
      </c>
      <c r="O133" s="4">
        <f>INDEX(Bands!$E:$E,MATCH(C133&amp;"|"&amp;E133,Bands!$F:$F,0))</f>
        <v>46300</v>
      </c>
      <c r="P133" s="7">
        <f t="shared" ref="P133:P196" si="111">(EffDate-G133)/365.25</f>
        <v>3.40041067761807</v>
      </c>
      <c r="Q133" s="4">
        <f t="shared" ref="Q133:Q196" si="112">I133*(1+J133)</f>
        <v>44344.544063999994</v>
      </c>
      <c r="R133" s="7">
        <f t="shared" ref="R133:R196" si="113">E133^2</f>
        <v>25</v>
      </c>
      <c r="S133" s="7">
        <f t="shared" ref="S133:S196" si="114">P133^2</f>
        <v>11.562792776458982</v>
      </c>
      <c r="T133" s="7">
        <f t="shared" ref="T133:T196" si="115">E133*P133</f>
        <v>17.002053388090349</v>
      </c>
      <c r="U133" s="7">
        <f t="shared" ref="U133:U196" si="116">E133*Q133</f>
        <v>221722.72031999996</v>
      </c>
      <c r="V133" s="7">
        <f t="shared" ref="V133:V196" si="117">P133*Q133</f>
        <v>150789.66112933058</v>
      </c>
      <c r="W133" s="4">
        <f t="shared" ref="W133:W196" si="118">ROUND(Q133,2)</f>
        <v>44344.54</v>
      </c>
      <c r="X133" s="3">
        <f t="shared" ref="X133:X196" si="119">COUNTIFS($C:$C,C133,$W:$W,"&lt;"&amp;W133)+COUNTIFS($C:$C,C133,$W:$W,W133,$B:$B,"&lt;"&amp;B133)+1</f>
        <v>16</v>
      </c>
      <c r="Y133" s="4">
        <f>INDEX(Categories!$AH:$AH,MATCH(C133,Categories!$A:$A,0))</f>
        <v>48803.730524999999</v>
      </c>
      <c r="Z133" s="3">
        <f>IF(AND(D133="F",Q133&lt;Y133,INDEX(Categories!$AI:$AI,MATCH(C133,Categories!$A:$A,0))&gt;0),1,0)</f>
        <v>0</v>
      </c>
      <c r="AA133" s="4">
        <f t="shared" ref="AA133:AA196" si="120">IF(Z133=1,Y133-Q133,0)</f>
        <v>0</v>
      </c>
      <c r="AB133" s="4">
        <f>IF(Z133=1,INDEX(Categories!$AI:$AI,MATCH(C133,Categories!$A:$A,0))*AA133/INDEX(Categories!$AJ:$AJ,MATCH(C133,Categories!$A:$A,0)),0)</f>
        <v>0</v>
      </c>
      <c r="AC133" s="4">
        <f t="shared" ref="AC133:AC196" si="121">AB133/(1+J133)</f>
        <v>0</v>
      </c>
      <c r="AD133" s="4">
        <f t="shared" ref="AD133:AD196" si="122">I133+AC133</f>
        <v>41490.03</v>
      </c>
      <c r="AE133" s="3">
        <f t="shared" ref="AE133:AE196" si="123">IF(AND(AC133&gt;0,AD133&gt;O133),1,0)</f>
        <v>0</v>
      </c>
      <c r="AF133" s="3">
        <f t="shared" ref="AF133:AF196" si="124">IF(G133&gt;EffDate,-1,DATEDIF(G133,EffDate,"m"))</f>
        <v>40</v>
      </c>
      <c r="AG133" s="3">
        <f t="shared" ref="AG133:AG196" si="125">IF(H133&gt;EffDate,-1,DATEDIF(H133,EffDate,"m"))</f>
        <v>12</v>
      </c>
      <c r="AH133" s="3">
        <f t="shared" ref="AH133:AH196" si="126">IF(AND(AF133&gt;=MinMonthsHire,AG133&gt;=MinMonthsChange),1,0)</f>
        <v>1</v>
      </c>
      <c r="AI133" s="5">
        <f t="shared" ref="AI133:AI196" si="127">AD133/N133</f>
        <v>1.0144261613691932</v>
      </c>
      <c r="AJ133" s="3">
        <f>MATCH(AI133,Inputs!$B$31:$B$34,1)</f>
        <v>3</v>
      </c>
      <c r="AK133" s="5">
        <f>INDEX(Inputs!$C$21:$C$25,MATCH(F133,Inputs!$A$21:$A$25,0))</f>
        <v>1</v>
      </c>
      <c r="AL133" s="5">
        <f>INDEX(Inputs!$D$21:$D$25,MATCH(F133,Inputs!$A$21:$A$25,0))</f>
        <v>0</v>
      </c>
      <c r="AM133" s="4">
        <f t="shared" ref="AM133:AM196" si="128">N133*CompanyTarget*AK133</f>
        <v>40900</v>
      </c>
      <c r="AN133" s="4">
        <f t="shared" ref="AN133:AN196" si="129">MAX(0,AM133-AD133)</f>
        <v>0</v>
      </c>
      <c r="AO133" s="3">
        <f t="shared" ref="AO133:AO196" si="130">IF(AND(ISNUMBER(MaxIncrease),MaxIncrease&gt;0),1,0)</f>
        <v>1</v>
      </c>
      <c r="AP133" s="4">
        <f t="shared" ref="AP133:AP196" si="131">IF(AO133=1,AD133*MaxIncrease,0)</f>
        <v>12447.009</v>
      </c>
      <c r="AQ133" s="4">
        <f t="shared" ref="AQ133:AQ196" si="132">AD133*AL133</f>
        <v>0</v>
      </c>
      <c r="AR133" s="4">
        <f t="shared" ref="AR133:AR196" si="133">IF(AK133=0,0,IF(AO133=1,MIN(MAX(AN133,AQ133),AP133),MAX(AN133,AQ133)))</f>
        <v>0</v>
      </c>
      <c r="AS133" s="3">
        <f t="shared" ref="AS133:AS196" si="134">IF(AD133&gt;=O133,1,0)</f>
        <v>0</v>
      </c>
      <c r="AT133" s="4">
        <f t="shared" ref="AT133:AT196" si="135">IF(AS133=1,0,AR133)</f>
        <v>0</v>
      </c>
      <c r="AU133" s="4">
        <f t="shared" ref="AU133:AU196" si="136">MAX(0,O133-AD133)</f>
        <v>4809.9700000000012</v>
      </c>
      <c r="AV133" s="4">
        <f t="shared" ref="AV133:AV196" si="137">IF(ClipAtMax="No",AT133,MIN(AT133,AU133))</f>
        <v>0</v>
      </c>
      <c r="AW133" s="4">
        <f t="shared" ref="AW133:AW196" si="138">IF(AH133=1,AV133,0)</f>
        <v>0</v>
      </c>
      <c r="AX133" s="5">
        <f t="shared" ref="AX133:AX196" si="139">IF(AD133&gt;0,AW133/AD133,0)</f>
        <v>0</v>
      </c>
      <c r="AY133" s="4">
        <f t="shared" ref="AY133:AY196" si="140">AD133+AW133</f>
        <v>41490.03</v>
      </c>
      <c r="AZ133" s="3">
        <f t="shared" ref="AZ133:AZ196" si="141">IF(AY133&lt;M133,1,0)</f>
        <v>0</v>
      </c>
      <c r="BA133" s="4">
        <f t="shared" ref="BA133:BA196" si="142">Q133*K133</f>
        <v>44344.544063999994</v>
      </c>
      <c r="BB133" s="4">
        <f t="shared" ref="BB133:BB196" si="143">RateBelow*MIN(BA133,Ceiling)+AboveCeilingTier1*MIN(MAX(0,BA133-Ceiling),0.1*Ceiling)+AboveCeilingTier2*MIN(MAX(0,BA133-1.1*Ceiling),0.4*Ceiling)+AboveCeilingTier3*MAX(0,BA133-1.5*Ceiling)</f>
        <v>14256.770916575999</v>
      </c>
      <c r="BC133" s="4">
        <f t="shared" ref="BC133:BC196" si="144">AD133*(1+J133)*K133</f>
        <v>44344.544063999994</v>
      </c>
      <c r="BD133" s="4">
        <f t="shared" ref="BD133:BD196" si="145">RateBelow*MIN(BC133,Ceiling)+AboveCeilingTier1*MIN(MAX(0,BC133-Ceiling),0.1*Ceiling)+AboveCeilingTier2*MIN(MAX(0,BC133-1.1*Ceiling),0.4*Ceiling)+AboveCeilingTier3*MAX(0,BC133-1.5*Ceiling)</f>
        <v>14256.770916575999</v>
      </c>
      <c r="BE133" s="4">
        <f t="shared" ref="BE133:BE196" si="146">AY133*(1+J133)*K133</f>
        <v>44344.544063999994</v>
      </c>
      <c r="BF133" s="4">
        <f t="shared" ref="BF133:BF196" si="147">RateBelow*MIN(BE133,Ceiling)+AboveCeilingTier1*MIN(MAX(0,BE133-Ceiling),0.1*Ceiling)+AboveCeilingTier2*MIN(MAX(0,BE133-1.1*Ceiling),0.4*Ceiling)+AboveCeilingTier3*MAX(0,BE133-1.5*Ceiling)</f>
        <v>14256.770916575999</v>
      </c>
      <c r="BG133" s="4">
        <f t="shared" ref="BG133:BG196" si="148">AC133*K133</f>
        <v>0</v>
      </c>
      <c r="BH133" s="4">
        <f t="shared" ref="BH133:BH196" si="149">AC133*J133*K133</f>
        <v>0</v>
      </c>
      <c r="BI133" s="4">
        <f t="shared" ref="BI133:BI196" si="150">BD133-BB133</f>
        <v>0</v>
      </c>
      <c r="BJ133" s="4">
        <f t="shared" ref="BJ133:BJ196" si="151">AW133*K133</f>
        <v>0</v>
      </c>
      <c r="BK133" s="4">
        <f t="shared" ref="BK133:BK196" si="152">AW133*J133*K133</f>
        <v>0</v>
      </c>
      <c r="BL133" s="4">
        <f t="shared" ref="BL133:BL196" si="153">BF133-BD133</f>
        <v>0</v>
      </c>
      <c r="BM133" s="4">
        <f t="shared" ref="BM133:BM196" si="154">IF(AH133=1,AD133*K133,0)</f>
        <v>41490.03</v>
      </c>
      <c r="BN133" s="4">
        <f t="shared" ref="BN133:BN196" si="155">IF(AH133=1,AD133*PoolPct,0)</f>
        <v>1659.6012000000001</v>
      </c>
      <c r="BO133" s="4">
        <f t="shared" ref="BO133:BO196" si="156">BN133*K133</f>
        <v>1659.6012000000001</v>
      </c>
      <c r="BP133" s="4">
        <f t="shared" ref="BP133:BP196" si="157">BN133*J133*K133</f>
        <v>114.18056256</v>
      </c>
      <c r="BQ133" s="4">
        <f t="shared" ref="BQ133:BQ196" si="158">(AD133+BN133)*(1+J133)*K133</f>
        <v>46118.325826559994</v>
      </c>
      <c r="BR133" s="4">
        <f t="shared" ref="BR133:BR196" si="159">RateBelow*MIN(BQ133,Ceiling)+AboveCeilingTier1*MIN(MAX(0,BQ133-Ceiling),0.1*Ceiling)+AboveCeilingTier2*MIN(MAX(0,BQ133-1.1*Ceiling),0.4*Ceiling)+AboveCeilingTier3*MAX(0,BQ133-1.5*Ceiling)</f>
        <v>14827.041753239038</v>
      </c>
      <c r="BS133" s="4">
        <f t="shared" ref="BS133:BS196" si="160">BR133-BD133</f>
        <v>570.27083666303952</v>
      </c>
      <c r="BT133" s="4">
        <f t="shared" ref="BT133:BT196" si="161">AD133*(1+J133)</f>
        <v>44344.544063999994</v>
      </c>
      <c r="BU133" s="4">
        <f t="shared" ref="BU133:BU196" si="162">AY133*(1+J133)</f>
        <v>44344.544063999994</v>
      </c>
      <c r="BV133" s="7">
        <f t="shared" ref="BV133:BV196" si="163">E133*BU133</f>
        <v>221722.72031999996</v>
      </c>
      <c r="BW133" s="7">
        <f t="shared" ref="BW133:BW196" si="164">P133*BU133</f>
        <v>150789.66112933058</v>
      </c>
    </row>
    <row r="134" spans="1:75" x14ac:dyDescent="0.3">
      <c r="A134" s="3">
        <f t="shared" si="110"/>
        <v>130</v>
      </c>
      <c r="B134" t="str">
        <f>INDEX(Employees!$A:$A,A134+1)</f>
        <v>E130</v>
      </c>
      <c r="C134" t="str">
        <f>INDEX(Employees!$A:$Z,MATCH(B134,Employees!$A:$A,0),MATCH("category",Employees!$1:$1,0))</f>
        <v>Manufacturing</v>
      </c>
      <c r="D134" t="str">
        <f>INDEX(Employees!$A:$Z,MATCH(B134,Employees!$A:$A,0),MATCH("gender",Employees!$1:$1,0))</f>
        <v>F</v>
      </c>
      <c r="E134" s="3">
        <f>INDEX(Employees!$A:$Z,MATCH(B134,Employees!$A:$A,0),MATCH("grade",Employees!$1:$1,0))</f>
        <v>5</v>
      </c>
      <c r="F134" s="3">
        <f>INDEX(Employees!$A:$Z,MATCH(B134,Employees!$A:$A,0),MATCH("rating",Employees!$1:$1,0))</f>
        <v>3</v>
      </c>
      <c r="G134" s="22">
        <f>INDEX(Employees!$A:$Z,MATCH(B134,Employees!$A:$A,0),MATCH("hire_date",Employees!$1:$1,0))</f>
        <v>43994</v>
      </c>
      <c r="H134" s="22">
        <f>INDEX(Employees!$A:$Z,MATCH(B134,Employees!$A:$A,0),MATCH("last_change_date",Employees!$1:$1,0))</f>
        <v>46113</v>
      </c>
      <c r="I134" s="4">
        <f>INDEX(Employees!$A:$Z,MATCH(B134,Employees!$A:$A,0),MATCH("base_salary",Employees!$1:$1,0))</f>
        <v>39681.14</v>
      </c>
      <c r="J134" s="5">
        <f>INDEX(Employees!$A:$Z,MATCH(B134,Employees!$A:$A,0),MATCH("bonus_pct",Employees!$1:$1,0))/100</f>
        <v>5.4000000000000006E-2</v>
      </c>
      <c r="K134" s="7">
        <f>INDEX(Employees!$A:$Z,MATCH(B134,Employees!$A:$A,0),MATCH("fte",Employees!$1:$1,0))</f>
        <v>1</v>
      </c>
      <c r="L134" s="3">
        <f>IF(ISNA(MATCH(C134&amp;"|"&amp;E134,Bands!$F:$F,0)),0,1)</f>
        <v>1</v>
      </c>
      <c r="M134" s="4">
        <f>INDEX(Bands!$C:$C,MATCH(C134&amp;"|"&amp;E134,Bands!$F:$F,0))</f>
        <v>35600</v>
      </c>
      <c r="N134" s="4">
        <f>INDEX(Bands!$D:$D,MATCH(C134&amp;"|"&amp;E134,Bands!$F:$F,0))</f>
        <v>40900</v>
      </c>
      <c r="O134" s="4">
        <f>INDEX(Bands!$E:$E,MATCH(C134&amp;"|"&amp;E134,Bands!$F:$F,0))</f>
        <v>46300</v>
      </c>
      <c r="P134" s="7">
        <f t="shared" si="111"/>
        <v>6.8008213552361401</v>
      </c>
      <c r="Q134" s="4">
        <f t="shared" si="112"/>
        <v>41823.921560000003</v>
      </c>
      <c r="R134" s="7">
        <f t="shared" si="113"/>
        <v>25</v>
      </c>
      <c r="S134" s="7">
        <f t="shared" si="114"/>
        <v>46.25117110583593</v>
      </c>
      <c r="T134" s="7">
        <f t="shared" si="115"/>
        <v>34.004106776180699</v>
      </c>
      <c r="U134" s="7">
        <f t="shared" si="116"/>
        <v>209119.6078</v>
      </c>
      <c r="V134" s="7">
        <f t="shared" si="117"/>
        <v>284437.01890496921</v>
      </c>
      <c r="W134" s="4">
        <f t="shared" si="118"/>
        <v>41823.919999999998</v>
      </c>
      <c r="X134" s="3">
        <f t="shared" si="119"/>
        <v>12</v>
      </c>
      <c r="Y134" s="4">
        <f>INDEX(Categories!$AH:$AH,MATCH(C134,Categories!$A:$A,0))</f>
        <v>48803.730524999999</v>
      </c>
      <c r="Z134" s="3">
        <f>IF(AND(D134="F",Q134&lt;Y134,INDEX(Categories!$AI:$AI,MATCH(C134,Categories!$A:$A,0))&gt;0),1,0)</f>
        <v>1</v>
      </c>
      <c r="AA134" s="4">
        <f t="shared" si="120"/>
        <v>6979.8089649999965</v>
      </c>
      <c r="AB134" s="4">
        <f>IF(Z134=1,INDEX(Categories!$AI:$AI,MATCH(C134,Categories!$A:$A,0))*AA134/INDEX(Categories!$AJ:$AJ,MATCH(C134,Categories!$A:$A,0)),0)</f>
        <v>4536.9248959541574</v>
      </c>
      <c r="AC134" s="4">
        <f t="shared" si="121"/>
        <v>4304.4828234859178</v>
      </c>
      <c r="AD134" s="4">
        <f t="shared" si="122"/>
        <v>43985.622823485915</v>
      </c>
      <c r="AE134" s="3">
        <f t="shared" si="123"/>
        <v>0</v>
      </c>
      <c r="AF134" s="3">
        <f t="shared" si="124"/>
        <v>81</v>
      </c>
      <c r="AG134" s="3">
        <f t="shared" si="125"/>
        <v>12</v>
      </c>
      <c r="AH134" s="3">
        <f t="shared" si="126"/>
        <v>1</v>
      </c>
      <c r="AI134" s="5">
        <f t="shared" si="127"/>
        <v>1.0754431008187266</v>
      </c>
      <c r="AJ134" s="3">
        <f>MATCH(AI134,Inputs!$B$31:$B$34,1)</f>
        <v>3</v>
      </c>
      <c r="AK134" s="5">
        <f>INDEX(Inputs!$C$21:$C$25,MATCH(F134,Inputs!$A$21:$A$25,0))</f>
        <v>1</v>
      </c>
      <c r="AL134" s="5">
        <f>INDEX(Inputs!$D$21:$D$25,MATCH(F134,Inputs!$A$21:$A$25,0))</f>
        <v>0</v>
      </c>
      <c r="AM134" s="4">
        <f t="shared" si="128"/>
        <v>40900</v>
      </c>
      <c r="AN134" s="4">
        <f t="shared" si="129"/>
        <v>0</v>
      </c>
      <c r="AO134" s="3">
        <f t="shared" si="130"/>
        <v>1</v>
      </c>
      <c r="AP134" s="4">
        <f t="shared" si="131"/>
        <v>13195.686847045774</v>
      </c>
      <c r="AQ134" s="4">
        <f t="shared" si="132"/>
        <v>0</v>
      </c>
      <c r="AR134" s="4">
        <f t="shared" si="133"/>
        <v>0</v>
      </c>
      <c r="AS134" s="3">
        <f t="shared" si="134"/>
        <v>0</v>
      </c>
      <c r="AT134" s="4">
        <f t="shared" si="135"/>
        <v>0</v>
      </c>
      <c r="AU134" s="4">
        <f t="shared" si="136"/>
        <v>2314.3771765140846</v>
      </c>
      <c r="AV134" s="4">
        <f t="shared" si="137"/>
        <v>0</v>
      </c>
      <c r="AW134" s="4">
        <f t="shared" si="138"/>
        <v>0</v>
      </c>
      <c r="AX134" s="5">
        <f t="shared" si="139"/>
        <v>0</v>
      </c>
      <c r="AY134" s="4">
        <f t="shared" si="140"/>
        <v>43985.622823485915</v>
      </c>
      <c r="AZ134" s="3">
        <f t="shared" si="141"/>
        <v>0</v>
      </c>
      <c r="BA134" s="4">
        <f t="shared" si="142"/>
        <v>41823.921560000003</v>
      </c>
      <c r="BB134" s="4">
        <f t="shared" si="143"/>
        <v>13446.390781540002</v>
      </c>
      <c r="BC134" s="4">
        <f t="shared" si="144"/>
        <v>46360.846455954153</v>
      </c>
      <c r="BD134" s="4">
        <f t="shared" si="145"/>
        <v>14905.012135589261</v>
      </c>
      <c r="BE134" s="4">
        <f t="shared" si="146"/>
        <v>46360.846455954153</v>
      </c>
      <c r="BF134" s="4">
        <f t="shared" si="147"/>
        <v>14905.012135589261</v>
      </c>
      <c r="BG134" s="4">
        <f t="shared" si="148"/>
        <v>4304.4828234859178</v>
      </c>
      <c r="BH134" s="4">
        <f t="shared" si="149"/>
        <v>232.44207246823959</v>
      </c>
      <c r="BI134" s="4">
        <f t="shared" si="150"/>
        <v>1458.621354049259</v>
      </c>
      <c r="BJ134" s="4">
        <f t="shared" si="151"/>
        <v>0</v>
      </c>
      <c r="BK134" s="4">
        <f t="shared" si="152"/>
        <v>0</v>
      </c>
      <c r="BL134" s="4">
        <f t="shared" si="153"/>
        <v>0</v>
      </c>
      <c r="BM134" s="4">
        <f t="shared" si="154"/>
        <v>43985.622823485915</v>
      </c>
      <c r="BN134" s="4">
        <f t="shared" si="155"/>
        <v>1759.4249129394366</v>
      </c>
      <c r="BO134" s="4">
        <f t="shared" si="156"/>
        <v>1759.4249129394366</v>
      </c>
      <c r="BP134" s="4">
        <f t="shared" si="157"/>
        <v>95.008945298729586</v>
      </c>
      <c r="BQ134" s="4">
        <f t="shared" si="158"/>
        <v>48215.280314192321</v>
      </c>
      <c r="BR134" s="4">
        <f t="shared" si="159"/>
        <v>15501.212621012832</v>
      </c>
      <c r="BS134" s="4">
        <f t="shared" si="160"/>
        <v>596.20048542357108</v>
      </c>
      <c r="BT134" s="4">
        <f t="shared" si="161"/>
        <v>46360.846455954153</v>
      </c>
      <c r="BU134" s="4">
        <f t="shared" si="162"/>
        <v>46360.846455954153</v>
      </c>
      <c r="BV134" s="7">
        <f t="shared" si="163"/>
        <v>231804.23227977077</v>
      </c>
      <c r="BW134" s="7">
        <f t="shared" si="164"/>
        <v>315291.83462447673</v>
      </c>
    </row>
    <row r="135" spans="1:75" x14ac:dyDescent="0.3">
      <c r="A135" s="3">
        <f t="shared" si="110"/>
        <v>131</v>
      </c>
      <c r="B135" t="str">
        <f>INDEX(Employees!$A:$A,A135+1)</f>
        <v>E131</v>
      </c>
      <c r="C135" t="str">
        <f>INDEX(Employees!$A:$Z,MATCH(B135,Employees!$A:$A,0),MATCH("category",Employees!$1:$1,0))</f>
        <v>Manufacturing</v>
      </c>
      <c r="D135" t="str">
        <f>INDEX(Employees!$A:$Z,MATCH(B135,Employees!$A:$A,0),MATCH("gender",Employees!$1:$1,0))</f>
        <v>M</v>
      </c>
      <c r="E135" s="3">
        <f>INDEX(Employees!$A:$Z,MATCH(B135,Employees!$A:$A,0),MATCH("grade",Employees!$1:$1,0))</f>
        <v>8</v>
      </c>
      <c r="F135" s="3">
        <f>INDEX(Employees!$A:$Z,MATCH(B135,Employees!$A:$A,0),MATCH("rating",Employees!$1:$1,0))</f>
        <v>3</v>
      </c>
      <c r="G135" s="22">
        <f>INDEX(Employees!$A:$Z,MATCH(B135,Employees!$A:$A,0),MATCH("hire_date",Employees!$1:$1,0))</f>
        <v>39575</v>
      </c>
      <c r="H135" s="22">
        <f>INDEX(Employees!$A:$Z,MATCH(B135,Employees!$A:$A,0),MATCH("last_change_date",Employees!$1:$1,0))</f>
        <v>46113</v>
      </c>
      <c r="I135" s="4">
        <f>INDEX(Employees!$A:$Z,MATCH(B135,Employees!$A:$A,0),MATCH("base_salary",Employees!$1:$1,0))</f>
        <v>68666.2</v>
      </c>
      <c r="J135" s="5">
        <f>INDEX(Employees!$A:$Z,MATCH(B135,Employees!$A:$A,0),MATCH("bonus_pct",Employees!$1:$1,0))/100</f>
        <v>7.17E-2</v>
      </c>
      <c r="K135" s="7">
        <f>INDEX(Employees!$A:$Z,MATCH(B135,Employees!$A:$A,0),MATCH("fte",Employees!$1:$1,0))</f>
        <v>1</v>
      </c>
      <c r="L135" s="3">
        <f>IF(ISNA(MATCH(C135&amp;"|"&amp;E135,Bands!$F:$F,0)),0,1)</f>
        <v>1</v>
      </c>
      <c r="M135" s="4">
        <f>INDEX(Bands!$C:$C,MATCH(C135&amp;"|"&amp;E135,Bands!$F:$F,0))</f>
        <v>53700</v>
      </c>
      <c r="N135" s="4">
        <f>INDEX(Bands!$D:$D,MATCH(C135&amp;"|"&amp;E135,Bands!$F:$F,0))</f>
        <v>64400</v>
      </c>
      <c r="O135" s="4">
        <f>INDEX(Bands!$E:$E,MATCH(C135&amp;"|"&amp;E135,Bands!$F:$F,0))</f>
        <v>75200</v>
      </c>
      <c r="P135" s="7">
        <f t="shared" si="111"/>
        <v>18.899383983572896</v>
      </c>
      <c r="Q135" s="4">
        <f t="shared" si="112"/>
        <v>73589.56654</v>
      </c>
      <c r="R135" s="7">
        <f t="shared" si="113"/>
        <v>64</v>
      </c>
      <c r="S135" s="7">
        <f t="shared" si="114"/>
        <v>357.1867149585317</v>
      </c>
      <c r="T135" s="7">
        <f t="shared" si="115"/>
        <v>151.19507186858317</v>
      </c>
      <c r="U135" s="7">
        <f t="shared" si="116"/>
        <v>588716.53232</v>
      </c>
      <c r="V135" s="7">
        <f t="shared" si="117"/>
        <v>1390797.475224148</v>
      </c>
      <c r="W135" s="4">
        <f t="shared" si="118"/>
        <v>73589.570000000007</v>
      </c>
      <c r="X135" s="3">
        <f t="shared" si="119"/>
        <v>40</v>
      </c>
      <c r="Y135" s="4">
        <f>INDEX(Categories!$AH:$AH,MATCH(C135,Categories!$A:$A,0))</f>
        <v>48803.730524999999</v>
      </c>
      <c r="Z135" s="3">
        <f>IF(AND(D135="F",Q135&lt;Y135,INDEX(Categories!$AI:$AI,MATCH(C135,Categories!$A:$A,0))&gt;0),1,0)</f>
        <v>0</v>
      </c>
      <c r="AA135" s="4">
        <f t="shared" si="120"/>
        <v>0</v>
      </c>
      <c r="AB135" s="4">
        <f>IF(Z135=1,INDEX(Categories!$AI:$AI,MATCH(C135,Categories!$A:$A,0))*AA135/INDEX(Categories!$AJ:$AJ,MATCH(C135,Categories!$A:$A,0)),0)</f>
        <v>0</v>
      </c>
      <c r="AC135" s="4">
        <f t="shared" si="121"/>
        <v>0</v>
      </c>
      <c r="AD135" s="4">
        <f t="shared" si="122"/>
        <v>68666.2</v>
      </c>
      <c r="AE135" s="3">
        <f t="shared" si="123"/>
        <v>0</v>
      </c>
      <c r="AF135" s="3">
        <f t="shared" si="124"/>
        <v>226</v>
      </c>
      <c r="AG135" s="3">
        <f t="shared" si="125"/>
        <v>12</v>
      </c>
      <c r="AH135" s="3">
        <f t="shared" si="126"/>
        <v>1</v>
      </c>
      <c r="AI135" s="5">
        <f t="shared" si="127"/>
        <v>1.0662453416149067</v>
      </c>
      <c r="AJ135" s="3">
        <f>MATCH(AI135,Inputs!$B$31:$B$34,1)</f>
        <v>3</v>
      </c>
      <c r="AK135" s="5">
        <f>INDEX(Inputs!$C$21:$C$25,MATCH(F135,Inputs!$A$21:$A$25,0))</f>
        <v>1</v>
      </c>
      <c r="AL135" s="5">
        <f>INDEX(Inputs!$D$21:$D$25,MATCH(F135,Inputs!$A$21:$A$25,0))</f>
        <v>0</v>
      </c>
      <c r="AM135" s="4">
        <f t="shared" si="128"/>
        <v>64400</v>
      </c>
      <c r="AN135" s="4">
        <f t="shared" si="129"/>
        <v>0</v>
      </c>
      <c r="AO135" s="3">
        <f t="shared" si="130"/>
        <v>1</v>
      </c>
      <c r="AP135" s="4">
        <f t="shared" si="131"/>
        <v>20599.859999999997</v>
      </c>
      <c r="AQ135" s="4">
        <f t="shared" si="132"/>
        <v>0</v>
      </c>
      <c r="AR135" s="4">
        <f t="shared" si="133"/>
        <v>0</v>
      </c>
      <c r="AS135" s="3">
        <f t="shared" si="134"/>
        <v>0</v>
      </c>
      <c r="AT135" s="4">
        <f t="shared" si="135"/>
        <v>0</v>
      </c>
      <c r="AU135" s="4">
        <f t="shared" si="136"/>
        <v>6533.8000000000029</v>
      </c>
      <c r="AV135" s="4">
        <f t="shared" si="137"/>
        <v>0</v>
      </c>
      <c r="AW135" s="4">
        <f t="shared" si="138"/>
        <v>0</v>
      </c>
      <c r="AX135" s="5">
        <f t="shared" si="139"/>
        <v>0</v>
      </c>
      <c r="AY135" s="4">
        <f t="shared" si="140"/>
        <v>68666.2</v>
      </c>
      <c r="AZ135" s="3">
        <f t="shared" si="141"/>
        <v>0</v>
      </c>
      <c r="BA135" s="4">
        <f t="shared" si="142"/>
        <v>73589.56654</v>
      </c>
      <c r="BB135" s="4">
        <f t="shared" si="143"/>
        <v>19804.234180015999</v>
      </c>
      <c r="BC135" s="4">
        <f t="shared" si="144"/>
        <v>73589.56654</v>
      </c>
      <c r="BD135" s="4">
        <f t="shared" si="145"/>
        <v>19804.234180015999</v>
      </c>
      <c r="BE135" s="4">
        <f t="shared" si="146"/>
        <v>73589.56654</v>
      </c>
      <c r="BF135" s="4">
        <f t="shared" si="147"/>
        <v>19804.234180015999</v>
      </c>
      <c r="BG135" s="4">
        <f t="shared" si="148"/>
        <v>0</v>
      </c>
      <c r="BH135" s="4">
        <f t="shared" si="149"/>
        <v>0</v>
      </c>
      <c r="BI135" s="4">
        <f t="shared" si="150"/>
        <v>0</v>
      </c>
      <c r="BJ135" s="4">
        <f t="shared" si="151"/>
        <v>0</v>
      </c>
      <c r="BK135" s="4">
        <f t="shared" si="152"/>
        <v>0</v>
      </c>
      <c r="BL135" s="4">
        <f t="shared" si="153"/>
        <v>0</v>
      </c>
      <c r="BM135" s="4">
        <f t="shared" si="154"/>
        <v>68666.2</v>
      </c>
      <c r="BN135" s="4">
        <f t="shared" si="155"/>
        <v>2746.6480000000001</v>
      </c>
      <c r="BO135" s="4">
        <f t="shared" si="156"/>
        <v>2746.6480000000001</v>
      </c>
      <c r="BP135" s="4">
        <f t="shared" si="157"/>
        <v>196.9346616</v>
      </c>
      <c r="BQ135" s="4">
        <f t="shared" si="158"/>
        <v>76533.149201600012</v>
      </c>
      <c r="BR135" s="4">
        <f t="shared" si="159"/>
        <v>19834.847439696638</v>
      </c>
      <c r="BS135" s="4">
        <f t="shared" si="160"/>
        <v>30.613259680638294</v>
      </c>
      <c r="BT135" s="4">
        <f t="shared" si="161"/>
        <v>73589.56654</v>
      </c>
      <c r="BU135" s="4">
        <f t="shared" si="162"/>
        <v>73589.56654</v>
      </c>
      <c r="BV135" s="7">
        <f t="shared" si="163"/>
        <v>588716.53232</v>
      </c>
      <c r="BW135" s="7">
        <f t="shared" si="164"/>
        <v>1390797.475224148</v>
      </c>
    </row>
    <row r="136" spans="1:75" x14ac:dyDescent="0.3">
      <c r="A136" s="3">
        <f t="shared" si="110"/>
        <v>132</v>
      </c>
      <c r="B136" t="str">
        <f>INDEX(Employees!$A:$A,A136+1)</f>
        <v>E132</v>
      </c>
      <c r="C136" t="str">
        <f>INDEX(Employees!$A:$Z,MATCH(B136,Employees!$A:$A,0),MATCH("category",Employees!$1:$1,0))</f>
        <v>Manufacturing</v>
      </c>
      <c r="D136" t="str">
        <f>INDEX(Employees!$A:$Z,MATCH(B136,Employees!$A:$A,0),MATCH("gender",Employees!$1:$1,0))</f>
        <v>F</v>
      </c>
      <c r="E136" s="3">
        <f>INDEX(Employees!$A:$Z,MATCH(B136,Employees!$A:$A,0),MATCH("grade",Employees!$1:$1,0))</f>
        <v>4</v>
      </c>
      <c r="F136" s="3">
        <f>INDEX(Employees!$A:$Z,MATCH(B136,Employees!$A:$A,0),MATCH("rating",Employees!$1:$1,0))</f>
        <v>3</v>
      </c>
      <c r="G136" s="22">
        <f>INDEX(Employees!$A:$Z,MATCH(B136,Employees!$A:$A,0),MATCH("hire_date",Employees!$1:$1,0))</f>
        <v>44469</v>
      </c>
      <c r="H136" s="22">
        <f>INDEX(Employees!$A:$Z,MATCH(B136,Employees!$A:$A,0),MATCH("last_change_date",Employees!$1:$1,0))</f>
        <v>46113</v>
      </c>
      <c r="I136" s="4">
        <f>INDEX(Employees!$A:$Z,MATCH(B136,Employees!$A:$A,0),MATCH("base_salary",Employees!$1:$1,0))</f>
        <v>36252.120000000003</v>
      </c>
      <c r="J136" s="5">
        <f>INDEX(Employees!$A:$Z,MATCH(B136,Employees!$A:$A,0),MATCH("bonus_pct",Employees!$1:$1,0))/100</f>
        <v>6.6100000000000006E-2</v>
      </c>
      <c r="K136" s="7">
        <f>INDEX(Employees!$A:$Z,MATCH(B136,Employees!$A:$A,0),MATCH("fte",Employees!$1:$1,0))</f>
        <v>1</v>
      </c>
      <c r="L136" s="3">
        <f>IF(ISNA(MATCH(C136&amp;"|"&amp;E136,Bands!$F:$F,0)),0,1)</f>
        <v>1</v>
      </c>
      <c r="M136" s="4">
        <f>INDEX(Bands!$C:$C,MATCH(C136&amp;"|"&amp;E136,Bands!$F:$F,0))</f>
        <v>30400</v>
      </c>
      <c r="N136" s="4">
        <f>INDEX(Bands!$D:$D,MATCH(C136&amp;"|"&amp;E136,Bands!$F:$F,0))</f>
        <v>35000</v>
      </c>
      <c r="O136" s="4">
        <f>INDEX(Bands!$E:$E,MATCH(C136&amp;"|"&amp;E136,Bands!$F:$F,0))</f>
        <v>39500</v>
      </c>
      <c r="P136" s="7">
        <f t="shared" si="111"/>
        <v>5.5003422313483918</v>
      </c>
      <c r="Q136" s="4">
        <f t="shared" si="112"/>
        <v>38648.385132000003</v>
      </c>
      <c r="R136" s="7">
        <f t="shared" si="113"/>
        <v>16</v>
      </c>
      <c r="S136" s="7">
        <f t="shared" si="114"/>
        <v>30.253764661954605</v>
      </c>
      <c r="T136" s="7">
        <f t="shared" si="115"/>
        <v>22.001368925393567</v>
      </c>
      <c r="U136" s="7">
        <f t="shared" si="116"/>
        <v>154593.54052800001</v>
      </c>
      <c r="V136" s="7">
        <f t="shared" si="117"/>
        <v>212579.34491495692</v>
      </c>
      <c r="W136" s="4">
        <f t="shared" si="118"/>
        <v>38648.39</v>
      </c>
      <c r="X136" s="3">
        <f t="shared" si="119"/>
        <v>6</v>
      </c>
      <c r="Y136" s="4">
        <f>INDEX(Categories!$AH:$AH,MATCH(C136,Categories!$A:$A,0))</f>
        <v>48803.730524999999</v>
      </c>
      <c r="Z136" s="3">
        <f>IF(AND(D136="F",Q136&lt;Y136,INDEX(Categories!$AI:$AI,MATCH(C136,Categories!$A:$A,0))&gt;0),1,0)</f>
        <v>1</v>
      </c>
      <c r="AA136" s="4">
        <f t="shared" si="120"/>
        <v>10155.345392999996</v>
      </c>
      <c r="AB136" s="4">
        <f>IF(Z136=1,INDEX(Categories!$AI:$AI,MATCH(C136,Categories!$A:$A,0))*AA136/INDEX(Categories!$AJ:$AJ,MATCH(C136,Categories!$A:$A,0)),0)</f>
        <v>6601.045898469667</v>
      </c>
      <c r="AC136" s="4">
        <f t="shared" si="121"/>
        <v>6191.7699075787141</v>
      </c>
      <c r="AD136" s="4">
        <f t="shared" si="122"/>
        <v>42443.889907578719</v>
      </c>
      <c r="AE136" s="3">
        <f t="shared" si="123"/>
        <v>1</v>
      </c>
      <c r="AF136" s="3">
        <f t="shared" si="124"/>
        <v>66</v>
      </c>
      <c r="AG136" s="3">
        <f t="shared" si="125"/>
        <v>12</v>
      </c>
      <c r="AH136" s="3">
        <f t="shared" si="126"/>
        <v>1</v>
      </c>
      <c r="AI136" s="5">
        <f t="shared" si="127"/>
        <v>1.2126825687879634</v>
      </c>
      <c r="AJ136" s="3">
        <f>MATCH(AI136,Inputs!$B$31:$B$34,1)</f>
        <v>4</v>
      </c>
      <c r="AK136" s="5">
        <f>INDEX(Inputs!$C$21:$C$25,MATCH(F136,Inputs!$A$21:$A$25,0))</f>
        <v>1</v>
      </c>
      <c r="AL136" s="5">
        <f>INDEX(Inputs!$D$21:$D$25,MATCH(F136,Inputs!$A$21:$A$25,0))</f>
        <v>0</v>
      </c>
      <c r="AM136" s="4">
        <f t="shared" si="128"/>
        <v>35000</v>
      </c>
      <c r="AN136" s="4">
        <f t="shared" si="129"/>
        <v>0</v>
      </c>
      <c r="AO136" s="3">
        <f t="shared" si="130"/>
        <v>1</v>
      </c>
      <c r="AP136" s="4">
        <f t="shared" si="131"/>
        <v>12733.166972273615</v>
      </c>
      <c r="AQ136" s="4">
        <f t="shared" si="132"/>
        <v>0</v>
      </c>
      <c r="AR136" s="4">
        <f t="shared" si="133"/>
        <v>0</v>
      </c>
      <c r="AS136" s="3">
        <f t="shared" si="134"/>
        <v>1</v>
      </c>
      <c r="AT136" s="4">
        <f t="shared" si="135"/>
        <v>0</v>
      </c>
      <c r="AU136" s="4">
        <f t="shared" si="136"/>
        <v>0</v>
      </c>
      <c r="AV136" s="4">
        <f t="shared" si="137"/>
        <v>0</v>
      </c>
      <c r="AW136" s="4">
        <f t="shared" si="138"/>
        <v>0</v>
      </c>
      <c r="AX136" s="5">
        <f t="shared" si="139"/>
        <v>0</v>
      </c>
      <c r="AY136" s="4">
        <f t="shared" si="140"/>
        <v>42443.889907578719</v>
      </c>
      <c r="AZ136" s="3">
        <f t="shared" si="141"/>
        <v>0</v>
      </c>
      <c r="BA136" s="4">
        <f t="shared" si="142"/>
        <v>38648.385132000003</v>
      </c>
      <c r="BB136" s="4">
        <f t="shared" si="143"/>
        <v>12425.455819938001</v>
      </c>
      <c r="BC136" s="4">
        <f t="shared" si="144"/>
        <v>45249.431030469677</v>
      </c>
      <c r="BD136" s="4">
        <f t="shared" si="145"/>
        <v>14547.692076296002</v>
      </c>
      <c r="BE136" s="4">
        <f t="shared" si="146"/>
        <v>45249.431030469677</v>
      </c>
      <c r="BF136" s="4">
        <f t="shared" si="147"/>
        <v>14547.692076296002</v>
      </c>
      <c r="BG136" s="4">
        <f t="shared" si="148"/>
        <v>6191.7699075787141</v>
      </c>
      <c r="BH136" s="4">
        <f t="shared" si="149"/>
        <v>409.27599089095304</v>
      </c>
      <c r="BI136" s="4">
        <f t="shared" si="150"/>
        <v>2122.2362563580009</v>
      </c>
      <c r="BJ136" s="4">
        <f t="shared" si="151"/>
        <v>0</v>
      </c>
      <c r="BK136" s="4">
        <f t="shared" si="152"/>
        <v>0</v>
      </c>
      <c r="BL136" s="4">
        <f t="shared" si="153"/>
        <v>0</v>
      </c>
      <c r="BM136" s="4">
        <f t="shared" si="154"/>
        <v>42443.889907578719</v>
      </c>
      <c r="BN136" s="4">
        <f t="shared" si="155"/>
        <v>1697.7555963031489</v>
      </c>
      <c r="BO136" s="4">
        <f t="shared" si="156"/>
        <v>1697.7555963031489</v>
      </c>
      <c r="BP136" s="4">
        <f t="shared" si="157"/>
        <v>112.22164491563815</v>
      </c>
      <c r="BQ136" s="4">
        <f t="shared" si="158"/>
        <v>47059.408271688459</v>
      </c>
      <c r="BR136" s="4">
        <f t="shared" si="159"/>
        <v>15129.599759347841</v>
      </c>
      <c r="BS136" s="4">
        <f t="shared" si="160"/>
        <v>581.90768305183883</v>
      </c>
      <c r="BT136" s="4">
        <f t="shared" si="161"/>
        <v>45249.431030469677</v>
      </c>
      <c r="BU136" s="4">
        <f t="shared" si="162"/>
        <v>45249.431030469677</v>
      </c>
      <c r="BV136" s="7">
        <f t="shared" si="163"/>
        <v>180997.72412187871</v>
      </c>
      <c r="BW136" s="7">
        <f t="shared" si="164"/>
        <v>248887.35644137874</v>
      </c>
    </row>
    <row r="137" spans="1:75" x14ac:dyDescent="0.3">
      <c r="A137" s="3">
        <f t="shared" si="110"/>
        <v>133</v>
      </c>
      <c r="B137" t="str">
        <f>INDEX(Employees!$A:$A,A137+1)</f>
        <v>E133</v>
      </c>
      <c r="C137" t="str">
        <f>INDEX(Employees!$A:$Z,MATCH(B137,Employees!$A:$A,0),MATCH("category",Employees!$1:$1,0))</f>
        <v>Manufacturing</v>
      </c>
      <c r="D137" t="str">
        <f>INDEX(Employees!$A:$Z,MATCH(B137,Employees!$A:$A,0),MATCH("gender",Employees!$1:$1,0))</f>
        <v>F</v>
      </c>
      <c r="E137" s="3">
        <f>INDEX(Employees!$A:$Z,MATCH(B137,Employees!$A:$A,0),MATCH("grade",Employees!$1:$1,0))</f>
        <v>5</v>
      </c>
      <c r="F137" s="3">
        <f>INDEX(Employees!$A:$Z,MATCH(B137,Employees!$A:$A,0),MATCH("rating",Employees!$1:$1,0))</f>
        <v>3</v>
      </c>
      <c r="G137" s="22">
        <f>INDEX(Employees!$A:$Z,MATCH(B137,Employees!$A:$A,0),MATCH("hire_date",Employees!$1:$1,0))</f>
        <v>44213</v>
      </c>
      <c r="H137" s="22">
        <f>INDEX(Employees!$A:$Z,MATCH(B137,Employees!$A:$A,0),MATCH("last_change_date",Employees!$1:$1,0))</f>
        <v>46113</v>
      </c>
      <c r="I137" s="4">
        <f>INDEX(Employees!$A:$Z,MATCH(B137,Employees!$A:$A,0),MATCH("base_salary",Employees!$1:$1,0))</f>
        <v>37873.58</v>
      </c>
      <c r="J137" s="5">
        <f>INDEX(Employees!$A:$Z,MATCH(B137,Employees!$A:$A,0),MATCH("bonus_pct",Employees!$1:$1,0))/100</f>
        <v>6.7599999999999993E-2</v>
      </c>
      <c r="K137" s="7">
        <f>INDEX(Employees!$A:$Z,MATCH(B137,Employees!$A:$A,0),MATCH("fte",Employees!$1:$1,0))</f>
        <v>0.5</v>
      </c>
      <c r="L137" s="3">
        <f>IF(ISNA(MATCH(C137&amp;"|"&amp;E137,Bands!$F:$F,0)),0,1)</f>
        <v>1</v>
      </c>
      <c r="M137" s="4">
        <f>INDEX(Bands!$C:$C,MATCH(C137&amp;"|"&amp;E137,Bands!$F:$F,0))</f>
        <v>35600</v>
      </c>
      <c r="N137" s="4">
        <f>INDEX(Bands!$D:$D,MATCH(C137&amp;"|"&amp;E137,Bands!$F:$F,0))</f>
        <v>40900</v>
      </c>
      <c r="O137" s="4">
        <f>INDEX(Bands!$E:$E,MATCH(C137&amp;"|"&amp;E137,Bands!$F:$F,0))</f>
        <v>46300</v>
      </c>
      <c r="P137" s="7">
        <f t="shared" si="111"/>
        <v>6.2012320328542092</v>
      </c>
      <c r="Q137" s="4">
        <f t="shared" si="112"/>
        <v>40433.834008000005</v>
      </c>
      <c r="R137" s="7">
        <f t="shared" si="113"/>
        <v>25</v>
      </c>
      <c r="S137" s="7">
        <f t="shared" si="114"/>
        <v>38.455278725297148</v>
      </c>
      <c r="T137" s="7">
        <f t="shared" si="115"/>
        <v>31.006160164271044</v>
      </c>
      <c r="U137" s="7">
        <f t="shared" si="116"/>
        <v>202169.17004000003</v>
      </c>
      <c r="V137" s="7">
        <f t="shared" si="117"/>
        <v>250739.58666151954</v>
      </c>
      <c r="W137" s="4">
        <f t="shared" si="118"/>
        <v>40433.83</v>
      </c>
      <c r="X137" s="3">
        <f t="shared" si="119"/>
        <v>9</v>
      </c>
      <c r="Y137" s="4">
        <f>INDEX(Categories!$AH:$AH,MATCH(C137,Categories!$A:$A,0))</f>
        <v>48803.730524999999</v>
      </c>
      <c r="Z137" s="3">
        <f>IF(AND(D137="F",Q137&lt;Y137,INDEX(Categories!$AI:$AI,MATCH(C137,Categories!$A:$A,0))&gt;0),1,0)</f>
        <v>1</v>
      </c>
      <c r="AA137" s="4">
        <f t="shared" si="120"/>
        <v>8369.8965169999938</v>
      </c>
      <c r="AB137" s="4">
        <f>IF(Z137=1,INDEX(Categories!$AI:$AI,MATCH(C137,Categories!$A:$A,0))*AA137/INDEX(Categories!$AJ:$AJ,MATCH(C137,Categories!$A:$A,0)),0)</f>
        <v>5440.4915771985279</v>
      </c>
      <c r="AC137" s="4">
        <f t="shared" si="121"/>
        <v>5096.0018520031163</v>
      </c>
      <c r="AD137" s="4">
        <f t="shared" si="122"/>
        <v>42969.581852003117</v>
      </c>
      <c r="AE137" s="3">
        <f t="shared" si="123"/>
        <v>0</v>
      </c>
      <c r="AF137" s="3">
        <f t="shared" si="124"/>
        <v>74</v>
      </c>
      <c r="AG137" s="3">
        <f t="shared" si="125"/>
        <v>12</v>
      </c>
      <c r="AH137" s="3">
        <f t="shared" si="126"/>
        <v>1</v>
      </c>
      <c r="AI137" s="5">
        <f t="shared" si="127"/>
        <v>1.0506010232763598</v>
      </c>
      <c r="AJ137" s="3">
        <f>MATCH(AI137,Inputs!$B$31:$B$34,1)</f>
        <v>3</v>
      </c>
      <c r="AK137" s="5">
        <f>INDEX(Inputs!$C$21:$C$25,MATCH(F137,Inputs!$A$21:$A$25,0))</f>
        <v>1</v>
      </c>
      <c r="AL137" s="5">
        <f>INDEX(Inputs!$D$21:$D$25,MATCH(F137,Inputs!$A$21:$A$25,0))</f>
        <v>0</v>
      </c>
      <c r="AM137" s="4">
        <f t="shared" si="128"/>
        <v>40900</v>
      </c>
      <c r="AN137" s="4">
        <f t="shared" si="129"/>
        <v>0</v>
      </c>
      <c r="AO137" s="3">
        <f t="shared" si="130"/>
        <v>1</v>
      </c>
      <c r="AP137" s="4">
        <f t="shared" si="131"/>
        <v>12890.874555600934</v>
      </c>
      <c r="AQ137" s="4">
        <f t="shared" si="132"/>
        <v>0</v>
      </c>
      <c r="AR137" s="4">
        <f t="shared" si="133"/>
        <v>0</v>
      </c>
      <c r="AS137" s="3">
        <f t="shared" si="134"/>
        <v>0</v>
      </c>
      <c r="AT137" s="4">
        <f t="shared" si="135"/>
        <v>0</v>
      </c>
      <c r="AU137" s="4">
        <f t="shared" si="136"/>
        <v>3330.4181479968829</v>
      </c>
      <c r="AV137" s="4">
        <f t="shared" si="137"/>
        <v>0</v>
      </c>
      <c r="AW137" s="4">
        <f t="shared" si="138"/>
        <v>0</v>
      </c>
      <c r="AX137" s="5">
        <f t="shared" si="139"/>
        <v>0</v>
      </c>
      <c r="AY137" s="4">
        <f t="shared" si="140"/>
        <v>42969.581852003117</v>
      </c>
      <c r="AZ137" s="3">
        <f t="shared" si="141"/>
        <v>0</v>
      </c>
      <c r="BA137" s="4">
        <f t="shared" si="142"/>
        <v>20216.917004000003</v>
      </c>
      <c r="BB137" s="4">
        <f t="shared" si="143"/>
        <v>6499.7388167860008</v>
      </c>
      <c r="BC137" s="4">
        <f t="shared" si="144"/>
        <v>22937.162792599265</v>
      </c>
      <c r="BD137" s="4">
        <f t="shared" si="145"/>
        <v>7374.2978378206635</v>
      </c>
      <c r="BE137" s="4">
        <f t="shared" si="146"/>
        <v>22937.162792599265</v>
      </c>
      <c r="BF137" s="4">
        <f t="shared" si="147"/>
        <v>7374.2978378206635</v>
      </c>
      <c r="BG137" s="4">
        <f t="shared" si="148"/>
        <v>2548.0009260015581</v>
      </c>
      <c r="BH137" s="4">
        <f t="shared" si="149"/>
        <v>172.24486259770532</v>
      </c>
      <c r="BI137" s="4">
        <f t="shared" si="150"/>
        <v>874.55902103466269</v>
      </c>
      <c r="BJ137" s="4">
        <f t="shared" si="151"/>
        <v>0</v>
      </c>
      <c r="BK137" s="4">
        <f t="shared" si="152"/>
        <v>0</v>
      </c>
      <c r="BL137" s="4">
        <f t="shared" si="153"/>
        <v>0</v>
      </c>
      <c r="BM137" s="4">
        <f t="shared" si="154"/>
        <v>21484.790926001559</v>
      </c>
      <c r="BN137" s="4">
        <f t="shared" si="155"/>
        <v>1718.7832740801248</v>
      </c>
      <c r="BO137" s="4">
        <f t="shared" si="156"/>
        <v>859.39163704006239</v>
      </c>
      <c r="BP137" s="4">
        <f t="shared" si="157"/>
        <v>58.094874663908215</v>
      </c>
      <c r="BQ137" s="4">
        <f t="shared" si="158"/>
        <v>23854.649304303235</v>
      </c>
      <c r="BR137" s="4">
        <f t="shared" si="159"/>
        <v>7669.2697513334906</v>
      </c>
      <c r="BS137" s="4">
        <f t="shared" si="160"/>
        <v>294.97191351282709</v>
      </c>
      <c r="BT137" s="4">
        <f t="shared" si="161"/>
        <v>45874.32558519853</v>
      </c>
      <c r="BU137" s="4">
        <f t="shared" si="162"/>
        <v>45874.32558519853</v>
      </c>
      <c r="BV137" s="7">
        <f t="shared" si="163"/>
        <v>229371.62792599265</v>
      </c>
      <c r="BW137" s="7">
        <f t="shared" si="164"/>
        <v>284477.33730451652</v>
      </c>
    </row>
    <row r="138" spans="1:75" x14ac:dyDescent="0.3">
      <c r="A138" s="3">
        <f t="shared" si="110"/>
        <v>134</v>
      </c>
      <c r="B138" t="str">
        <f>INDEX(Employees!$A:$A,A138+1)</f>
        <v>E134</v>
      </c>
      <c r="C138" t="str">
        <f>INDEX(Employees!$A:$Z,MATCH(B138,Employees!$A:$A,0),MATCH("category",Employees!$1:$1,0))</f>
        <v>Manufacturing</v>
      </c>
      <c r="D138" t="str">
        <f>INDEX(Employees!$A:$Z,MATCH(B138,Employees!$A:$A,0),MATCH("gender",Employees!$1:$1,0))</f>
        <v>F</v>
      </c>
      <c r="E138" s="3">
        <f>INDEX(Employees!$A:$Z,MATCH(B138,Employees!$A:$A,0),MATCH("grade",Employees!$1:$1,0))</f>
        <v>4</v>
      </c>
      <c r="F138" s="3">
        <f>INDEX(Employees!$A:$Z,MATCH(B138,Employees!$A:$A,0),MATCH("rating",Employees!$1:$1,0))</f>
        <v>4</v>
      </c>
      <c r="G138" s="22">
        <f>INDEX(Employees!$A:$Z,MATCH(B138,Employees!$A:$A,0),MATCH("hire_date",Employees!$1:$1,0))</f>
        <v>42862</v>
      </c>
      <c r="H138" s="22">
        <f>INDEX(Employees!$A:$Z,MATCH(B138,Employees!$A:$A,0),MATCH("last_change_date",Employees!$1:$1,0))</f>
        <v>46113</v>
      </c>
      <c r="I138" s="4">
        <f>INDEX(Employees!$A:$Z,MATCH(B138,Employees!$A:$A,0),MATCH("base_salary",Employees!$1:$1,0))</f>
        <v>39494.720000000001</v>
      </c>
      <c r="J138" s="5">
        <f>INDEX(Employees!$A:$Z,MATCH(B138,Employees!$A:$A,0),MATCH("bonus_pct",Employees!$1:$1,0))/100</f>
        <v>5.0499999999999996E-2</v>
      </c>
      <c r="K138" s="7">
        <f>INDEX(Employees!$A:$Z,MATCH(B138,Employees!$A:$A,0),MATCH("fte",Employees!$1:$1,0))</f>
        <v>1</v>
      </c>
      <c r="L138" s="3">
        <f>IF(ISNA(MATCH(C138&amp;"|"&amp;E138,Bands!$F:$F,0)),0,1)</f>
        <v>1</v>
      </c>
      <c r="M138" s="4">
        <f>INDEX(Bands!$C:$C,MATCH(C138&amp;"|"&amp;E138,Bands!$F:$F,0))</f>
        <v>30400</v>
      </c>
      <c r="N138" s="4">
        <f>INDEX(Bands!$D:$D,MATCH(C138&amp;"|"&amp;E138,Bands!$F:$F,0))</f>
        <v>35000</v>
      </c>
      <c r="O138" s="4">
        <f>INDEX(Bands!$E:$E,MATCH(C138&amp;"|"&amp;E138,Bands!$F:$F,0))</f>
        <v>39500</v>
      </c>
      <c r="P138" s="7">
        <f t="shared" si="111"/>
        <v>9.9000684462696782</v>
      </c>
      <c r="Q138" s="4">
        <f t="shared" si="112"/>
        <v>41489.20336</v>
      </c>
      <c r="R138" s="7">
        <f t="shared" si="113"/>
        <v>16</v>
      </c>
      <c r="S138" s="7">
        <f t="shared" si="114"/>
        <v>98.011355240824514</v>
      </c>
      <c r="T138" s="7">
        <f t="shared" si="115"/>
        <v>39.600273785078713</v>
      </c>
      <c r="U138" s="7">
        <f t="shared" si="116"/>
        <v>165956.81344</v>
      </c>
      <c r="V138" s="7">
        <f t="shared" si="117"/>
        <v>410745.9530452019</v>
      </c>
      <c r="W138" s="4">
        <f t="shared" si="118"/>
        <v>41489.199999999997</v>
      </c>
      <c r="X138" s="3">
        <f t="shared" si="119"/>
        <v>11</v>
      </c>
      <c r="Y138" s="4">
        <f>INDEX(Categories!$AH:$AH,MATCH(C138,Categories!$A:$A,0))</f>
        <v>48803.730524999999</v>
      </c>
      <c r="Z138" s="3">
        <f>IF(AND(D138="F",Q138&lt;Y138,INDEX(Categories!$AI:$AI,MATCH(C138,Categories!$A:$A,0))&gt;0),1,0)</f>
        <v>1</v>
      </c>
      <c r="AA138" s="4">
        <f t="shared" si="120"/>
        <v>7314.5271649999995</v>
      </c>
      <c r="AB138" s="4">
        <f>IF(Z138=1,INDEX(Categories!$AI:$AI,MATCH(C138,Categories!$A:$A,0))*AA138/INDEX(Categories!$AJ:$AJ,MATCH(C138,Categories!$A:$A,0)),0)</f>
        <v>4754.4940790541386</v>
      </c>
      <c r="AC138" s="4">
        <f t="shared" si="121"/>
        <v>4525.9343922457292</v>
      </c>
      <c r="AD138" s="4">
        <f t="shared" si="122"/>
        <v>44020.654392245728</v>
      </c>
      <c r="AE138" s="3">
        <f t="shared" si="123"/>
        <v>1</v>
      </c>
      <c r="AF138" s="3">
        <f t="shared" si="124"/>
        <v>118</v>
      </c>
      <c r="AG138" s="3">
        <f t="shared" si="125"/>
        <v>12</v>
      </c>
      <c r="AH138" s="3">
        <f t="shared" si="126"/>
        <v>1</v>
      </c>
      <c r="AI138" s="5">
        <f t="shared" si="127"/>
        <v>1.2577329826355923</v>
      </c>
      <c r="AJ138" s="3">
        <f>MATCH(AI138,Inputs!$B$31:$B$34,1)</f>
        <v>4</v>
      </c>
      <c r="AK138" s="5">
        <f>INDEX(Inputs!$C$21:$C$25,MATCH(F138,Inputs!$A$21:$A$25,0))</f>
        <v>1.05</v>
      </c>
      <c r="AL138" s="5">
        <f>INDEX(Inputs!$D$21:$D$25,MATCH(F138,Inputs!$A$21:$A$25,0))</f>
        <v>0.01</v>
      </c>
      <c r="AM138" s="4">
        <f t="shared" si="128"/>
        <v>36750</v>
      </c>
      <c r="AN138" s="4">
        <f t="shared" si="129"/>
        <v>0</v>
      </c>
      <c r="AO138" s="3">
        <f t="shared" si="130"/>
        <v>1</v>
      </c>
      <c r="AP138" s="4">
        <f t="shared" si="131"/>
        <v>13206.196317673717</v>
      </c>
      <c r="AQ138" s="4">
        <f t="shared" si="132"/>
        <v>440.20654392245729</v>
      </c>
      <c r="AR138" s="4">
        <f t="shared" si="133"/>
        <v>440.20654392245729</v>
      </c>
      <c r="AS138" s="3">
        <f t="shared" si="134"/>
        <v>1</v>
      </c>
      <c r="AT138" s="4">
        <f t="shared" si="135"/>
        <v>0</v>
      </c>
      <c r="AU138" s="4">
        <f t="shared" si="136"/>
        <v>0</v>
      </c>
      <c r="AV138" s="4">
        <f t="shared" si="137"/>
        <v>0</v>
      </c>
      <c r="AW138" s="4">
        <f t="shared" si="138"/>
        <v>0</v>
      </c>
      <c r="AX138" s="5">
        <f t="shared" si="139"/>
        <v>0</v>
      </c>
      <c r="AY138" s="4">
        <f t="shared" si="140"/>
        <v>44020.654392245728</v>
      </c>
      <c r="AZ138" s="3">
        <f t="shared" si="141"/>
        <v>0</v>
      </c>
      <c r="BA138" s="4">
        <f t="shared" si="142"/>
        <v>41489.20336</v>
      </c>
      <c r="BB138" s="4">
        <f t="shared" si="143"/>
        <v>13338.778880240001</v>
      </c>
      <c r="BC138" s="4">
        <f t="shared" si="144"/>
        <v>46243.697439054136</v>
      </c>
      <c r="BD138" s="4">
        <f t="shared" si="145"/>
        <v>14867.348726655906</v>
      </c>
      <c r="BE138" s="4">
        <f t="shared" si="146"/>
        <v>46243.697439054136</v>
      </c>
      <c r="BF138" s="4">
        <f t="shared" si="147"/>
        <v>14867.348726655906</v>
      </c>
      <c r="BG138" s="4">
        <f t="shared" si="148"/>
        <v>4525.9343922457292</v>
      </c>
      <c r="BH138" s="4">
        <f t="shared" si="149"/>
        <v>228.55968680840931</v>
      </c>
      <c r="BI138" s="4">
        <f t="shared" si="150"/>
        <v>1528.569846415905</v>
      </c>
      <c r="BJ138" s="4">
        <f t="shared" si="151"/>
        <v>0</v>
      </c>
      <c r="BK138" s="4">
        <f t="shared" si="152"/>
        <v>0</v>
      </c>
      <c r="BL138" s="4">
        <f t="shared" si="153"/>
        <v>0</v>
      </c>
      <c r="BM138" s="4">
        <f t="shared" si="154"/>
        <v>44020.654392245728</v>
      </c>
      <c r="BN138" s="4">
        <f t="shared" si="155"/>
        <v>1760.8261756898291</v>
      </c>
      <c r="BO138" s="4">
        <f t="shared" si="156"/>
        <v>1760.8261756898291</v>
      </c>
      <c r="BP138" s="4">
        <f t="shared" si="157"/>
        <v>88.921721872336363</v>
      </c>
      <c r="BQ138" s="4">
        <f t="shared" si="158"/>
        <v>48093.4453366163</v>
      </c>
      <c r="BR138" s="4">
        <f t="shared" si="159"/>
        <v>15462.042675722141</v>
      </c>
      <c r="BS138" s="4">
        <f t="shared" si="160"/>
        <v>594.69394906623529</v>
      </c>
      <c r="BT138" s="4">
        <f t="shared" si="161"/>
        <v>46243.697439054136</v>
      </c>
      <c r="BU138" s="4">
        <f t="shared" si="162"/>
        <v>46243.697439054136</v>
      </c>
      <c r="BV138" s="7">
        <f t="shared" si="163"/>
        <v>184974.78975621655</v>
      </c>
      <c r="BW138" s="7">
        <f t="shared" si="164"/>
        <v>457815.76985522179</v>
      </c>
    </row>
    <row r="139" spans="1:75" x14ac:dyDescent="0.3">
      <c r="A139" s="3">
        <f t="shared" si="110"/>
        <v>135</v>
      </c>
      <c r="B139" t="str">
        <f>INDEX(Employees!$A:$A,A139+1)</f>
        <v>E135</v>
      </c>
      <c r="C139" t="str">
        <f>INDEX(Employees!$A:$Z,MATCH(B139,Employees!$A:$A,0),MATCH("category",Employees!$1:$1,0))</f>
        <v>Manufacturing</v>
      </c>
      <c r="D139" t="str">
        <f>INDEX(Employees!$A:$Z,MATCH(B139,Employees!$A:$A,0),MATCH("gender",Employees!$1:$1,0))</f>
        <v>F</v>
      </c>
      <c r="E139" s="3">
        <f>INDEX(Employees!$A:$Z,MATCH(B139,Employees!$A:$A,0),MATCH("grade",Employees!$1:$1,0))</f>
        <v>7</v>
      </c>
      <c r="F139" s="3">
        <f>INDEX(Employees!$A:$Z,MATCH(B139,Employees!$A:$A,0),MATCH("rating",Employees!$1:$1,0))</f>
        <v>2</v>
      </c>
      <c r="G139" s="22">
        <f>INDEX(Employees!$A:$Z,MATCH(B139,Employees!$A:$A,0),MATCH("hire_date",Employees!$1:$1,0))</f>
        <v>40963</v>
      </c>
      <c r="H139" s="22">
        <f>INDEX(Employees!$A:$Z,MATCH(B139,Employees!$A:$A,0),MATCH("last_change_date",Employees!$1:$1,0))</f>
        <v>46113</v>
      </c>
      <c r="I139" s="4">
        <f>INDEX(Employees!$A:$Z,MATCH(B139,Employees!$A:$A,0),MATCH("base_salary",Employees!$1:$1,0))</f>
        <v>51718.720000000001</v>
      </c>
      <c r="J139" s="5">
        <f>INDEX(Employees!$A:$Z,MATCH(B139,Employees!$A:$A,0),MATCH("bonus_pct",Employees!$1:$1,0))/100</f>
        <v>7.1599999999999997E-2</v>
      </c>
      <c r="K139" s="7">
        <f>INDEX(Employees!$A:$Z,MATCH(B139,Employees!$A:$A,0),MATCH("fte",Employees!$1:$1,0))</f>
        <v>1</v>
      </c>
      <c r="L139" s="3">
        <f>IF(ISNA(MATCH(C139&amp;"|"&amp;E139,Bands!$F:$F,0)),0,1)</f>
        <v>1</v>
      </c>
      <c r="M139" s="4">
        <f>INDEX(Bands!$C:$C,MATCH(C139&amp;"|"&amp;E139,Bands!$F:$F,0))</f>
        <v>46200</v>
      </c>
      <c r="N139" s="4">
        <f>INDEX(Bands!$D:$D,MATCH(C139&amp;"|"&amp;E139,Bands!$F:$F,0))</f>
        <v>55400</v>
      </c>
      <c r="O139" s="4">
        <f>INDEX(Bands!$E:$E,MATCH(C139&amp;"|"&amp;E139,Bands!$F:$F,0))</f>
        <v>64700</v>
      </c>
      <c r="P139" s="7">
        <f t="shared" si="111"/>
        <v>15.099247091033538</v>
      </c>
      <c r="Q139" s="4">
        <f t="shared" si="112"/>
        <v>55421.780352000009</v>
      </c>
      <c r="R139" s="7">
        <f t="shared" si="113"/>
        <v>49</v>
      </c>
      <c r="S139" s="7">
        <f t="shared" si="114"/>
        <v>227.98726271608476</v>
      </c>
      <c r="T139" s="7">
        <f t="shared" si="115"/>
        <v>105.69472963723477</v>
      </c>
      <c r="U139" s="7">
        <f t="shared" si="116"/>
        <v>387952.46246400004</v>
      </c>
      <c r="V139" s="7">
        <f t="shared" si="117"/>
        <v>836827.15575983585</v>
      </c>
      <c r="W139" s="4">
        <f t="shared" si="118"/>
        <v>55421.78</v>
      </c>
      <c r="X139" s="3">
        <f t="shared" si="119"/>
        <v>28</v>
      </c>
      <c r="Y139" s="4">
        <f>INDEX(Categories!$AH:$AH,MATCH(C139,Categories!$A:$A,0))</f>
        <v>48803.730524999999</v>
      </c>
      <c r="Z139" s="3">
        <f>IF(AND(D139="F",Q139&lt;Y139,INDEX(Categories!$AI:$AI,MATCH(C139,Categories!$A:$A,0))&gt;0),1,0)</f>
        <v>0</v>
      </c>
      <c r="AA139" s="4">
        <f t="shared" si="120"/>
        <v>0</v>
      </c>
      <c r="AB139" s="4">
        <f>IF(Z139=1,INDEX(Categories!$AI:$AI,MATCH(C139,Categories!$A:$A,0))*AA139/INDEX(Categories!$AJ:$AJ,MATCH(C139,Categories!$A:$A,0)),0)</f>
        <v>0</v>
      </c>
      <c r="AC139" s="4">
        <f t="shared" si="121"/>
        <v>0</v>
      </c>
      <c r="AD139" s="4">
        <f t="shared" si="122"/>
        <v>51718.720000000001</v>
      </c>
      <c r="AE139" s="3">
        <f t="shared" si="123"/>
        <v>0</v>
      </c>
      <c r="AF139" s="3">
        <f t="shared" si="124"/>
        <v>181</v>
      </c>
      <c r="AG139" s="3">
        <f t="shared" si="125"/>
        <v>12</v>
      </c>
      <c r="AH139" s="3">
        <f t="shared" si="126"/>
        <v>1</v>
      </c>
      <c r="AI139" s="5">
        <f t="shared" si="127"/>
        <v>0.93355090252707584</v>
      </c>
      <c r="AJ139" s="3">
        <f>MATCH(AI139,Inputs!$B$31:$B$34,1)</f>
        <v>2</v>
      </c>
      <c r="AK139" s="5">
        <f>INDEX(Inputs!$C$21:$C$25,MATCH(F139,Inputs!$A$21:$A$25,0))</f>
        <v>0.95</v>
      </c>
      <c r="AL139" s="5">
        <f>INDEX(Inputs!$D$21:$D$25,MATCH(F139,Inputs!$A$21:$A$25,0))</f>
        <v>0</v>
      </c>
      <c r="AM139" s="4">
        <f t="shared" si="128"/>
        <v>52630</v>
      </c>
      <c r="AN139" s="4">
        <f t="shared" si="129"/>
        <v>911.27999999999884</v>
      </c>
      <c r="AO139" s="3">
        <f t="shared" si="130"/>
        <v>1</v>
      </c>
      <c r="AP139" s="4">
        <f t="shared" si="131"/>
        <v>15515.616</v>
      </c>
      <c r="AQ139" s="4">
        <f t="shared" si="132"/>
        <v>0</v>
      </c>
      <c r="AR139" s="4">
        <f t="shared" si="133"/>
        <v>911.27999999999884</v>
      </c>
      <c r="AS139" s="3">
        <f t="shared" si="134"/>
        <v>0</v>
      </c>
      <c r="AT139" s="4">
        <f t="shared" si="135"/>
        <v>911.27999999999884</v>
      </c>
      <c r="AU139" s="4">
        <f t="shared" si="136"/>
        <v>12981.279999999999</v>
      </c>
      <c r="AV139" s="4">
        <f t="shared" si="137"/>
        <v>911.27999999999884</v>
      </c>
      <c r="AW139" s="4">
        <f t="shared" si="138"/>
        <v>911.27999999999884</v>
      </c>
      <c r="AX139" s="5">
        <f t="shared" si="139"/>
        <v>1.7619925628476474E-2</v>
      </c>
      <c r="AY139" s="4">
        <f t="shared" si="140"/>
        <v>52630</v>
      </c>
      <c r="AZ139" s="3">
        <f t="shared" si="141"/>
        <v>0</v>
      </c>
      <c r="BA139" s="4">
        <f t="shared" si="142"/>
        <v>55421.780352000009</v>
      </c>
      <c r="BB139" s="4">
        <f t="shared" si="143"/>
        <v>17818.102383168003</v>
      </c>
      <c r="BC139" s="4">
        <f t="shared" si="144"/>
        <v>55421.780352000009</v>
      </c>
      <c r="BD139" s="4">
        <f t="shared" si="145"/>
        <v>17818.102383168003</v>
      </c>
      <c r="BE139" s="4">
        <f t="shared" si="146"/>
        <v>56398.308000000005</v>
      </c>
      <c r="BF139" s="4">
        <f t="shared" si="147"/>
        <v>18132.056022000001</v>
      </c>
      <c r="BG139" s="4">
        <f t="shared" si="148"/>
        <v>0</v>
      </c>
      <c r="BH139" s="4">
        <f t="shared" si="149"/>
        <v>0</v>
      </c>
      <c r="BI139" s="4">
        <f t="shared" si="150"/>
        <v>0</v>
      </c>
      <c r="BJ139" s="4">
        <f t="shared" si="151"/>
        <v>911.27999999999884</v>
      </c>
      <c r="BK139" s="4">
        <f t="shared" si="152"/>
        <v>65.247647999999913</v>
      </c>
      <c r="BL139" s="4">
        <f t="shared" si="153"/>
        <v>313.95363883199752</v>
      </c>
      <c r="BM139" s="4">
        <f t="shared" si="154"/>
        <v>51718.720000000001</v>
      </c>
      <c r="BN139" s="4">
        <f t="shared" si="155"/>
        <v>2068.7488000000003</v>
      </c>
      <c r="BO139" s="4">
        <f t="shared" si="156"/>
        <v>2068.7488000000003</v>
      </c>
      <c r="BP139" s="4">
        <f t="shared" si="157"/>
        <v>148.12241408000003</v>
      </c>
      <c r="BQ139" s="4">
        <f t="shared" si="158"/>
        <v>57638.651566080007</v>
      </c>
      <c r="BR139" s="4">
        <f t="shared" si="159"/>
        <v>18530.826478494724</v>
      </c>
      <c r="BS139" s="4">
        <f t="shared" si="160"/>
        <v>712.724095326721</v>
      </c>
      <c r="BT139" s="4">
        <f t="shared" si="161"/>
        <v>55421.780352000009</v>
      </c>
      <c r="BU139" s="4">
        <f t="shared" si="162"/>
        <v>56398.308000000005</v>
      </c>
      <c r="BV139" s="7">
        <f t="shared" si="163"/>
        <v>394788.15600000002</v>
      </c>
      <c r="BW139" s="7">
        <f t="shared" si="164"/>
        <v>851571.98800821358</v>
      </c>
    </row>
    <row r="140" spans="1:75" x14ac:dyDescent="0.3">
      <c r="A140" s="3">
        <f t="shared" si="110"/>
        <v>136</v>
      </c>
      <c r="B140" t="str">
        <f>INDEX(Employees!$A:$A,A140+1)</f>
        <v>E136</v>
      </c>
      <c r="C140" t="str">
        <f>INDEX(Employees!$A:$Z,MATCH(B140,Employees!$A:$A,0),MATCH("category",Employees!$1:$1,0))</f>
        <v>Manufacturing</v>
      </c>
      <c r="D140" t="str">
        <f>INDEX(Employees!$A:$Z,MATCH(B140,Employees!$A:$A,0),MATCH("gender",Employees!$1:$1,0))</f>
        <v>F</v>
      </c>
      <c r="E140" s="3">
        <f>INDEX(Employees!$A:$Z,MATCH(B140,Employees!$A:$A,0),MATCH("grade",Employees!$1:$1,0))</f>
        <v>8</v>
      </c>
      <c r="F140" s="3">
        <f>INDEX(Employees!$A:$Z,MATCH(B140,Employees!$A:$A,0),MATCH("rating",Employees!$1:$1,0))</f>
        <v>2</v>
      </c>
      <c r="G140" s="22">
        <f>INDEX(Employees!$A:$Z,MATCH(B140,Employees!$A:$A,0),MATCH("hire_date",Employees!$1:$1,0))</f>
        <v>41036</v>
      </c>
      <c r="H140" s="22">
        <f>INDEX(Employees!$A:$Z,MATCH(B140,Employees!$A:$A,0),MATCH("last_change_date",Employees!$1:$1,0))</f>
        <v>46113</v>
      </c>
      <c r="I140" s="4">
        <f>INDEX(Employees!$A:$Z,MATCH(B140,Employees!$A:$A,0),MATCH("base_salary",Employees!$1:$1,0))</f>
        <v>64061.06</v>
      </c>
      <c r="J140" s="5">
        <f>INDEX(Employees!$A:$Z,MATCH(B140,Employees!$A:$A,0),MATCH("bonus_pct",Employees!$1:$1,0))/100</f>
        <v>4.7E-2</v>
      </c>
      <c r="K140" s="7">
        <f>INDEX(Employees!$A:$Z,MATCH(B140,Employees!$A:$A,0),MATCH("fte",Employees!$1:$1,0))</f>
        <v>1</v>
      </c>
      <c r="L140" s="3">
        <f>IF(ISNA(MATCH(C140&amp;"|"&amp;E140,Bands!$F:$F,0)),0,1)</f>
        <v>1</v>
      </c>
      <c r="M140" s="4">
        <f>INDEX(Bands!$C:$C,MATCH(C140&amp;"|"&amp;E140,Bands!$F:$F,0))</f>
        <v>53700</v>
      </c>
      <c r="N140" s="4">
        <f>INDEX(Bands!$D:$D,MATCH(C140&amp;"|"&amp;E140,Bands!$F:$F,0))</f>
        <v>64400</v>
      </c>
      <c r="O140" s="4">
        <f>INDEX(Bands!$E:$E,MATCH(C140&amp;"|"&amp;E140,Bands!$F:$F,0))</f>
        <v>75200</v>
      </c>
      <c r="P140" s="7">
        <f t="shared" si="111"/>
        <v>14.899383983572895</v>
      </c>
      <c r="Q140" s="4">
        <f t="shared" si="112"/>
        <v>67071.92981999999</v>
      </c>
      <c r="R140" s="7">
        <f t="shared" si="113"/>
        <v>64</v>
      </c>
      <c r="S140" s="7">
        <f t="shared" si="114"/>
        <v>221.9916430899485</v>
      </c>
      <c r="T140" s="7">
        <f t="shared" si="115"/>
        <v>119.19507186858316</v>
      </c>
      <c r="U140" s="7">
        <f t="shared" si="116"/>
        <v>536575.43855999992</v>
      </c>
      <c r="V140" s="7">
        <f t="shared" si="117"/>
        <v>999330.43690743309</v>
      </c>
      <c r="W140" s="4">
        <f t="shared" si="118"/>
        <v>67071.929999999993</v>
      </c>
      <c r="X140" s="3">
        <f t="shared" si="119"/>
        <v>38</v>
      </c>
      <c r="Y140" s="4">
        <f>INDEX(Categories!$AH:$AH,MATCH(C140,Categories!$A:$A,0))</f>
        <v>48803.730524999999</v>
      </c>
      <c r="Z140" s="3">
        <f>IF(AND(D140="F",Q140&lt;Y140,INDEX(Categories!$AI:$AI,MATCH(C140,Categories!$A:$A,0))&gt;0),1,0)</f>
        <v>0</v>
      </c>
      <c r="AA140" s="4">
        <f t="shared" si="120"/>
        <v>0</v>
      </c>
      <c r="AB140" s="4">
        <f>IF(Z140=1,INDEX(Categories!$AI:$AI,MATCH(C140,Categories!$A:$A,0))*AA140/INDEX(Categories!$AJ:$AJ,MATCH(C140,Categories!$A:$A,0)),0)</f>
        <v>0</v>
      </c>
      <c r="AC140" s="4">
        <f t="shared" si="121"/>
        <v>0</v>
      </c>
      <c r="AD140" s="4">
        <f t="shared" si="122"/>
        <v>64061.06</v>
      </c>
      <c r="AE140" s="3">
        <f t="shared" si="123"/>
        <v>0</v>
      </c>
      <c r="AF140" s="3">
        <f t="shared" si="124"/>
        <v>178</v>
      </c>
      <c r="AG140" s="3">
        <f t="shared" si="125"/>
        <v>12</v>
      </c>
      <c r="AH140" s="3">
        <f t="shared" si="126"/>
        <v>1</v>
      </c>
      <c r="AI140" s="5">
        <f t="shared" si="127"/>
        <v>0.9947369565217391</v>
      </c>
      <c r="AJ140" s="3">
        <f>MATCH(AI140,Inputs!$B$31:$B$34,1)</f>
        <v>2</v>
      </c>
      <c r="AK140" s="5">
        <f>INDEX(Inputs!$C$21:$C$25,MATCH(F140,Inputs!$A$21:$A$25,0))</f>
        <v>0.95</v>
      </c>
      <c r="AL140" s="5">
        <f>INDEX(Inputs!$D$21:$D$25,MATCH(F140,Inputs!$A$21:$A$25,0))</f>
        <v>0</v>
      </c>
      <c r="AM140" s="4">
        <f t="shared" si="128"/>
        <v>61180</v>
      </c>
      <c r="AN140" s="4">
        <f t="shared" si="129"/>
        <v>0</v>
      </c>
      <c r="AO140" s="3">
        <f t="shared" si="130"/>
        <v>1</v>
      </c>
      <c r="AP140" s="4">
        <f t="shared" si="131"/>
        <v>19218.317999999999</v>
      </c>
      <c r="AQ140" s="4">
        <f t="shared" si="132"/>
        <v>0</v>
      </c>
      <c r="AR140" s="4">
        <f t="shared" si="133"/>
        <v>0</v>
      </c>
      <c r="AS140" s="3">
        <f t="shared" si="134"/>
        <v>0</v>
      </c>
      <c r="AT140" s="4">
        <f t="shared" si="135"/>
        <v>0</v>
      </c>
      <c r="AU140" s="4">
        <f t="shared" si="136"/>
        <v>11138.940000000002</v>
      </c>
      <c r="AV140" s="4">
        <f t="shared" si="137"/>
        <v>0</v>
      </c>
      <c r="AW140" s="4">
        <f t="shared" si="138"/>
        <v>0</v>
      </c>
      <c r="AX140" s="5">
        <f t="shared" si="139"/>
        <v>0</v>
      </c>
      <c r="AY140" s="4">
        <f t="shared" si="140"/>
        <v>64061.06</v>
      </c>
      <c r="AZ140" s="3">
        <f t="shared" si="141"/>
        <v>0</v>
      </c>
      <c r="BA140" s="4">
        <f t="shared" si="142"/>
        <v>67071.92981999999</v>
      </c>
      <c r="BB140" s="4">
        <f t="shared" si="143"/>
        <v>19736.661886271999</v>
      </c>
      <c r="BC140" s="4">
        <f t="shared" si="144"/>
        <v>67071.92981999999</v>
      </c>
      <c r="BD140" s="4">
        <f t="shared" si="145"/>
        <v>19736.661886271999</v>
      </c>
      <c r="BE140" s="4">
        <f t="shared" si="146"/>
        <v>67071.92981999999</v>
      </c>
      <c r="BF140" s="4">
        <f t="shared" si="147"/>
        <v>19736.661886271999</v>
      </c>
      <c r="BG140" s="4">
        <f t="shared" si="148"/>
        <v>0</v>
      </c>
      <c r="BH140" s="4">
        <f t="shared" si="149"/>
        <v>0</v>
      </c>
      <c r="BI140" s="4">
        <f t="shared" si="150"/>
        <v>0</v>
      </c>
      <c r="BJ140" s="4">
        <f t="shared" si="151"/>
        <v>0</v>
      </c>
      <c r="BK140" s="4">
        <f t="shared" si="152"/>
        <v>0</v>
      </c>
      <c r="BL140" s="4">
        <f t="shared" si="153"/>
        <v>0</v>
      </c>
      <c r="BM140" s="4">
        <f t="shared" si="154"/>
        <v>64061.06</v>
      </c>
      <c r="BN140" s="4">
        <f t="shared" si="155"/>
        <v>2562.4423999999999</v>
      </c>
      <c r="BO140" s="4">
        <f t="shared" si="156"/>
        <v>2562.4423999999999</v>
      </c>
      <c r="BP140" s="4">
        <f t="shared" si="157"/>
        <v>120.4347928</v>
      </c>
      <c r="BQ140" s="4">
        <f t="shared" si="158"/>
        <v>69754.807012799996</v>
      </c>
      <c r="BR140" s="4">
        <f t="shared" si="159"/>
        <v>19764.352680933116</v>
      </c>
      <c r="BS140" s="4">
        <f t="shared" si="160"/>
        <v>27.690794661117252</v>
      </c>
      <c r="BT140" s="4">
        <f t="shared" si="161"/>
        <v>67071.92981999999</v>
      </c>
      <c r="BU140" s="4">
        <f t="shared" si="162"/>
        <v>67071.92981999999</v>
      </c>
      <c r="BV140" s="7">
        <f t="shared" si="163"/>
        <v>536575.43855999992</v>
      </c>
      <c r="BW140" s="7">
        <f t="shared" si="164"/>
        <v>999330.43690743309</v>
      </c>
    </row>
    <row r="141" spans="1:75" x14ac:dyDescent="0.3">
      <c r="A141" s="3">
        <f t="shared" si="110"/>
        <v>137</v>
      </c>
      <c r="B141" t="str">
        <f>INDEX(Employees!$A:$A,A141+1)</f>
        <v>E137</v>
      </c>
      <c r="C141" t="str">
        <f>INDEX(Employees!$A:$Z,MATCH(B141,Employees!$A:$A,0),MATCH("category",Employees!$1:$1,0))</f>
        <v>Manufacturing</v>
      </c>
      <c r="D141" t="str">
        <f>INDEX(Employees!$A:$Z,MATCH(B141,Employees!$A:$A,0),MATCH("gender",Employees!$1:$1,0))</f>
        <v>M</v>
      </c>
      <c r="E141" s="3">
        <f>INDEX(Employees!$A:$Z,MATCH(B141,Employees!$A:$A,0),MATCH("grade",Employees!$1:$1,0))</f>
        <v>7</v>
      </c>
      <c r="F141" s="3">
        <f>INDEX(Employees!$A:$Z,MATCH(B141,Employees!$A:$A,0),MATCH("rating",Employees!$1:$1,0))</f>
        <v>3</v>
      </c>
      <c r="G141" s="22">
        <f>INDEX(Employees!$A:$Z,MATCH(B141,Employees!$A:$A,0),MATCH("hire_date",Employees!$1:$1,0))</f>
        <v>41730</v>
      </c>
      <c r="H141" s="22">
        <f>INDEX(Employees!$A:$Z,MATCH(B141,Employees!$A:$A,0),MATCH("last_change_date",Employees!$1:$1,0))</f>
        <v>46113</v>
      </c>
      <c r="I141" s="4">
        <f>INDEX(Employees!$A:$Z,MATCH(B141,Employees!$A:$A,0),MATCH("base_salary",Employees!$1:$1,0))</f>
        <v>56403.47</v>
      </c>
      <c r="J141" s="5">
        <f>INDEX(Employees!$A:$Z,MATCH(B141,Employees!$A:$A,0),MATCH("bonus_pct",Employees!$1:$1,0))/100</f>
        <v>6.8400000000000002E-2</v>
      </c>
      <c r="K141" s="7">
        <f>INDEX(Employees!$A:$Z,MATCH(B141,Employees!$A:$A,0),MATCH("fte",Employees!$1:$1,0))</f>
        <v>1</v>
      </c>
      <c r="L141" s="3">
        <f>IF(ISNA(MATCH(C141&amp;"|"&amp;E141,Bands!$F:$F,0)),0,1)</f>
        <v>1</v>
      </c>
      <c r="M141" s="4">
        <f>INDEX(Bands!$C:$C,MATCH(C141&amp;"|"&amp;E141,Bands!$F:$F,0))</f>
        <v>46200</v>
      </c>
      <c r="N141" s="4">
        <f>INDEX(Bands!$D:$D,MATCH(C141&amp;"|"&amp;E141,Bands!$F:$F,0))</f>
        <v>55400</v>
      </c>
      <c r="O141" s="4">
        <f>INDEX(Bands!$E:$E,MATCH(C141&amp;"|"&amp;E141,Bands!$F:$F,0))</f>
        <v>64700</v>
      </c>
      <c r="P141" s="7">
        <f t="shared" si="111"/>
        <v>12.999315537303216</v>
      </c>
      <c r="Q141" s="4">
        <f t="shared" si="112"/>
        <v>60261.467348000006</v>
      </c>
      <c r="R141" s="7">
        <f t="shared" si="113"/>
        <v>49</v>
      </c>
      <c r="S141" s="7">
        <f t="shared" si="114"/>
        <v>168.9822044383728</v>
      </c>
      <c r="T141" s="7">
        <f t="shared" si="115"/>
        <v>90.995208761122512</v>
      </c>
      <c r="U141" s="7">
        <f t="shared" si="116"/>
        <v>421830.27143600001</v>
      </c>
      <c r="V141" s="7">
        <f t="shared" si="117"/>
        <v>783357.82879754691</v>
      </c>
      <c r="W141" s="4">
        <f t="shared" si="118"/>
        <v>60261.47</v>
      </c>
      <c r="X141" s="3">
        <f t="shared" si="119"/>
        <v>33</v>
      </c>
      <c r="Y141" s="4">
        <f>INDEX(Categories!$AH:$AH,MATCH(C141,Categories!$A:$A,0))</f>
        <v>48803.730524999999</v>
      </c>
      <c r="Z141" s="3">
        <f>IF(AND(D141="F",Q141&lt;Y141,INDEX(Categories!$AI:$AI,MATCH(C141,Categories!$A:$A,0))&gt;0),1,0)</f>
        <v>0</v>
      </c>
      <c r="AA141" s="4">
        <f t="shared" si="120"/>
        <v>0</v>
      </c>
      <c r="AB141" s="4">
        <f>IF(Z141=1,INDEX(Categories!$AI:$AI,MATCH(C141,Categories!$A:$A,0))*AA141/INDEX(Categories!$AJ:$AJ,MATCH(C141,Categories!$A:$A,0)),0)</f>
        <v>0</v>
      </c>
      <c r="AC141" s="4">
        <f t="shared" si="121"/>
        <v>0</v>
      </c>
      <c r="AD141" s="4">
        <f t="shared" si="122"/>
        <v>56403.47</v>
      </c>
      <c r="AE141" s="3">
        <f t="shared" si="123"/>
        <v>0</v>
      </c>
      <c r="AF141" s="3">
        <f t="shared" si="124"/>
        <v>156</v>
      </c>
      <c r="AG141" s="3">
        <f t="shared" si="125"/>
        <v>12</v>
      </c>
      <c r="AH141" s="3">
        <f t="shared" si="126"/>
        <v>1</v>
      </c>
      <c r="AI141" s="5">
        <f t="shared" si="127"/>
        <v>1.0181131768953069</v>
      </c>
      <c r="AJ141" s="3">
        <f>MATCH(AI141,Inputs!$B$31:$B$34,1)</f>
        <v>3</v>
      </c>
      <c r="AK141" s="5">
        <f>INDEX(Inputs!$C$21:$C$25,MATCH(F141,Inputs!$A$21:$A$25,0))</f>
        <v>1</v>
      </c>
      <c r="AL141" s="5">
        <f>INDEX(Inputs!$D$21:$D$25,MATCH(F141,Inputs!$A$21:$A$25,0))</f>
        <v>0</v>
      </c>
      <c r="AM141" s="4">
        <f t="shared" si="128"/>
        <v>55400</v>
      </c>
      <c r="AN141" s="4">
        <f t="shared" si="129"/>
        <v>0</v>
      </c>
      <c r="AO141" s="3">
        <f t="shared" si="130"/>
        <v>1</v>
      </c>
      <c r="AP141" s="4">
        <f t="shared" si="131"/>
        <v>16921.041000000001</v>
      </c>
      <c r="AQ141" s="4">
        <f t="shared" si="132"/>
        <v>0</v>
      </c>
      <c r="AR141" s="4">
        <f t="shared" si="133"/>
        <v>0</v>
      </c>
      <c r="AS141" s="3">
        <f t="shared" si="134"/>
        <v>0</v>
      </c>
      <c r="AT141" s="4">
        <f t="shared" si="135"/>
        <v>0</v>
      </c>
      <c r="AU141" s="4">
        <f t="shared" si="136"/>
        <v>8296.5299999999988</v>
      </c>
      <c r="AV141" s="4">
        <f t="shared" si="137"/>
        <v>0</v>
      </c>
      <c r="AW141" s="4">
        <f t="shared" si="138"/>
        <v>0</v>
      </c>
      <c r="AX141" s="5">
        <f t="shared" si="139"/>
        <v>0</v>
      </c>
      <c r="AY141" s="4">
        <f t="shared" si="140"/>
        <v>56403.47</v>
      </c>
      <c r="AZ141" s="3">
        <f t="shared" si="141"/>
        <v>0</v>
      </c>
      <c r="BA141" s="4">
        <f t="shared" si="142"/>
        <v>60261.467348000006</v>
      </c>
      <c r="BB141" s="4">
        <f t="shared" si="143"/>
        <v>19374.061752382004</v>
      </c>
      <c r="BC141" s="4">
        <f t="shared" si="144"/>
        <v>60261.467348000006</v>
      </c>
      <c r="BD141" s="4">
        <f t="shared" si="145"/>
        <v>19374.061752382004</v>
      </c>
      <c r="BE141" s="4">
        <f t="shared" si="146"/>
        <v>60261.467348000006</v>
      </c>
      <c r="BF141" s="4">
        <f t="shared" si="147"/>
        <v>19374.061752382004</v>
      </c>
      <c r="BG141" s="4">
        <f t="shared" si="148"/>
        <v>0</v>
      </c>
      <c r="BH141" s="4">
        <f t="shared" si="149"/>
        <v>0</v>
      </c>
      <c r="BI141" s="4">
        <f t="shared" si="150"/>
        <v>0</v>
      </c>
      <c r="BJ141" s="4">
        <f t="shared" si="151"/>
        <v>0</v>
      </c>
      <c r="BK141" s="4">
        <f t="shared" si="152"/>
        <v>0</v>
      </c>
      <c r="BL141" s="4">
        <f t="shared" si="153"/>
        <v>0</v>
      </c>
      <c r="BM141" s="4">
        <f t="shared" si="154"/>
        <v>56403.47</v>
      </c>
      <c r="BN141" s="4">
        <f t="shared" si="155"/>
        <v>2256.1388000000002</v>
      </c>
      <c r="BO141" s="4">
        <f t="shared" si="156"/>
        <v>2256.1388000000002</v>
      </c>
      <c r="BP141" s="4">
        <f t="shared" si="157"/>
        <v>154.31989392000003</v>
      </c>
      <c r="BQ141" s="4">
        <f t="shared" si="158"/>
        <v>62671.92604192</v>
      </c>
      <c r="BR141" s="4">
        <f t="shared" si="159"/>
        <v>19694.421850002433</v>
      </c>
      <c r="BS141" s="4">
        <f t="shared" si="160"/>
        <v>320.36009762042886</v>
      </c>
      <c r="BT141" s="4">
        <f t="shared" si="161"/>
        <v>60261.467348000006</v>
      </c>
      <c r="BU141" s="4">
        <f t="shared" si="162"/>
        <v>60261.467348000006</v>
      </c>
      <c r="BV141" s="7">
        <f t="shared" si="163"/>
        <v>421830.27143600001</v>
      </c>
      <c r="BW141" s="7">
        <f t="shared" si="164"/>
        <v>783357.82879754691</v>
      </c>
    </row>
    <row r="142" spans="1:75" x14ac:dyDescent="0.3">
      <c r="A142" s="3">
        <f t="shared" si="110"/>
        <v>138</v>
      </c>
      <c r="B142" t="str">
        <f>INDEX(Employees!$A:$A,A142+1)</f>
        <v>E138</v>
      </c>
      <c r="C142" t="str">
        <f>INDEX(Employees!$A:$Z,MATCH(B142,Employees!$A:$A,0),MATCH("category",Employees!$1:$1,0))</f>
        <v>Manufacturing</v>
      </c>
      <c r="D142" t="str">
        <f>INDEX(Employees!$A:$Z,MATCH(B142,Employees!$A:$A,0),MATCH("gender",Employees!$1:$1,0))</f>
        <v>M</v>
      </c>
      <c r="E142" s="3">
        <f>INDEX(Employees!$A:$Z,MATCH(B142,Employees!$A:$A,0),MATCH("grade",Employees!$1:$1,0))</f>
        <v>7</v>
      </c>
      <c r="F142" s="3">
        <f>INDEX(Employees!$A:$Z,MATCH(B142,Employees!$A:$A,0),MATCH("rating",Employees!$1:$1,0))</f>
        <v>3</v>
      </c>
      <c r="G142" s="22">
        <f>INDEX(Employees!$A:$Z,MATCH(B142,Employees!$A:$A,0),MATCH("hire_date",Employees!$1:$1,0))</f>
        <v>42058</v>
      </c>
      <c r="H142" s="22">
        <f>INDEX(Employees!$A:$Z,MATCH(B142,Employees!$A:$A,0),MATCH("last_change_date",Employees!$1:$1,0))</f>
        <v>46113</v>
      </c>
      <c r="I142" s="4">
        <f>INDEX(Employees!$A:$Z,MATCH(B142,Employees!$A:$A,0),MATCH("base_salary",Employees!$1:$1,0))</f>
        <v>56044.3</v>
      </c>
      <c r="J142" s="5">
        <f>INDEX(Employees!$A:$Z,MATCH(B142,Employees!$A:$A,0),MATCH("bonus_pct",Employees!$1:$1,0))/100</f>
        <v>5.2999999999999999E-2</v>
      </c>
      <c r="K142" s="7">
        <f>INDEX(Employees!$A:$Z,MATCH(B142,Employees!$A:$A,0),MATCH("fte",Employees!$1:$1,0))</f>
        <v>0.5</v>
      </c>
      <c r="L142" s="3">
        <f>IF(ISNA(MATCH(C142&amp;"|"&amp;E142,Bands!$F:$F,0)),0,1)</f>
        <v>1</v>
      </c>
      <c r="M142" s="4">
        <f>INDEX(Bands!$C:$C,MATCH(C142&amp;"|"&amp;E142,Bands!$F:$F,0))</f>
        <v>46200</v>
      </c>
      <c r="N142" s="4">
        <f>INDEX(Bands!$D:$D,MATCH(C142&amp;"|"&amp;E142,Bands!$F:$F,0))</f>
        <v>55400</v>
      </c>
      <c r="O142" s="4">
        <f>INDEX(Bands!$E:$E,MATCH(C142&amp;"|"&amp;E142,Bands!$F:$F,0))</f>
        <v>64700</v>
      </c>
      <c r="P142" s="7">
        <f t="shared" si="111"/>
        <v>12.101300479123887</v>
      </c>
      <c r="Q142" s="4">
        <f t="shared" si="112"/>
        <v>59014.647899999996</v>
      </c>
      <c r="R142" s="7">
        <f t="shared" si="113"/>
        <v>49</v>
      </c>
      <c r="S142" s="7">
        <f t="shared" si="114"/>
        <v>146.44147328604402</v>
      </c>
      <c r="T142" s="7">
        <f t="shared" si="115"/>
        <v>84.709103353867206</v>
      </c>
      <c r="U142" s="7">
        <f t="shared" si="116"/>
        <v>413102.53529999999</v>
      </c>
      <c r="V142" s="7">
        <f t="shared" si="117"/>
        <v>714153.98690759751</v>
      </c>
      <c r="W142" s="4">
        <f t="shared" si="118"/>
        <v>59014.65</v>
      </c>
      <c r="X142" s="3">
        <f t="shared" si="119"/>
        <v>32</v>
      </c>
      <c r="Y142" s="4">
        <f>INDEX(Categories!$AH:$AH,MATCH(C142,Categories!$A:$A,0))</f>
        <v>48803.730524999999</v>
      </c>
      <c r="Z142" s="3">
        <f>IF(AND(D142="F",Q142&lt;Y142,INDEX(Categories!$AI:$AI,MATCH(C142,Categories!$A:$A,0))&gt;0),1,0)</f>
        <v>0</v>
      </c>
      <c r="AA142" s="4">
        <f t="shared" si="120"/>
        <v>0</v>
      </c>
      <c r="AB142" s="4">
        <f>IF(Z142=1,INDEX(Categories!$AI:$AI,MATCH(C142,Categories!$A:$A,0))*AA142/INDEX(Categories!$AJ:$AJ,MATCH(C142,Categories!$A:$A,0)),0)</f>
        <v>0</v>
      </c>
      <c r="AC142" s="4">
        <f t="shared" si="121"/>
        <v>0</v>
      </c>
      <c r="AD142" s="4">
        <f t="shared" si="122"/>
        <v>56044.3</v>
      </c>
      <c r="AE142" s="3">
        <f t="shared" si="123"/>
        <v>0</v>
      </c>
      <c r="AF142" s="3">
        <f t="shared" si="124"/>
        <v>145</v>
      </c>
      <c r="AG142" s="3">
        <f t="shared" si="125"/>
        <v>12</v>
      </c>
      <c r="AH142" s="3">
        <f t="shared" si="126"/>
        <v>1</v>
      </c>
      <c r="AI142" s="5">
        <f t="shared" si="127"/>
        <v>1.011629963898917</v>
      </c>
      <c r="AJ142" s="3">
        <f>MATCH(AI142,Inputs!$B$31:$B$34,1)</f>
        <v>3</v>
      </c>
      <c r="AK142" s="5">
        <f>INDEX(Inputs!$C$21:$C$25,MATCH(F142,Inputs!$A$21:$A$25,0))</f>
        <v>1</v>
      </c>
      <c r="AL142" s="5">
        <f>INDEX(Inputs!$D$21:$D$25,MATCH(F142,Inputs!$A$21:$A$25,0))</f>
        <v>0</v>
      </c>
      <c r="AM142" s="4">
        <f t="shared" si="128"/>
        <v>55400</v>
      </c>
      <c r="AN142" s="4">
        <f t="shared" si="129"/>
        <v>0</v>
      </c>
      <c r="AO142" s="3">
        <f t="shared" si="130"/>
        <v>1</v>
      </c>
      <c r="AP142" s="4">
        <f t="shared" si="131"/>
        <v>16813.29</v>
      </c>
      <c r="AQ142" s="4">
        <f t="shared" si="132"/>
        <v>0</v>
      </c>
      <c r="AR142" s="4">
        <f t="shared" si="133"/>
        <v>0</v>
      </c>
      <c r="AS142" s="3">
        <f t="shared" si="134"/>
        <v>0</v>
      </c>
      <c r="AT142" s="4">
        <f t="shared" si="135"/>
        <v>0</v>
      </c>
      <c r="AU142" s="4">
        <f t="shared" si="136"/>
        <v>8655.6999999999971</v>
      </c>
      <c r="AV142" s="4">
        <f t="shared" si="137"/>
        <v>0</v>
      </c>
      <c r="AW142" s="4">
        <f t="shared" si="138"/>
        <v>0</v>
      </c>
      <c r="AX142" s="5">
        <f t="shared" si="139"/>
        <v>0</v>
      </c>
      <c r="AY142" s="4">
        <f t="shared" si="140"/>
        <v>56044.3</v>
      </c>
      <c r="AZ142" s="3">
        <f t="shared" si="141"/>
        <v>0</v>
      </c>
      <c r="BA142" s="4">
        <f t="shared" si="142"/>
        <v>29507.323949999998</v>
      </c>
      <c r="BB142" s="4">
        <f t="shared" si="143"/>
        <v>9486.6046499249987</v>
      </c>
      <c r="BC142" s="4">
        <f t="shared" si="144"/>
        <v>29507.323949999998</v>
      </c>
      <c r="BD142" s="4">
        <f t="shared" si="145"/>
        <v>9486.6046499249987</v>
      </c>
      <c r="BE142" s="4">
        <f t="shared" si="146"/>
        <v>29507.323949999998</v>
      </c>
      <c r="BF142" s="4">
        <f t="shared" si="147"/>
        <v>9486.6046499249987</v>
      </c>
      <c r="BG142" s="4">
        <f t="shared" si="148"/>
        <v>0</v>
      </c>
      <c r="BH142" s="4">
        <f t="shared" si="149"/>
        <v>0</v>
      </c>
      <c r="BI142" s="4">
        <f t="shared" si="150"/>
        <v>0</v>
      </c>
      <c r="BJ142" s="4">
        <f t="shared" si="151"/>
        <v>0</v>
      </c>
      <c r="BK142" s="4">
        <f t="shared" si="152"/>
        <v>0</v>
      </c>
      <c r="BL142" s="4">
        <f t="shared" si="153"/>
        <v>0</v>
      </c>
      <c r="BM142" s="4">
        <f t="shared" si="154"/>
        <v>28022.15</v>
      </c>
      <c r="BN142" s="4">
        <f t="shared" si="155"/>
        <v>2241.7720000000004</v>
      </c>
      <c r="BO142" s="4">
        <f t="shared" si="156"/>
        <v>1120.8860000000002</v>
      </c>
      <c r="BP142" s="4">
        <f t="shared" si="157"/>
        <v>59.40695800000001</v>
      </c>
      <c r="BQ142" s="4">
        <f t="shared" si="158"/>
        <v>30687.616908</v>
      </c>
      <c r="BR142" s="4">
        <f t="shared" si="159"/>
        <v>9866.0688359220003</v>
      </c>
      <c r="BS142" s="4">
        <f t="shared" si="160"/>
        <v>379.46418599700155</v>
      </c>
      <c r="BT142" s="4">
        <f t="shared" si="161"/>
        <v>59014.647899999996</v>
      </c>
      <c r="BU142" s="4">
        <f t="shared" si="162"/>
        <v>59014.647899999996</v>
      </c>
      <c r="BV142" s="7">
        <f t="shared" si="163"/>
        <v>413102.53529999999</v>
      </c>
      <c r="BW142" s="7">
        <f t="shared" si="164"/>
        <v>714153.98690759751</v>
      </c>
    </row>
    <row r="143" spans="1:75" x14ac:dyDescent="0.3">
      <c r="A143" s="3">
        <f t="shared" si="110"/>
        <v>139</v>
      </c>
      <c r="B143" t="str">
        <f>INDEX(Employees!$A:$A,A143+1)</f>
        <v>E139</v>
      </c>
      <c r="C143" t="str">
        <f>INDEX(Employees!$A:$Z,MATCH(B143,Employees!$A:$A,0),MATCH("category",Employees!$1:$1,0))</f>
        <v>Manufacturing</v>
      </c>
      <c r="D143" t="str">
        <f>INDEX(Employees!$A:$Z,MATCH(B143,Employees!$A:$A,0),MATCH("gender",Employees!$1:$1,0))</f>
        <v>F</v>
      </c>
      <c r="E143" s="3">
        <f>INDEX(Employees!$A:$Z,MATCH(B143,Employees!$A:$A,0),MATCH("grade",Employees!$1:$1,0))</f>
        <v>4</v>
      </c>
      <c r="F143" s="3">
        <f>INDEX(Employees!$A:$Z,MATCH(B143,Employees!$A:$A,0),MATCH("rating",Employees!$1:$1,0))</f>
        <v>2</v>
      </c>
      <c r="G143" s="22">
        <f>INDEX(Employees!$A:$Z,MATCH(B143,Employees!$A:$A,0),MATCH("hire_date",Employees!$1:$1,0))</f>
        <v>43483</v>
      </c>
      <c r="H143" s="22">
        <f>INDEX(Employees!$A:$Z,MATCH(B143,Employees!$A:$A,0),MATCH("last_change_date",Employees!$1:$1,0))</f>
        <v>46113</v>
      </c>
      <c r="I143" s="4">
        <f>INDEX(Employees!$A:$Z,MATCH(B143,Employees!$A:$A,0),MATCH("base_salary",Employees!$1:$1,0))</f>
        <v>35623.85</v>
      </c>
      <c r="J143" s="5">
        <f>INDEX(Employees!$A:$Z,MATCH(B143,Employees!$A:$A,0),MATCH("bonus_pct",Employees!$1:$1,0))/100</f>
        <v>4.8499999999999995E-2</v>
      </c>
      <c r="K143" s="7">
        <f>INDEX(Employees!$A:$Z,MATCH(B143,Employees!$A:$A,0),MATCH("fte",Employees!$1:$1,0))</f>
        <v>1</v>
      </c>
      <c r="L143" s="3">
        <f>IF(ISNA(MATCH(C143&amp;"|"&amp;E143,Bands!$F:$F,0)),0,1)</f>
        <v>1</v>
      </c>
      <c r="M143" s="4">
        <f>INDEX(Bands!$C:$C,MATCH(C143&amp;"|"&amp;E143,Bands!$F:$F,0))</f>
        <v>30400</v>
      </c>
      <c r="N143" s="4">
        <f>INDEX(Bands!$D:$D,MATCH(C143&amp;"|"&amp;E143,Bands!$F:$F,0))</f>
        <v>35000</v>
      </c>
      <c r="O143" s="4">
        <f>INDEX(Bands!$E:$E,MATCH(C143&amp;"|"&amp;E143,Bands!$F:$F,0))</f>
        <v>39500</v>
      </c>
      <c r="P143" s="7">
        <f t="shared" si="111"/>
        <v>8.1998631074606436</v>
      </c>
      <c r="Q143" s="4">
        <f t="shared" si="112"/>
        <v>37351.606724999998</v>
      </c>
      <c r="R143" s="7">
        <f t="shared" si="113"/>
        <v>16</v>
      </c>
      <c r="S143" s="7">
        <f t="shared" si="114"/>
        <v>67.237754981094128</v>
      </c>
      <c r="T143" s="7">
        <f t="shared" si="115"/>
        <v>32.799452429842574</v>
      </c>
      <c r="U143" s="7">
        <f t="shared" si="116"/>
        <v>149406.42689999999</v>
      </c>
      <c r="V143" s="7">
        <f t="shared" si="117"/>
        <v>306278.06198870635</v>
      </c>
      <c r="W143" s="4">
        <f t="shared" si="118"/>
        <v>37351.61</v>
      </c>
      <c r="X143" s="3">
        <f t="shared" si="119"/>
        <v>3</v>
      </c>
      <c r="Y143" s="4">
        <f>INDEX(Categories!$AH:$AH,MATCH(C143,Categories!$A:$A,0))</f>
        <v>48803.730524999999</v>
      </c>
      <c r="Z143" s="3">
        <f>IF(AND(D143="F",Q143&lt;Y143,INDEX(Categories!$AI:$AI,MATCH(C143,Categories!$A:$A,0))&gt;0),1,0)</f>
        <v>1</v>
      </c>
      <c r="AA143" s="4">
        <f t="shared" si="120"/>
        <v>11452.123800000001</v>
      </c>
      <c r="AB143" s="4">
        <f>IF(Z143=1,INDEX(Categories!$AI:$AI,MATCH(C143,Categories!$A:$A,0))*AA143/INDEX(Categories!$AJ:$AJ,MATCH(C143,Categories!$A:$A,0)),0)</f>
        <v>7443.9609794921025</v>
      </c>
      <c r="AC143" s="4">
        <f t="shared" si="121"/>
        <v>7099.6289742413946</v>
      </c>
      <c r="AD143" s="4">
        <f t="shared" si="122"/>
        <v>42723.478974241392</v>
      </c>
      <c r="AE143" s="3">
        <f t="shared" si="123"/>
        <v>1</v>
      </c>
      <c r="AF143" s="3">
        <f t="shared" si="124"/>
        <v>98</v>
      </c>
      <c r="AG143" s="3">
        <f t="shared" si="125"/>
        <v>12</v>
      </c>
      <c r="AH143" s="3">
        <f t="shared" si="126"/>
        <v>1</v>
      </c>
      <c r="AI143" s="5">
        <f t="shared" si="127"/>
        <v>1.2206708278354683</v>
      </c>
      <c r="AJ143" s="3">
        <f>MATCH(AI143,Inputs!$B$31:$B$34,1)</f>
        <v>4</v>
      </c>
      <c r="AK143" s="5">
        <f>INDEX(Inputs!$C$21:$C$25,MATCH(F143,Inputs!$A$21:$A$25,0))</f>
        <v>0.95</v>
      </c>
      <c r="AL143" s="5">
        <f>INDEX(Inputs!$D$21:$D$25,MATCH(F143,Inputs!$A$21:$A$25,0))</f>
        <v>0</v>
      </c>
      <c r="AM143" s="4">
        <f t="shared" si="128"/>
        <v>33250</v>
      </c>
      <c r="AN143" s="4">
        <f t="shared" si="129"/>
        <v>0</v>
      </c>
      <c r="AO143" s="3">
        <f t="shared" si="130"/>
        <v>1</v>
      </c>
      <c r="AP143" s="4">
        <f t="shared" si="131"/>
        <v>12817.043692272417</v>
      </c>
      <c r="AQ143" s="4">
        <f t="shared" si="132"/>
        <v>0</v>
      </c>
      <c r="AR143" s="4">
        <f t="shared" si="133"/>
        <v>0</v>
      </c>
      <c r="AS143" s="3">
        <f t="shared" si="134"/>
        <v>1</v>
      </c>
      <c r="AT143" s="4">
        <f t="shared" si="135"/>
        <v>0</v>
      </c>
      <c r="AU143" s="4">
        <f t="shared" si="136"/>
        <v>0</v>
      </c>
      <c r="AV143" s="4">
        <f t="shared" si="137"/>
        <v>0</v>
      </c>
      <c r="AW143" s="4">
        <f t="shared" si="138"/>
        <v>0</v>
      </c>
      <c r="AX143" s="5">
        <f t="shared" si="139"/>
        <v>0</v>
      </c>
      <c r="AY143" s="4">
        <f t="shared" si="140"/>
        <v>42723.478974241392</v>
      </c>
      <c r="AZ143" s="3">
        <f t="shared" si="141"/>
        <v>0</v>
      </c>
      <c r="BA143" s="4">
        <f t="shared" si="142"/>
        <v>37351.606724999998</v>
      </c>
      <c r="BB143" s="4">
        <f t="shared" si="143"/>
        <v>12008.541562087499</v>
      </c>
      <c r="BC143" s="4">
        <f t="shared" si="144"/>
        <v>44795.567704492096</v>
      </c>
      <c r="BD143" s="4">
        <f t="shared" si="145"/>
        <v>14401.775016994208</v>
      </c>
      <c r="BE143" s="4">
        <f t="shared" si="146"/>
        <v>44795.567704492096</v>
      </c>
      <c r="BF143" s="4">
        <f t="shared" si="147"/>
        <v>14401.775016994208</v>
      </c>
      <c r="BG143" s="4">
        <f t="shared" si="148"/>
        <v>7099.6289742413946</v>
      </c>
      <c r="BH143" s="4">
        <f t="shared" si="149"/>
        <v>344.3320052507076</v>
      </c>
      <c r="BI143" s="4">
        <f t="shared" si="150"/>
        <v>2393.2334549067091</v>
      </c>
      <c r="BJ143" s="4">
        <f t="shared" si="151"/>
        <v>0</v>
      </c>
      <c r="BK143" s="4">
        <f t="shared" si="152"/>
        <v>0</v>
      </c>
      <c r="BL143" s="4">
        <f t="shared" si="153"/>
        <v>0</v>
      </c>
      <c r="BM143" s="4">
        <f t="shared" si="154"/>
        <v>42723.478974241392</v>
      </c>
      <c r="BN143" s="4">
        <f t="shared" si="155"/>
        <v>1708.9391589696556</v>
      </c>
      <c r="BO143" s="4">
        <f t="shared" si="156"/>
        <v>1708.9391589696556</v>
      </c>
      <c r="BP143" s="4">
        <f t="shared" si="157"/>
        <v>82.883549210028292</v>
      </c>
      <c r="BQ143" s="4">
        <f t="shared" si="158"/>
        <v>46587.390412671783</v>
      </c>
      <c r="BR143" s="4">
        <f t="shared" si="159"/>
        <v>14977.846017673979</v>
      </c>
      <c r="BS143" s="4">
        <f t="shared" si="160"/>
        <v>576.0710006797708</v>
      </c>
      <c r="BT143" s="4">
        <f t="shared" si="161"/>
        <v>44795.567704492096</v>
      </c>
      <c r="BU143" s="4">
        <f t="shared" si="162"/>
        <v>44795.567704492096</v>
      </c>
      <c r="BV143" s="7">
        <f t="shared" si="163"/>
        <v>179182.27081796838</v>
      </c>
      <c r="BW143" s="7">
        <f t="shared" si="164"/>
        <v>367317.52299782023</v>
      </c>
    </row>
    <row r="144" spans="1:75" x14ac:dyDescent="0.3">
      <c r="A144" s="3">
        <f t="shared" si="110"/>
        <v>140</v>
      </c>
      <c r="B144" t="str">
        <f>INDEX(Employees!$A:$A,A144+1)</f>
        <v>E140</v>
      </c>
      <c r="C144" t="str">
        <f>INDEX(Employees!$A:$Z,MATCH(B144,Employees!$A:$A,0),MATCH("category",Employees!$1:$1,0))</f>
        <v>Manufacturing</v>
      </c>
      <c r="D144" t="str">
        <f>INDEX(Employees!$A:$Z,MATCH(B144,Employees!$A:$A,0),MATCH("gender",Employees!$1:$1,0))</f>
        <v>M</v>
      </c>
      <c r="E144" s="3">
        <f>INDEX(Employees!$A:$Z,MATCH(B144,Employees!$A:$A,0),MATCH("grade",Employees!$1:$1,0))</f>
        <v>5</v>
      </c>
      <c r="F144" s="3">
        <f>INDEX(Employees!$A:$Z,MATCH(B144,Employees!$A:$A,0),MATCH("rating",Employees!$1:$1,0))</f>
        <v>2</v>
      </c>
      <c r="G144" s="22">
        <f>INDEX(Employees!$A:$Z,MATCH(B144,Employees!$A:$A,0),MATCH("hire_date",Employees!$1:$1,0))</f>
        <v>44944</v>
      </c>
      <c r="H144" s="22">
        <f>INDEX(Employees!$A:$Z,MATCH(B144,Employees!$A:$A,0),MATCH("last_change_date",Employees!$1:$1,0))</f>
        <v>46113</v>
      </c>
      <c r="I144" s="4">
        <f>INDEX(Employees!$A:$Z,MATCH(B144,Employees!$A:$A,0),MATCH("base_salary",Employees!$1:$1,0))</f>
        <v>37472.58</v>
      </c>
      <c r="J144" s="5">
        <f>INDEX(Employees!$A:$Z,MATCH(B144,Employees!$A:$A,0),MATCH("bonus_pct",Employees!$1:$1,0))/100</f>
        <v>6.9400000000000003E-2</v>
      </c>
      <c r="K144" s="7">
        <f>INDEX(Employees!$A:$Z,MATCH(B144,Employees!$A:$A,0),MATCH("fte",Employees!$1:$1,0))</f>
        <v>1</v>
      </c>
      <c r="L144" s="3">
        <f>IF(ISNA(MATCH(C144&amp;"|"&amp;E144,Bands!$F:$F,0)),0,1)</f>
        <v>1</v>
      </c>
      <c r="M144" s="4">
        <f>INDEX(Bands!$C:$C,MATCH(C144&amp;"|"&amp;E144,Bands!$F:$F,0))</f>
        <v>35600</v>
      </c>
      <c r="N144" s="4">
        <f>INDEX(Bands!$D:$D,MATCH(C144&amp;"|"&amp;E144,Bands!$F:$F,0))</f>
        <v>40900</v>
      </c>
      <c r="O144" s="4">
        <f>INDEX(Bands!$E:$E,MATCH(C144&amp;"|"&amp;E144,Bands!$F:$F,0))</f>
        <v>46300</v>
      </c>
      <c r="P144" s="7">
        <f t="shared" si="111"/>
        <v>4.1998631074606436</v>
      </c>
      <c r="Q144" s="4">
        <f t="shared" si="112"/>
        <v>40073.177051999999</v>
      </c>
      <c r="R144" s="7">
        <f t="shared" si="113"/>
        <v>25</v>
      </c>
      <c r="S144" s="7">
        <f t="shared" si="114"/>
        <v>17.638850121408975</v>
      </c>
      <c r="T144" s="7">
        <f t="shared" si="115"/>
        <v>20.999315537303218</v>
      </c>
      <c r="U144" s="7">
        <f t="shared" si="116"/>
        <v>200365.88526000001</v>
      </c>
      <c r="V144" s="7">
        <f t="shared" si="117"/>
        <v>168301.85789943326</v>
      </c>
      <c r="W144" s="4">
        <f t="shared" si="118"/>
        <v>40073.18</v>
      </c>
      <c r="X144" s="3">
        <f t="shared" si="119"/>
        <v>8</v>
      </c>
      <c r="Y144" s="4">
        <f>INDEX(Categories!$AH:$AH,MATCH(C144,Categories!$A:$A,0))</f>
        <v>48803.730524999999</v>
      </c>
      <c r="Z144" s="3">
        <f>IF(AND(D144="F",Q144&lt;Y144,INDEX(Categories!$AI:$AI,MATCH(C144,Categories!$A:$A,0))&gt;0),1,0)</f>
        <v>0</v>
      </c>
      <c r="AA144" s="4">
        <f t="shared" si="120"/>
        <v>0</v>
      </c>
      <c r="AB144" s="4">
        <f>IF(Z144=1,INDEX(Categories!$AI:$AI,MATCH(C144,Categories!$A:$A,0))*AA144/INDEX(Categories!$AJ:$AJ,MATCH(C144,Categories!$A:$A,0)),0)</f>
        <v>0</v>
      </c>
      <c r="AC144" s="4">
        <f t="shared" si="121"/>
        <v>0</v>
      </c>
      <c r="AD144" s="4">
        <f t="shared" si="122"/>
        <v>37472.58</v>
      </c>
      <c r="AE144" s="3">
        <f t="shared" si="123"/>
        <v>0</v>
      </c>
      <c r="AF144" s="3">
        <f t="shared" si="124"/>
        <v>50</v>
      </c>
      <c r="AG144" s="3">
        <f t="shared" si="125"/>
        <v>12</v>
      </c>
      <c r="AH144" s="3">
        <f t="shared" si="126"/>
        <v>1</v>
      </c>
      <c r="AI144" s="5">
        <f t="shared" si="127"/>
        <v>0.91620000000000001</v>
      </c>
      <c r="AJ144" s="3">
        <f>MATCH(AI144,Inputs!$B$31:$B$34,1)</f>
        <v>2</v>
      </c>
      <c r="AK144" s="5">
        <f>INDEX(Inputs!$C$21:$C$25,MATCH(F144,Inputs!$A$21:$A$25,0))</f>
        <v>0.95</v>
      </c>
      <c r="AL144" s="5">
        <f>INDEX(Inputs!$D$21:$D$25,MATCH(F144,Inputs!$A$21:$A$25,0))</f>
        <v>0</v>
      </c>
      <c r="AM144" s="4">
        <f t="shared" si="128"/>
        <v>38855</v>
      </c>
      <c r="AN144" s="4">
        <f t="shared" si="129"/>
        <v>1382.4199999999983</v>
      </c>
      <c r="AO144" s="3">
        <f t="shared" si="130"/>
        <v>1</v>
      </c>
      <c r="AP144" s="4">
        <f t="shared" si="131"/>
        <v>11241.773999999999</v>
      </c>
      <c r="AQ144" s="4">
        <f t="shared" si="132"/>
        <v>0</v>
      </c>
      <c r="AR144" s="4">
        <f t="shared" si="133"/>
        <v>1382.4199999999983</v>
      </c>
      <c r="AS144" s="3">
        <f t="shared" si="134"/>
        <v>0</v>
      </c>
      <c r="AT144" s="4">
        <f t="shared" si="135"/>
        <v>1382.4199999999983</v>
      </c>
      <c r="AU144" s="4">
        <f t="shared" si="136"/>
        <v>8827.4199999999983</v>
      </c>
      <c r="AV144" s="4">
        <f t="shared" si="137"/>
        <v>1382.4199999999983</v>
      </c>
      <c r="AW144" s="4">
        <f t="shared" si="138"/>
        <v>1382.4199999999983</v>
      </c>
      <c r="AX144" s="5">
        <f t="shared" si="139"/>
        <v>3.6891508404278496E-2</v>
      </c>
      <c r="AY144" s="4">
        <f t="shared" si="140"/>
        <v>38855</v>
      </c>
      <c r="AZ144" s="3">
        <f t="shared" si="141"/>
        <v>0</v>
      </c>
      <c r="BA144" s="4">
        <f t="shared" si="142"/>
        <v>40073.177051999999</v>
      </c>
      <c r="BB144" s="4">
        <f t="shared" si="143"/>
        <v>12883.526422217999</v>
      </c>
      <c r="BC144" s="4">
        <f t="shared" si="144"/>
        <v>40073.177051999999</v>
      </c>
      <c r="BD144" s="4">
        <f t="shared" si="145"/>
        <v>12883.526422217999</v>
      </c>
      <c r="BE144" s="4">
        <f t="shared" si="146"/>
        <v>41551.536999999997</v>
      </c>
      <c r="BF144" s="4">
        <f t="shared" si="147"/>
        <v>13358.8191455</v>
      </c>
      <c r="BG144" s="4">
        <f t="shared" si="148"/>
        <v>0</v>
      </c>
      <c r="BH144" s="4">
        <f t="shared" si="149"/>
        <v>0</v>
      </c>
      <c r="BI144" s="4">
        <f t="shared" si="150"/>
        <v>0</v>
      </c>
      <c r="BJ144" s="4">
        <f t="shared" si="151"/>
        <v>1382.4199999999983</v>
      </c>
      <c r="BK144" s="4">
        <f t="shared" si="152"/>
        <v>95.939947999999887</v>
      </c>
      <c r="BL144" s="4">
        <f t="shared" si="153"/>
        <v>475.29272328200022</v>
      </c>
      <c r="BM144" s="4">
        <f t="shared" si="154"/>
        <v>37472.58</v>
      </c>
      <c r="BN144" s="4">
        <f t="shared" si="155"/>
        <v>1498.9032000000002</v>
      </c>
      <c r="BO144" s="4">
        <f t="shared" si="156"/>
        <v>1498.9032000000002</v>
      </c>
      <c r="BP144" s="4">
        <f t="shared" si="157"/>
        <v>104.02388208000002</v>
      </c>
      <c r="BQ144" s="4">
        <f t="shared" si="158"/>
        <v>41676.10413408</v>
      </c>
      <c r="BR144" s="4">
        <f t="shared" si="159"/>
        <v>13398.867479106721</v>
      </c>
      <c r="BS144" s="4">
        <f t="shared" si="160"/>
        <v>515.34105688872114</v>
      </c>
      <c r="BT144" s="4">
        <f t="shared" si="161"/>
        <v>40073.177051999999</v>
      </c>
      <c r="BU144" s="4">
        <f t="shared" si="162"/>
        <v>41551.536999999997</v>
      </c>
      <c r="BV144" s="7">
        <f t="shared" si="163"/>
        <v>207757.685</v>
      </c>
      <c r="BW144" s="7">
        <f t="shared" si="164"/>
        <v>174510.7673045859</v>
      </c>
    </row>
    <row r="145" spans="1:75" x14ac:dyDescent="0.3">
      <c r="A145" s="3">
        <f t="shared" si="110"/>
        <v>141</v>
      </c>
      <c r="B145" t="str">
        <f>INDEX(Employees!$A:$A,A145+1)</f>
        <v>E141</v>
      </c>
      <c r="C145" t="str">
        <f>INDEX(Employees!$A:$Z,MATCH(B145,Employees!$A:$A,0),MATCH("category",Employees!$1:$1,0))</f>
        <v>Manufacturing</v>
      </c>
      <c r="D145" t="str">
        <f>INDEX(Employees!$A:$Z,MATCH(B145,Employees!$A:$A,0),MATCH("gender",Employees!$1:$1,0))</f>
        <v>M</v>
      </c>
      <c r="E145" s="3">
        <f>INDEX(Employees!$A:$Z,MATCH(B145,Employees!$A:$A,0),MATCH("grade",Employees!$1:$1,0))</f>
        <v>7</v>
      </c>
      <c r="F145" s="3">
        <f>INDEX(Employees!$A:$Z,MATCH(B145,Employees!$A:$A,0),MATCH("rating",Employees!$1:$1,0))</f>
        <v>3</v>
      </c>
      <c r="G145" s="22">
        <f>INDEX(Employees!$A:$Z,MATCH(B145,Employees!$A:$A,0),MATCH("hire_date",Employees!$1:$1,0))</f>
        <v>41730</v>
      </c>
      <c r="H145" s="22">
        <f>INDEX(Employees!$A:$Z,MATCH(B145,Employees!$A:$A,0),MATCH("last_change_date",Employees!$1:$1,0))</f>
        <v>46113</v>
      </c>
      <c r="I145" s="4">
        <f>INDEX(Employees!$A:$Z,MATCH(B145,Employees!$A:$A,0),MATCH("base_salary",Employees!$1:$1,0))</f>
        <v>57822.2</v>
      </c>
      <c r="J145" s="5">
        <f>INDEX(Employees!$A:$Z,MATCH(B145,Employees!$A:$A,0),MATCH("bonus_pct",Employees!$1:$1,0))/100</f>
        <v>7.22E-2</v>
      </c>
      <c r="K145" s="7">
        <f>INDEX(Employees!$A:$Z,MATCH(B145,Employees!$A:$A,0),MATCH("fte",Employees!$1:$1,0))</f>
        <v>1</v>
      </c>
      <c r="L145" s="3">
        <f>IF(ISNA(MATCH(C145&amp;"|"&amp;E145,Bands!$F:$F,0)),0,1)</f>
        <v>1</v>
      </c>
      <c r="M145" s="4">
        <f>INDEX(Bands!$C:$C,MATCH(C145&amp;"|"&amp;E145,Bands!$F:$F,0))</f>
        <v>46200</v>
      </c>
      <c r="N145" s="4">
        <f>INDEX(Bands!$D:$D,MATCH(C145&amp;"|"&amp;E145,Bands!$F:$F,0))</f>
        <v>55400</v>
      </c>
      <c r="O145" s="4">
        <f>INDEX(Bands!$E:$E,MATCH(C145&amp;"|"&amp;E145,Bands!$F:$F,0))</f>
        <v>64700</v>
      </c>
      <c r="P145" s="7">
        <f t="shared" si="111"/>
        <v>12.999315537303216</v>
      </c>
      <c r="Q145" s="4">
        <f t="shared" si="112"/>
        <v>61996.96284</v>
      </c>
      <c r="R145" s="7">
        <f t="shared" si="113"/>
        <v>49</v>
      </c>
      <c r="S145" s="7">
        <f t="shared" si="114"/>
        <v>168.9822044383728</v>
      </c>
      <c r="T145" s="7">
        <f t="shared" si="115"/>
        <v>90.995208761122512</v>
      </c>
      <c r="U145" s="7">
        <f t="shared" si="116"/>
        <v>433978.73988000001</v>
      </c>
      <c r="V145" s="7">
        <f t="shared" si="117"/>
        <v>805918.0823116221</v>
      </c>
      <c r="W145" s="4">
        <f t="shared" si="118"/>
        <v>61996.959999999999</v>
      </c>
      <c r="X145" s="3">
        <f t="shared" si="119"/>
        <v>35</v>
      </c>
      <c r="Y145" s="4">
        <f>INDEX(Categories!$AH:$AH,MATCH(C145,Categories!$A:$A,0))</f>
        <v>48803.730524999999</v>
      </c>
      <c r="Z145" s="3">
        <f>IF(AND(D145="F",Q145&lt;Y145,INDEX(Categories!$AI:$AI,MATCH(C145,Categories!$A:$A,0))&gt;0),1,0)</f>
        <v>0</v>
      </c>
      <c r="AA145" s="4">
        <f t="shared" si="120"/>
        <v>0</v>
      </c>
      <c r="AB145" s="4">
        <f>IF(Z145=1,INDEX(Categories!$AI:$AI,MATCH(C145,Categories!$A:$A,0))*AA145/INDEX(Categories!$AJ:$AJ,MATCH(C145,Categories!$A:$A,0)),0)</f>
        <v>0</v>
      </c>
      <c r="AC145" s="4">
        <f t="shared" si="121"/>
        <v>0</v>
      </c>
      <c r="AD145" s="4">
        <f t="shared" si="122"/>
        <v>57822.2</v>
      </c>
      <c r="AE145" s="3">
        <f t="shared" si="123"/>
        <v>0</v>
      </c>
      <c r="AF145" s="3">
        <f t="shared" si="124"/>
        <v>156</v>
      </c>
      <c r="AG145" s="3">
        <f t="shared" si="125"/>
        <v>12</v>
      </c>
      <c r="AH145" s="3">
        <f t="shared" si="126"/>
        <v>1</v>
      </c>
      <c r="AI145" s="5">
        <f t="shared" si="127"/>
        <v>1.0437220216606498</v>
      </c>
      <c r="AJ145" s="3">
        <f>MATCH(AI145,Inputs!$B$31:$B$34,1)</f>
        <v>3</v>
      </c>
      <c r="AK145" s="5">
        <f>INDEX(Inputs!$C$21:$C$25,MATCH(F145,Inputs!$A$21:$A$25,0))</f>
        <v>1</v>
      </c>
      <c r="AL145" s="5">
        <f>INDEX(Inputs!$D$21:$D$25,MATCH(F145,Inputs!$A$21:$A$25,0))</f>
        <v>0</v>
      </c>
      <c r="AM145" s="4">
        <f t="shared" si="128"/>
        <v>55400</v>
      </c>
      <c r="AN145" s="4">
        <f t="shared" si="129"/>
        <v>0</v>
      </c>
      <c r="AO145" s="3">
        <f t="shared" si="130"/>
        <v>1</v>
      </c>
      <c r="AP145" s="4">
        <f t="shared" si="131"/>
        <v>17346.66</v>
      </c>
      <c r="AQ145" s="4">
        <f t="shared" si="132"/>
        <v>0</v>
      </c>
      <c r="AR145" s="4">
        <f t="shared" si="133"/>
        <v>0</v>
      </c>
      <c r="AS145" s="3">
        <f t="shared" si="134"/>
        <v>0</v>
      </c>
      <c r="AT145" s="4">
        <f t="shared" si="135"/>
        <v>0</v>
      </c>
      <c r="AU145" s="4">
        <f t="shared" si="136"/>
        <v>6877.8000000000029</v>
      </c>
      <c r="AV145" s="4">
        <f t="shared" si="137"/>
        <v>0</v>
      </c>
      <c r="AW145" s="4">
        <f t="shared" si="138"/>
        <v>0</v>
      </c>
      <c r="AX145" s="5">
        <f t="shared" si="139"/>
        <v>0</v>
      </c>
      <c r="AY145" s="4">
        <f t="shared" si="140"/>
        <v>57822.2</v>
      </c>
      <c r="AZ145" s="3">
        <f t="shared" si="141"/>
        <v>0</v>
      </c>
      <c r="BA145" s="4">
        <f t="shared" si="142"/>
        <v>61996.96284</v>
      </c>
      <c r="BB145" s="4">
        <f t="shared" si="143"/>
        <v>19687.942203264</v>
      </c>
      <c r="BC145" s="4">
        <f t="shared" si="144"/>
        <v>61996.96284</v>
      </c>
      <c r="BD145" s="4">
        <f t="shared" si="145"/>
        <v>19687.942203264</v>
      </c>
      <c r="BE145" s="4">
        <f t="shared" si="146"/>
        <v>61996.96284</v>
      </c>
      <c r="BF145" s="4">
        <f t="shared" si="147"/>
        <v>19687.942203264</v>
      </c>
      <c r="BG145" s="4">
        <f t="shared" si="148"/>
        <v>0</v>
      </c>
      <c r="BH145" s="4">
        <f t="shared" si="149"/>
        <v>0</v>
      </c>
      <c r="BI145" s="4">
        <f t="shared" si="150"/>
        <v>0</v>
      </c>
      <c r="BJ145" s="4">
        <f t="shared" si="151"/>
        <v>0</v>
      </c>
      <c r="BK145" s="4">
        <f t="shared" si="152"/>
        <v>0</v>
      </c>
      <c r="BL145" s="4">
        <f t="shared" si="153"/>
        <v>0</v>
      </c>
      <c r="BM145" s="4">
        <f t="shared" si="154"/>
        <v>57822.2</v>
      </c>
      <c r="BN145" s="4">
        <f t="shared" si="155"/>
        <v>2312.8879999999999</v>
      </c>
      <c r="BO145" s="4">
        <f t="shared" si="156"/>
        <v>2312.8879999999999</v>
      </c>
      <c r="BP145" s="4">
        <f t="shared" si="157"/>
        <v>166.99051359999999</v>
      </c>
      <c r="BQ145" s="4">
        <f t="shared" si="158"/>
        <v>64476.841353600001</v>
      </c>
      <c r="BR145" s="4">
        <f t="shared" si="159"/>
        <v>19711.749036994559</v>
      </c>
      <c r="BS145" s="4">
        <f t="shared" si="160"/>
        <v>23.806833730559447</v>
      </c>
      <c r="BT145" s="4">
        <f t="shared" si="161"/>
        <v>61996.96284</v>
      </c>
      <c r="BU145" s="4">
        <f t="shared" si="162"/>
        <v>61996.96284</v>
      </c>
      <c r="BV145" s="7">
        <f t="shared" si="163"/>
        <v>433978.73988000001</v>
      </c>
      <c r="BW145" s="7">
        <f t="shared" si="164"/>
        <v>805918.0823116221</v>
      </c>
    </row>
    <row r="146" spans="1:75" x14ac:dyDescent="0.3">
      <c r="A146" s="3">
        <f t="shared" si="110"/>
        <v>142</v>
      </c>
      <c r="B146" t="str">
        <f>INDEX(Employees!$A:$A,A146+1)</f>
        <v>E142</v>
      </c>
      <c r="C146" t="str">
        <f>INDEX(Employees!$A:$Z,MATCH(B146,Employees!$A:$A,0),MATCH("category",Employees!$1:$1,0))</f>
        <v>Manufacturing</v>
      </c>
      <c r="D146" t="str">
        <f>INDEX(Employees!$A:$Z,MATCH(B146,Employees!$A:$A,0),MATCH("gender",Employees!$1:$1,0))</f>
        <v>F</v>
      </c>
      <c r="E146" s="3">
        <f>INDEX(Employees!$A:$Z,MATCH(B146,Employees!$A:$A,0),MATCH("grade",Employees!$1:$1,0))</f>
        <v>4</v>
      </c>
      <c r="F146" s="3">
        <f>INDEX(Employees!$A:$Z,MATCH(B146,Employees!$A:$A,0),MATCH("rating",Employees!$1:$1,0))</f>
        <v>5</v>
      </c>
      <c r="G146" s="22">
        <f>INDEX(Employees!$A:$Z,MATCH(B146,Employees!$A:$A,0),MATCH("hire_date",Employees!$1:$1,0))</f>
        <v>43519</v>
      </c>
      <c r="H146" s="22">
        <f>INDEX(Employees!$A:$Z,MATCH(B146,Employees!$A:$A,0),MATCH("last_change_date",Employees!$1:$1,0))</f>
        <v>46113</v>
      </c>
      <c r="I146" s="4">
        <f>INDEX(Employees!$A:$Z,MATCH(B146,Employees!$A:$A,0),MATCH("base_salary",Employees!$1:$1,0))</f>
        <v>32629.81</v>
      </c>
      <c r="J146" s="5">
        <f>INDEX(Employees!$A:$Z,MATCH(B146,Employees!$A:$A,0),MATCH("bonus_pct",Employees!$1:$1,0))/100</f>
        <v>6.7599999999999993E-2</v>
      </c>
      <c r="K146" s="7">
        <f>INDEX(Employees!$A:$Z,MATCH(B146,Employees!$A:$A,0),MATCH("fte",Employees!$1:$1,0))</f>
        <v>1</v>
      </c>
      <c r="L146" s="3">
        <f>IF(ISNA(MATCH(C146&amp;"|"&amp;E146,Bands!$F:$F,0)),0,1)</f>
        <v>1</v>
      </c>
      <c r="M146" s="4">
        <f>INDEX(Bands!$C:$C,MATCH(C146&amp;"|"&amp;E146,Bands!$F:$F,0))</f>
        <v>30400</v>
      </c>
      <c r="N146" s="4">
        <f>INDEX(Bands!$D:$D,MATCH(C146&amp;"|"&amp;E146,Bands!$F:$F,0))</f>
        <v>35000</v>
      </c>
      <c r="O146" s="4">
        <f>INDEX(Bands!$E:$E,MATCH(C146&amp;"|"&amp;E146,Bands!$F:$F,0))</f>
        <v>39500</v>
      </c>
      <c r="P146" s="7">
        <f t="shared" si="111"/>
        <v>8.1013004791238874</v>
      </c>
      <c r="Q146" s="4">
        <f t="shared" si="112"/>
        <v>34835.585156000008</v>
      </c>
      <c r="R146" s="7">
        <f t="shared" si="113"/>
        <v>16</v>
      </c>
      <c r="S146" s="7">
        <f t="shared" si="114"/>
        <v>65.63106945305293</v>
      </c>
      <c r="T146" s="7">
        <f t="shared" si="115"/>
        <v>32.40520191649555</v>
      </c>
      <c r="U146" s="7">
        <f t="shared" si="116"/>
        <v>139342.34062400003</v>
      </c>
      <c r="V146" s="7">
        <f t="shared" si="117"/>
        <v>282213.54271486384</v>
      </c>
      <c r="W146" s="4">
        <f t="shared" si="118"/>
        <v>34835.589999999997</v>
      </c>
      <c r="X146" s="3">
        <f t="shared" si="119"/>
        <v>1</v>
      </c>
      <c r="Y146" s="4">
        <f>INDEX(Categories!$AH:$AH,MATCH(C146,Categories!$A:$A,0))</f>
        <v>48803.730524999999</v>
      </c>
      <c r="Z146" s="3">
        <f>IF(AND(D146="F",Q146&lt;Y146,INDEX(Categories!$AI:$AI,MATCH(C146,Categories!$A:$A,0))&gt;0),1,0)</f>
        <v>1</v>
      </c>
      <c r="AA146" s="4">
        <f t="shared" si="120"/>
        <v>13968.145368999991</v>
      </c>
      <c r="AB146" s="4">
        <f>IF(Z146=1,INDEX(Categories!$AI:$AI,MATCH(C146,Categories!$A:$A,0))*AA146/INDEX(Categories!$AJ:$AJ,MATCH(C146,Categories!$A:$A,0)),0)</f>
        <v>9079.3926872069987</v>
      </c>
      <c r="AC146" s="4">
        <f t="shared" si="121"/>
        <v>8504.4892161923926</v>
      </c>
      <c r="AD146" s="4">
        <f t="shared" si="122"/>
        <v>41134.29921619239</v>
      </c>
      <c r="AE146" s="3">
        <f t="shared" si="123"/>
        <v>1</v>
      </c>
      <c r="AF146" s="3">
        <f t="shared" si="124"/>
        <v>97</v>
      </c>
      <c r="AG146" s="3">
        <f t="shared" si="125"/>
        <v>12</v>
      </c>
      <c r="AH146" s="3">
        <f t="shared" si="126"/>
        <v>1</v>
      </c>
      <c r="AI146" s="5">
        <f t="shared" si="127"/>
        <v>1.1752656918912112</v>
      </c>
      <c r="AJ146" s="3">
        <f>MATCH(AI146,Inputs!$B$31:$B$34,1)</f>
        <v>4</v>
      </c>
      <c r="AK146" s="5">
        <f>INDEX(Inputs!$C$21:$C$25,MATCH(F146,Inputs!$A$21:$A$25,0))</f>
        <v>1.1000000000000001</v>
      </c>
      <c r="AL146" s="5">
        <f>INDEX(Inputs!$D$21:$D$25,MATCH(F146,Inputs!$A$21:$A$25,0))</f>
        <v>0.02</v>
      </c>
      <c r="AM146" s="4">
        <f t="shared" si="128"/>
        <v>38500</v>
      </c>
      <c r="AN146" s="4">
        <f t="shared" si="129"/>
        <v>0</v>
      </c>
      <c r="AO146" s="3">
        <f t="shared" si="130"/>
        <v>1</v>
      </c>
      <c r="AP146" s="4">
        <f t="shared" si="131"/>
        <v>12340.289764857716</v>
      </c>
      <c r="AQ146" s="4">
        <f t="shared" si="132"/>
        <v>822.68598432384783</v>
      </c>
      <c r="AR146" s="4">
        <f t="shared" si="133"/>
        <v>822.68598432384783</v>
      </c>
      <c r="AS146" s="3">
        <f t="shared" si="134"/>
        <v>1</v>
      </c>
      <c r="AT146" s="4">
        <f t="shared" si="135"/>
        <v>0</v>
      </c>
      <c r="AU146" s="4">
        <f t="shared" si="136"/>
        <v>0</v>
      </c>
      <c r="AV146" s="4">
        <f t="shared" si="137"/>
        <v>0</v>
      </c>
      <c r="AW146" s="4">
        <f t="shared" si="138"/>
        <v>0</v>
      </c>
      <c r="AX146" s="5">
        <f t="shared" si="139"/>
        <v>0</v>
      </c>
      <c r="AY146" s="4">
        <f t="shared" si="140"/>
        <v>41134.29921619239</v>
      </c>
      <c r="AZ146" s="3">
        <f t="shared" si="141"/>
        <v>0</v>
      </c>
      <c r="BA146" s="4">
        <f t="shared" si="142"/>
        <v>34835.585156000008</v>
      </c>
      <c r="BB146" s="4">
        <f t="shared" si="143"/>
        <v>11199.640627654004</v>
      </c>
      <c r="BC146" s="4">
        <f t="shared" si="144"/>
        <v>43914.977843207002</v>
      </c>
      <c r="BD146" s="4">
        <f t="shared" si="145"/>
        <v>14118.665376591051</v>
      </c>
      <c r="BE146" s="4">
        <f t="shared" si="146"/>
        <v>43914.977843207002</v>
      </c>
      <c r="BF146" s="4">
        <f t="shared" si="147"/>
        <v>14118.665376591051</v>
      </c>
      <c r="BG146" s="4">
        <f t="shared" si="148"/>
        <v>8504.4892161923926</v>
      </c>
      <c r="BH146" s="4">
        <f t="shared" si="149"/>
        <v>574.90347101460566</v>
      </c>
      <c r="BI146" s="4">
        <f t="shared" si="150"/>
        <v>2919.0247489370468</v>
      </c>
      <c r="BJ146" s="4">
        <f t="shared" si="151"/>
        <v>0</v>
      </c>
      <c r="BK146" s="4">
        <f t="shared" si="152"/>
        <v>0</v>
      </c>
      <c r="BL146" s="4">
        <f t="shared" si="153"/>
        <v>0</v>
      </c>
      <c r="BM146" s="4">
        <f t="shared" si="154"/>
        <v>41134.29921619239</v>
      </c>
      <c r="BN146" s="4">
        <f t="shared" si="155"/>
        <v>1645.3719686476957</v>
      </c>
      <c r="BO146" s="4">
        <f t="shared" si="156"/>
        <v>1645.3719686476957</v>
      </c>
      <c r="BP146" s="4">
        <f t="shared" si="157"/>
        <v>111.22714508058422</v>
      </c>
      <c r="BQ146" s="4">
        <f t="shared" si="158"/>
        <v>45671.576956935285</v>
      </c>
      <c r="BR146" s="4">
        <f t="shared" si="159"/>
        <v>14683.411991654695</v>
      </c>
      <c r="BS146" s="4">
        <f t="shared" si="160"/>
        <v>564.74661506364464</v>
      </c>
      <c r="BT146" s="4">
        <f t="shared" si="161"/>
        <v>43914.977843207002</v>
      </c>
      <c r="BU146" s="4">
        <f t="shared" si="162"/>
        <v>43914.977843207002</v>
      </c>
      <c r="BV146" s="7">
        <f t="shared" si="163"/>
        <v>175659.91137282801</v>
      </c>
      <c r="BW146" s="7">
        <f t="shared" si="164"/>
        <v>355768.43104188779</v>
      </c>
    </row>
    <row r="147" spans="1:75" x14ac:dyDescent="0.3">
      <c r="A147" s="3">
        <f t="shared" si="110"/>
        <v>143</v>
      </c>
      <c r="B147" t="str">
        <f>INDEX(Employees!$A:$A,A147+1)</f>
        <v>E143</v>
      </c>
      <c r="C147" t="str">
        <f>INDEX(Employees!$A:$Z,MATCH(B147,Employees!$A:$A,0),MATCH("category",Employees!$1:$1,0))</f>
        <v>Manufacturing</v>
      </c>
      <c r="D147" t="str">
        <f>INDEX(Employees!$A:$Z,MATCH(B147,Employees!$A:$A,0),MATCH("gender",Employees!$1:$1,0))</f>
        <v>F</v>
      </c>
      <c r="E147" s="3">
        <f>INDEX(Employees!$A:$Z,MATCH(B147,Employees!$A:$A,0),MATCH("grade",Employees!$1:$1,0))</f>
        <v>7</v>
      </c>
      <c r="F147" s="3">
        <f>INDEX(Employees!$A:$Z,MATCH(B147,Employees!$A:$A,0),MATCH("rating",Employees!$1:$1,0))</f>
        <v>4</v>
      </c>
      <c r="G147" s="22">
        <f>INDEX(Employees!$A:$Z,MATCH(B147,Employees!$A:$A,0),MATCH("hire_date",Employees!$1:$1,0))</f>
        <v>42314</v>
      </c>
      <c r="H147" s="22">
        <f>INDEX(Employees!$A:$Z,MATCH(B147,Employees!$A:$A,0),MATCH("last_change_date",Employees!$1:$1,0))</f>
        <v>46113</v>
      </c>
      <c r="I147" s="4">
        <f>INDEX(Employees!$A:$Z,MATCH(B147,Employees!$A:$A,0),MATCH("base_salary",Employees!$1:$1,0))</f>
        <v>50948.68</v>
      </c>
      <c r="J147" s="5">
        <f>INDEX(Employees!$A:$Z,MATCH(B147,Employees!$A:$A,0),MATCH("bonus_pct",Employees!$1:$1,0))/100</f>
        <v>4.8099999999999997E-2</v>
      </c>
      <c r="K147" s="7">
        <f>INDEX(Employees!$A:$Z,MATCH(B147,Employees!$A:$A,0),MATCH("fte",Employees!$1:$1,0))</f>
        <v>1</v>
      </c>
      <c r="L147" s="3">
        <f>IF(ISNA(MATCH(C147&amp;"|"&amp;E147,Bands!$F:$F,0)),0,1)</f>
        <v>1</v>
      </c>
      <c r="M147" s="4">
        <f>INDEX(Bands!$C:$C,MATCH(C147&amp;"|"&amp;E147,Bands!$F:$F,0))</f>
        <v>46200</v>
      </c>
      <c r="N147" s="4">
        <f>INDEX(Bands!$D:$D,MATCH(C147&amp;"|"&amp;E147,Bands!$F:$F,0))</f>
        <v>55400</v>
      </c>
      <c r="O147" s="4">
        <f>INDEX(Bands!$E:$E,MATCH(C147&amp;"|"&amp;E147,Bands!$F:$F,0))</f>
        <v>64700</v>
      </c>
      <c r="P147" s="7">
        <f t="shared" si="111"/>
        <v>11.400410677618069</v>
      </c>
      <c r="Q147" s="4">
        <f t="shared" si="112"/>
        <v>53399.311507999999</v>
      </c>
      <c r="R147" s="7">
        <f t="shared" si="113"/>
        <v>49</v>
      </c>
      <c r="S147" s="7">
        <f t="shared" si="114"/>
        <v>129.96936361834807</v>
      </c>
      <c r="T147" s="7">
        <f t="shared" si="115"/>
        <v>79.802874743326484</v>
      </c>
      <c r="U147" s="7">
        <f t="shared" si="116"/>
        <v>373795.18055599998</v>
      </c>
      <c r="V147" s="7">
        <f t="shared" si="117"/>
        <v>608774.08109325659</v>
      </c>
      <c r="W147" s="4">
        <f t="shared" si="118"/>
        <v>53399.31</v>
      </c>
      <c r="X147" s="3">
        <f t="shared" si="119"/>
        <v>25</v>
      </c>
      <c r="Y147" s="4">
        <f>INDEX(Categories!$AH:$AH,MATCH(C147,Categories!$A:$A,0))</f>
        <v>48803.730524999999</v>
      </c>
      <c r="Z147" s="3">
        <f>IF(AND(D147="F",Q147&lt;Y147,INDEX(Categories!$AI:$AI,MATCH(C147,Categories!$A:$A,0))&gt;0),1,0)</f>
        <v>0</v>
      </c>
      <c r="AA147" s="4">
        <f t="shared" si="120"/>
        <v>0</v>
      </c>
      <c r="AB147" s="4">
        <f>IF(Z147=1,INDEX(Categories!$AI:$AI,MATCH(C147,Categories!$A:$A,0))*AA147/INDEX(Categories!$AJ:$AJ,MATCH(C147,Categories!$A:$A,0)),0)</f>
        <v>0</v>
      </c>
      <c r="AC147" s="4">
        <f t="shared" si="121"/>
        <v>0</v>
      </c>
      <c r="AD147" s="4">
        <f t="shared" si="122"/>
        <v>50948.68</v>
      </c>
      <c r="AE147" s="3">
        <f t="shared" si="123"/>
        <v>0</v>
      </c>
      <c r="AF147" s="3">
        <f t="shared" si="124"/>
        <v>136</v>
      </c>
      <c r="AG147" s="3">
        <f t="shared" si="125"/>
        <v>12</v>
      </c>
      <c r="AH147" s="3">
        <f t="shared" si="126"/>
        <v>1</v>
      </c>
      <c r="AI147" s="5">
        <f t="shared" si="127"/>
        <v>0.91965126353790616</v>
      </c>
      <c r="AJ147" s="3">
        <f>MATCH(AI147,Inputs!$B$31:$B$34,1)</f>
        <v>2</v>
      </c>
      <c r="AK147" s="5">
        <f>INDEX(Inputs!$C$21:$C$25,MATCH(F147,Inputs!$A$21:$A$25,0))</f>
        <v>1.05</v>
      </c>
      <c r="AL147" s="5">
        <f>INDEX(Inputs!$D$21:$D$25,MATCH(F147,Inputs!$A$21:$A$25,0))</f>
        <v>0.01</v>
      </c>
      <c r="AM147" s="4">
        <f t="shared" si="128"/>
        <v>58170</v>
      </c>
      <c r="AN147" s="4">
        <f t="shared" si="129"/>
        <v>7221.32</v>
      </c>
      <c r="AO147" s="3">
        <f t="shared" si="130"/>
        <v>1</v>
      </c>
      <c r="AP147" s="4">
        <f t="shared" si="131"/>
        <v>15284.603999999999</v>
      </c>
      <c r="AQ147" s="4">
        <f t="shared" si="132"/>
        <v>509.48680000000002</v>
      </c>
      <c r="AR147" s="4">
        <f t="shared" si="133"/>
        <v>7221.32</v>
      </c>
      <c r="AS147" s="3">
        <f t="shared" si="134"/>
        <v>0</v>
      </c>
      <c r="AT147" s="4">
        <f t="shared" si="135"/>
        <v>7221.32</v>
      </c>
      <c r="AU147" s="4">
        <f t="shared" si="136"/>
        <v>13751.32</v>
      </c>
      <c r="AV147" s="4">
        <f t="shared" si="137"/>
        <v>7221.32</v>
      </c>
      <c r="AW147" s="4">
        <f t="shared" si="138"/>
        <v>7221.32</v>
      </c>
      <c r="AX147" s="5">
        <f t="shared" si="139"/>
        <v>0.14173713627124393</v>
      </c>
      <c r="AY147" s="4">
        <f t="shared" si="140"/>
        <v>58170</v>
      </c>
      <c r="AZ147" s="3">
        <f t="shared" si="141"/>
        <v>0</v>
      </c>
      <c r="BA147" s="4">
        <f t="shared" si="142"/>
        <v>53399.311507999999</v>
      </c>
      <c r="BB147" s="4">
        <f t="shared" si="143"/>
        <v>17167.878649822</v>
      </c>
      <c r="BC147" s="4">
        <f t="shared" si="144"/>
        <v>53399.311507999999</v>
      </c>
      <c r="BD147" s="4">
        <f t="shared" si="145"/>
        <v>17167.878649822</v>
      </c>
      <c r="BE147" s="4">
        <f t="shared" si="146"/>
        <v>60967.976999999999</v>
      </c>
      <c r="BF147" s="4">
        <f t="shared" si="147"/>
        <v>19601.204605499999</v>
      </c>
      <c r="BG147" s="4">
        <f t="shared" si="148"/>
        <v>0</v>
      </c>
      <c r="BH147" s="4">
        <f t="shared" si="149"/>
        <v>0</v>
      </c>
      <c r="BI147" s="4">
        <f t="shared" si="150"/>
        <v>0</v>
      </c>
      <c r="BJ147" s="4">
        <f t="shared" si="151"/>
        <v>7221.32</v>
      </c>
      <c r="BK147" s="4">
        <f t="shared" si="152"/>
        <v>347.34549199999998</v>
      </c>
      <c r="BL147" s="4">
        <f t="shared" si="153"/>
        <v>2433.3259556779994</v>
      </c>
      <c r="BM147" s="4">
        <f t="shared" si="154"/>
        <v>50948.68</v>
      </c>
      <c r="BN147" s="4">
        <f t="shared" si="155"/>
        <v>2037.9472000000001</v>
      </c>
      <c r="BO147" s="4">
        <f t="shared" si="156"/>
        <v>2037.9472000000001</v>
      </c>
      <c r="BP147" s="4">
        <f t="shared" si="157"/>
        <v>98.025260320000001</v>
      </c>
      <c r="BQ147" s="4">
        <f t="shared" si="158"/>
        <v>55535.283968320007</v>
      </c>
      <c r="BR147" s="4">
        <f t="shared" si="159"/>
        <v>17854.593795814882</v>
      </c>
      <c r="BS147" s="4">
        <f t="shared" si="160"/>
        <v>686.71514599288275</v>
      </c>
      <c r="BT147" s="4">
        <f t="shared" si="161"/>
        <v>53399.311507999999</v>
      </c>
      <c r="BU147" s="4">
        <f t="shared" si="162"/>
        <v>60967.976999999999</v>
      </c>
      <c r="BV147" s="7">
        <f t="shared" si="163"/>
        <v>426775.83899999998</v>
      </c>
      <c r="BW147" s="7">
        <f t="shared" si="164"/>
        <v>695059.97598357289</v>
      </c>
    </row>
    <row r="148" spans="1:75" x14ac:dyDescent="0.3">
      <c r="A148" s="3">
        <f t="shared" si="110"/>
        <v>144</v>
      </c>
      <c r="B148" t="str">
        <f>INDEX(Employees!$A:$A,A148+1)</f>
        <v>E144</v>
      </c>
      <c r="C148" t="str">
        <f>INDEX(Employees!$A:$Z,MATCH(B148,Employees!$A:$A,0),MATCH("category",Employees!$1:$1,0))</f>
        <v>Manufacturing</v>
      </c>
      <c r="D148" t="str">
        <f>INDEX(Employees!$A:$Z,MATCH(B148,Employees!$A:$A,0),MATCH("gender",Employees!$1:$1,0))</f>
        <v>F</v>
      </c>
      <c r="E148" s="3">
        <f>INDEX(Employees!$A:$Z,MATCH(B148,Employees!$A:$A,0),MATCH("grade",Employees!$1:$1,0))</f>
        <v>5</v>
      </c>
      <c r="F148" s="3">
        <f>INDEX(Employees!$A:$Z,MATCH(B148,Employees!$A:$A,0),MATCH("rating",Employees!$1:$1,0))</f>
        <v>4</v>
      </c>
      <c r="G148" s="22">
        <f>INDEX(Employees!$A:$Z,MATCH(B148,Employees!$A:$A,0),MATCH("hire_date",Employees!$1:$1,0))</f>
        <v>42278</v>
      </c>
      <c r="H148" s="22">
        <f>INDEX(Employees!$A:$Z,MATCH(B148,Employees!$A:$A,0),MATCH("last_change_date",Employees!$1:$1,0))</f>
        <v>46113</v>
      </c>
      <c r="I148" s="4">
        <f>INDEX(Employees!$A:$Z,MATCH(B148,Employees!$A:$A,0),MATCH("base_salary",Employees!$1:$1,0))</f>
        <v>40767.72</v>
      </c>
      <c r="J148" s="5">
        <f>INDEX(Employees!$A:$Z,MATCH(B148,Employees!$A:$A,0),MATCH("bonus_pct",Employees!$1:$1,0))/100</f>
        <v>7.4200000000000002E-2</v>
      </c>
      <c r="K148" s="7">
        <f>INDEX(Employees!$A:$Z,MATCH(B148,Employees!$A:$A,0),MATCH("fte",Employees!$1:$1,0))</f>
        <v>1</v>
      </c>
      <c r="L148" s="3">
        <f>IF(ISNA(MATCH(C148&amp;"|"&amp;E148,Bands!$F:$F,0)),0,1)</f>
        <v>1</v>
      </c>
      <c r="M148" s="4">
        <f>INDEX(Bands!$C:$C,MATCH(C148&amp;"|"&amp;E148,Bands!$F:$F,0))</f>
        <v>35600</v>
      </c>
      <c r="N148" s="4">
        <f>INDEX(Bands!$D:$D,MATCH(C148&amp;"|"&amp;E148,Bands!$F:$F,0))</f>
        <v>40900</v>
      </c>
      <c r="O148" s="4">
        <f>INDEX(Bands!$E:$E,MATCH(C148&amp;"|"&amp;E148,Bands!$F:$F,0))</f>
        <v>46300</v>
      </c>
      <c r="P148" s="7">
        <f t="shared" si="111"/>
        <v>11.498973305954825</v>
      </c>
      <c r="Q148" s="4">
        <f t="shared" si="112"/>
        <v>43792.684824000004</v>
      </c>
      <c r="R148" s="7">
        <f t="shared" si="113"/>
        <v>25</v>
      </c>
      <c r="S148" s="7">
        <f t="shared" si="114"/>
        <v>132.22638709106164</v>
      </c>
      <c r="T148" s="7">
        <f t="shared" si="115"/>
        <v>57.494866529774129</v>
      </c>
      <c r="U148" s="7">
        <f t="shared" si="116"/>
        <v>218963.42412000001</v>
      </c>
      <c r="V148" s="7">
        <f t="shared" si="117"/>
        <v>503570.91378726903</v>
      </c>
      <c r="W148" s="4">
        <f t="shared" si="118"/>
        <v>43792.68</v>
      </c>
      <c r="X148" s="3">
        <f t="shared" si="119"/>
        <v>14</v>
      </c>
      <c r="Y148" s="4">
        <f>INDEX(Categories!$AH:$AH,MATCH(C148,Categories!$A:$A,0))</f>
        <v>48803.730524999999</v>
      </c>
      <c r="Z148" s="3">
        <f>IF(AND(D148="F",Q148&lt;Y148,INDEX(Categories!$AI:$AI,MATCH(C148,Categories!$A:$A,0))&gt;0),1,0)</f>
        <v>1</v>
      </c>
      <c r="AA148" s="4">
        <f t="shared" si="120"/>
        <v>5011.0457009999955</v>
      </c>
      <c r="AB148" s="4">
        <f>IF(Z148=1,INDEX(Categories!$AI:$AI,MATCH(C148,Categories!$A:$A,0))*AA148/INDEX(Categories!$AJ:$AJ,MATCH(C148,Categories!$A:$A,0)),0)</f>
        <v>3257.2149337658761</v>
      </c>
      <c r="AC148" s="4">
        <f t="shared" si="121"/>
        <v>3032.2239189777288</v>
      </c>
      <c r="AD148" s="4">
        <f t="shared" si="122"/>
        <v>43799.943918977733</v>
      </c>
      <c r="AE148" s="3">
        <f t="shared" si="123"/>
        <v>0</v>
      </c>
      <c r="AF148" s="3">
        <f t="shared" si="124"/>
        <v>138</v>
      </c>
      <c r="AG148" s="3">
        <f t="shared" si="125"/>
        <v>12</v>
      </c>
      <c r="AH148" s="3">
        <f t="shared" si="126"/>
        <v>1</v>
      </c>
      <c r="AI148" s="5">
        <f t="shared" si="127"/>
        <v>1.0709032743026341</v>
      </c>
      <c r="AJ148" s="3">
        <f>MATCH(AI148,Inputs!$B$31:$B$34,1)</f>
        <v>3</v>
      </c>
      <c r="AK148" s="5">
        <f>INDEX(Inputs!$C$21:$C$25,MATCH(F148,Inputs!$A$21:$A$25,0))</f>
        <v>1.05</v>
      </c>
      <c r="AL148" s="5">
        <f>INDEX(Inputs!$D$21:$D$25,MATCH(F148,Inputs!$A$21:$A$25,0))</f>
        <v>0.01</v>
      </c>
      <c r="AM148" s="4">
        <f t="shared" si="128"/>
        <v>42945</v>
      </c>
      <c r="AN148" s="4">
        <f t="shared" si="129"/>
        <v>0</v>
      </c>
      <c r="AO148" s="3">
        <f t="shared" si="130"/>
        <v>1</v>
      </c>
      <c r="AP148" s="4">
        <f t="shared" si="131"/>
        <v>13139.98317569332</v>
      </c>
      <c r="AQ148" s="4">
        <f t="shared" si="132"/>
        <v>437.99943918977732</v>
      </c>
      <c r="AR148" s="4">
        <f t="shared" si="133"/>
        <v>437.99943918977732</v>
      </c>
      <c r="AS148" s="3">
        <f t="shared" si="134"/>
        <v>0</v>
      </c>
      <c r="AT148" s="4">
        <f t="shared" si="135"/>
        <v>437.99943918977732</v>
      </c>
      <c r="AU148" s="4">
        <f t="shared" si="136"/>
        <v>2500.0560810222669</v>
      </c>
      <c r="AV148" s="4">
        <f t="shared" si="137"/>
        <v>437.99943918977732</v>
      </c>
      <c r="AW148" s="4">
        <f t="shared" si="138"/>
        <v>437.99943918977732</v>
      </c>
      <c r="AX148" s="5">
        <f t="shared" si="139"/>
        <v>0.01</v>
      </c>
      <c r="AY148" s="4">
        <f t="shared" si="140"/>
        <v>44237.943358167511</v>
      </c>
      <c r="AZ148" s="3">
        <f t="shared" si="141"/>
        <v>0</v>
      </c>
      <c r="BA148" s="4">
        <f t="shared" si="142"/>
        <v>43792.684824000004</v>
      </c>
      <c r="BB148" s="4">
        <f t="shared" si="143"/>
        <v>14079.348170916002</v>
      </c>
      <c r="BC148" s="4">
        <f t="shared" si="144"/>
        <v>47049.899757765881</v>
      </c>
      <c r="BD148" s="4">
        <f t="shared" si="145"/>
        <v>15126.542772121731</v>
      </c>
      <c r="BE148" s="4">
        <f t="shared" si="146"/>
        <v>47520.398755343544</v>
      </c>
      <c r="BF148" s="4">
        <f t="shared" si="147"/>
        <v>15277.80819984295</v>
      </c>
      <c r="BG148" s="4">
        <f t="shared" si="148"/>
        <v>3032.2239189777288</v>
      </c>
      <c r="BH148" s="4">
        <f t="shared" si="149"/>
        <v>224.99101478814748</v>
      </c>
      <c r="BI148" s="4">
        <f t="shared" si="150"/>
        <v>1047.1946012057288</v>
      </c>
      <c r="BJ148" s="4">
        <f t="shared" si="151"/>
        <v>437.99943918977732</v>
      </c>
      <c r="BK148" s="4">
        <f t="shared" si="152"/>
        <v>32.499558387881478</v>
      </c>
      <c r="BL148" s="4">
        <f t="shared" si="153"/>
        <v>151.26542772121866</v>
      </c>
      <c r="BM148" s="4">
        <f t="shared" si="154"/>
        <v>43799.943918977733</v>
      </c>
      <c r="BN148" s="4">
        <f t="shared" si="155"/>
        <v>1751.9977567591093</v>
      </c>
      <c r="BO148" s="4">
        <f t="shared" si="156"/>
        <v>1751.9977567591093</v>
      </c>
      <c r="BP148" s="4">
        <f t="shared" si="157"/>
        <v>129.99823355152591</v>
      </c>
      <c r="BQ148" s="4">
        <f t="shared" si="158"/>
        <v>48931.895748076524</v>
      </c>
      <c r="BR148" s="4">
        <f t="shared" si="159"/>
        <v>15731.604483006602</v>
      </c>
      <c r="BS148" s="4">
        <f t="shared" si="160"/>
        <v>605.06171088487099</v>
      </c>
      <c r="BT148" s="4">
        <f t="shared" si="161"/>
        <v>47049.899757765881</v>
      </c>
      <c r="BU148" s="4">
        <f t="shared" si="162"/>
        <v>47520.398755343544</v>
      </c>
      <c r="BV148" s="7">
        <f t="shared" si="163"/>
        <v>237601.99377671772</v>
      </c>
      <c r="BW148" s="7">
        <f t="shared" si="164"/>
        <v>546435.79677602428</v>
      </c>
    </row>
    <row r="149" spans="1:75" x14ac:dyDescent="0.3">
      <c r="A149" s="3">
        <f t="shared" si="110"/>
        <v>145</v>
      </c>
      <c r="B149" t="str">
        <f>INDEX(Employees!$A:$A,A149+1)</f>
        <v>E145</v>
      </c>
      <c r="C149" t="str">
        <f>INDEX(Employees!$A:$Z,MATCH(B149,Employees!$A:$A,0),MATCH("category",Employees!$1:$1,0))</f>
        <v>Manufacturing</v>
      </c>
      <c r="D149" t="str">
        <f>INDEX(Employees!$A:$Z,MATCH(B149,Employees!$A:$A,0),MATCH("gender",Employees!$1:$1,0))</f>
        <v>M</v>
      </c>
      <c r="E149" s="3">
        <f>INDEX(Employees!$A:$Z,MATCH(B149,Employees!$A:$A,0),MATCH("grade",Employees!$1:$1,0))</f>
        <v>8</v>
      </c>
      <c r="F149" s="3">
        <f>INDEX(Employees!$A:$Z,MATCH(B149,Employees!$A:$A,0),MATCH("rating",Employees!$1:$1,0))</f>
        <v>2</v>
      </c>
      <c r="G149" s="22">
        <f>INDEX(Employees!$A:$Z,MATCH(B149,Employees!$A:$A,0),MATCH("hire_date",Employees!$1:$1,0))</f>
        <v>39757</v>
      </c>
      <c r="H149" s="22">
        <f>INDEX(Employees!$A:$Z,MATCH(B149,Employees!$A:$A,0),MATCH("last_change_date",Employees!$1:$1,0))</f>
        <v>46113</v>
      </c>
      <c r="I149" s="4">
        <f>INDEX(Employees!$A:$Z,MATCH(B149,Employees!$A:$A,0),MATCH("base_salary",Employees!$1:$1,0))</f>
        <v>68336.149999999994</v>
      </c>
      <c r="J149" s="5">
        <f>INDEX(Employees!$A:$Z,MATCH(B149,Employees!$A:$A,0),MATCH("bonus_pct",Employees!$1:$1,0))/100</f>
        <v>7.1800000000000003E-2</v>
      </c>
      <c r="K149" s="7">
        <f>INDEX(Employees!$A:$Z,MATCH(B149,Employees!$A:$A,0),MATCH("fte",Employees!$1:$1,0))</f>
        <v>1</v>
      </c>
      <c r="L149" s="3">
        <f>IF(ISNA(MATCH(C149&amp;"|"&amp;E149,Bands!$F:$F,0)),0,1)</f>
        <v>1</v>
      </c>
      <c r="M149" s="4">
        <f>INDEX(Bands!$C:$C,MATCH(C149&amp;"|"&amp;E149,Bands!$F:$F,0))</f>
        <v>53700</v>
      </c>
      <c r="N149" s="4">
        <f>INDEX(Bands!$D:$D,MATCH(C149&amp;"|"&amp;E149,Bands!$F:$F,0))</f>
        <v>64400</v>
      </c>
      <c r="O149" s="4">
        <f>INDEX(Bands!$E:$E,MATCH(C149&amp;"|"&amp;E149,Bands!$F:$F,0))</f>
        <v>75200</v>
      </c>
      <c r="P149" s="7">
        <f t="shared" si="111"/>
        <v>18.401095140314855</v>
      </c>
      <c r="Q149" s="4">
        <f t="shared" si="112"/>
        <v>73242.685570000001</v>
      </c>
      <c r="R149" s="7">
        <f t="shared" si="113"/>
        <v>64</v>
      </c>
      <c r="S149" s="7">
        <f t="shared" si="114"/>
        <v>338.60030236291897</v>
      </c>
      <c r="T149" s="7">
        <f t="shared" si="115"/>
        <v>147.20876112251884</v>
      </c>
      <c r="U149" s="7">
        <f t="shared" si="116"/>
        <v>585941.48456000001</v>
      </c>
      <c r="V149" s="7">
        <f t="shared" si="117"/>
        <v>1347745.6255057359</v>
      </c>
      <c r="W149" s="4">
        <f t="shared" si="118"/>
        <v>73242.69</v>
      </c>
      <c r="X149" s="3">
        <f t="shared" si="119"/>
        <v>39</v>
      </c>
      <c r="Y149" s="4">
        <f>INDEX(Categories!$AH:$AH,MATCH(C149,Categories!$A:$A,0))</f>
        <v>48803.730524999999</v>
      </c>
      <c r="Z149" s="3">
        <f>IF(AND(D149="F",Q149&lt;Y149,INDEX(Categories!$AI:$AI,MATCH(C149,Categories!$A:$A,0))&gt;0),1,0)</f>
        <v>0</v>
      </c>
      <c r="AA149" s="4">
        <f t="shared" si="120"/>
        <v>0</v>
      </c>
      <c r="AB149" s="4">
        <f>IF(Z149=1,INDEX(Categories!$AI:$AI,MATCH(C149,Categories!$A:$A,0))*AA149/INDEX(Categories!$AJ:$AJ,MATCH(C149,Categories!$A:$A,0)),0)</f>
        <v>0</v>
      </c>
      <c r="AC149" s="4">
        <f t="shared" si="121"/>
        <v>0</v>
      </c>
      <c r="AD149" s="4">
        <f t="shared" si="122"/>
        <v>68336.149999999994</v>
      </c>
      <c r="AE149" s="3">
        <f t="shared" si="123"/>
        <v>0</v>
      </c>
      <c r="AF149" s="3">
        <f t="shared" si="124"/>
        <v>220</v>
      </c>
      <c r="AG149" s="3">
        <f t="shared" si="125"/>
        <v>12</v>
      </c>
      <c r="AH149" s="3">
        <f t="shared" si="126"/>
        <v>1</v>
      </c>
      <c r="AI149" s="5">
        <f t="shared" si="127"/>
        <v>1.0611203416149066</v>
      </c>
      <c r="AJ149" s="3">
        <f>MATCH(AI149,Inputs!$B$31:$B$34,1)</f>
        <v>3</v>
      </c>
      <c r="AK149" s="5">
        <f>INDEX(Inputs!$C$21:$C$25,MATCH(F149,Inputs!$A$21:$A$25,0))</f>
        <v>0.95</v>
      </c>
      <c r="AL149" s="5">
        <f>INDEX(Inputs!$D$21:$D$25,MATCH(F149,Inputs!$A$21:$A$25,0))</f>
        <v>0</v>
      </c>
      <c r="AM149" s="4">
        <f t="shared" si="128"/>
        <v>61180</v>
      </c>
      <c r="AN149" s="4">
        <f t="shared" si="129"/>
        <v>0</v>
      </c>
      <c r="AO149" s="3">
        <f t="shared" si="130"/>
        <v>1</v>
      </c>
      <c r="AP149" s="4">
        <f t="shared" si="131"/>
        <v>20500.844999999998</v>
      </c>
      <c r="AQ149" s="4">
        <f t="shared" si="132"/>
        <v>0</v>
      </c>
      <c r="AR149" s="4">
        <f t="shared" si="133"/>
        <v>0</v>
      </c>
      <c r="AS149" s="3">
        <f t="shared" si="134"/>
        <v>0</v>
      </c>
      <c r="AT149" s="4">
        <f t="shared" si="135"/>
        <v>0</v>
      </c>
      <c r="AU149" s="4">
        <f t="shared" si="136"/>
        <v>6863.8500000000058</v>
      </c>
      <c r="AV149" s="4">
        <f t="shared" si="137"/>
        <v>0</v>
      </c>
      <c r="AW149" s="4">
        <f t="shared" si="138"/>
        <v>0</v>
      </c>
      <c r="AX149" s="5">
        <f t="shared" si="139"/>
        <v>0</v>
      </c>
      <c r="AY149" s="4">
        <f t="shared" si="140"/>
        <v>68336.149999999994</v>
      </c>
      <c r="AZ149" s="3">
        <f t="shared" si="141"/>
        <v>0</v>
      </c>
      <c r="BA149" s="4">
        <f t="shared" si="142"/>
        <v>73242.685570000001</v>
      </c>
      <c r="BB149" s="4">
        <f t="shared" si="143"/>
        <v>19800.626617927999</v>
      </c>
      <c r="BC149" s="4">
        <f t="shared" si="144"/>
        <v>73242.685570000001</v>
      </c>
      <c r="BD149" s="4">
        <f t="shared" si="145"/>
        <v>19800.626617927999</v>
      </c>
      <c r="BE149" s="4">
        <f t="shared" si="146"/>
        <v>73242.685570000001</v>
      </c>
      <c r="BF149" s="4">
        <f t="shared" si="147"/>
        <v>19800.626617927999</v>
      </c>
      <c r="BG149" s="4">
        <f t="shared" si="148"/>
        <v>0</v>
      </c>
      <c r="BH149" s="4">
        <f t="shared" si="149"/>
        <v>0</v>
      </c>
      <c r="BI149" s="4">
        <f t="shared" si="150"/>
        <v>0</v>
      </c>
      <c r="BJ149" s="4">
        <f t="shared" si="151"/>
        <v>0</v>
      </c>
      <c r="BK149" s="4">
        <f t="shared" si="152"/>
        <v>0</v>
      </c>
      <c r="BL149" s="4">
        <f t="shared" si="153"/>
        <v>0</v>
      </c>
      <c r="BM149" s="4">
        <f t="shared" si="154"/>
        <v>68336.149999999994</v>
      </c>
      <c r="BN149" s="4">
        <f t="shared" si="155"/>
        <v>2733.4459999999999</v>
      </c>
      <c r="BO149" s="4">
        <f t="shared" si="156"/>
        <v>2733.4459999999999</v>
      </c>
      <c r="BP149" s="4">
        <f t="shared" si="157"/>
        <v>196.26142279999999</v>
      </c>
      <c r="BQ149" s="4">
        <f t="shared" si="158"/>
        <v>76172.3929928</v>
      </c>
      <c r="BR149" s="4">
        <f t="shared" si="159"/>
        <v>19831.095575125117</v>
      </c>
      <c r="BS149" s="4">
        <f t="shared" si="160"/>
        <v>30.468957197117561</v>
      </c>
      <c r="BT149" s="4">
        <f t="shared" si="161"/>
        <v>73242.685570000001</v>
      </c>
      <c r="BU149" s="4">
        <f t="shared" si="162"/>
        <v>73242.685570000001</v>
      </c>
      <c r="BV149" s="7">
        <f t="shared" si="163"/>
        <v>585941.48456000001</v>
      </c>
      <c r="BW149" s="7">
        <f t="shared" si="164"/>
        <v>1347745.6255057359</v>
      </c>
    </row>
    <row r="150" spans="1:75" x14ac:dyDescent="0.3">
      <c r="A150" s="3">
        <f t="shared" si="110"/>
        <v>146</v>
      </c>
      <c r="B150" t="str">
        <f>INDEX(Employees!$A:$A,A150+1)</f>
        <v>E146</v>
      </c>
      <c r="C150" t="str">
        <f>INDEX(Employees!$A:$Z,MATCH(B150,Employees!$A:$A,0),MATCH("category",Employees!$1:$1,0))</f>
        <v>Manufacturing</v>
      </c>
      <c r="D150" t="str">
        <f>INDEX(Employees!$A:$Z,MATCH(B150,Employees!$A:$A,0),MATCH("gender",Employees!$1:$1,0))</f>
        <v>F</v>
      </c>
      <c r="E150" s="3">
        <f>INDEX(Employees!$A:$Z,MATCH(B150,Employees!$A:$A,0),MATCH("grade",Employees!$1:$1,0))</f>
        <v>7</v>
      </c>
      <c r="F150" s="3">
        <f>INDEX(Employees!$A:$Z,MATCH(B150,Employees!$A:$A,0),MATCH("rating",Employees!$1:$1,0))</f>
        <v>3</v>
      </c>
      <c r="G150" s="22">
        <f>INDEX(Employees!$A:$Z,MATCH(B150,Employees!$A:$A,0),MATCH("hire_date",Employees!$1:$1,0))</f>
        <v>40780</v>
      </c>
      <c r="H150" s="22">
        <f>INDEX(Employees!$A:$Z,MATCH(B150,Employees!$A:$A,0),MATCH("last_change_date",Employees!$1:$1,0))</f>
        <v>46113</v>
      </c>
      <c r="I150" s="4">
        <f>INDEX(Employees!$A:$Z,MATCH(B150,Employees!$A:$A,0),MATCH("base_salary",Employees!$1:$1,0))</f>
        <v>52182.76</v>
      </c>
      <c r="J150" s="5">
        <f>INDEX(Employees!$A:$Z,MATCH(B150,Employees!$A:$A,0),MATCH("bonus_pct",Employees!$1:$1,0))/100</f>
        <v>6.1500000000000006E-2</v>
      </c>
      <c r="K150" s="7">
        <f>INDEX(Employees!$A:$Z,MATCH(B150,Employees!$A:$A,0),MATCH("fte",Employees!$1:$1,0))</f>
        <v>0.8</v>
      </c>
      <c r="L150" s="3">
        <f>IF(ISNA(MATCH(C150&amp;"|"&amp;E150,Bands!$F:$F,0)),0,1)</f>
        <v>1</v>
      </c>
      <c r="M150" s="4">
        <f>INDEX(Bands!$C:$C,MATCH(C150&amp;"|"&amp;E150,Bands!$F:$F,0))</f>
        <v>46200</v>
      </c>
      <c r="N150" s="4">
        <f>INDEX(Bands!$D:$D,MATCH(C150&amp;"|"&amp;E150,Bands!$F:$F,0))</f>
        <v>55400</v>
      </c>
      <c r="O150" s="4">
        <f>INDEX(Bands!$E:$E,MATCH(C150&amp;"|"&amp;E150,Bands!$F:$F,0))</f>
        <v>64700</v>
      </c>
      <c r="P150" s="7">
        <f t="shared" si="111"/>
        <v>15.600273785078713</v>
      </c>
      <c r="Q150" s="4">
        <f t="shared" si="112"/>
        <v>55391.999740000007</v>
      </c>
      <c r="R150" s="7">
        <f t="shared" si="113"/>
        <v>49</v>
      </c>
      <c r="S150" s="7">
        <f t="shared" si="114"/>
        <v>243.3685421694141</v>
      </c>
      <c r="T150" s="7">
        <f t="shared" si="115"/>
        <v>109.20191649555099</v>
      </c>
      <c r="U150" s="7">
        <f t="shared" si="116"/>
        <v>387743.99818000005</v>
      </c>
      <c r="V150" s="7">
        <f t="shared" si="117"/>
        <v>864130.36144700903</v>
      </c>
      <c r="W150" s="4">
        <f t="shared" si="118"/>
        <v>55392</v>
      </c>
      <c r="X150" s="3">
        <f t="shared" si="119"/>
        <v>27</v>
      </c>
      <c r="Y150" s="4">
        <f>INDEX(Categories!$AH:$AH,MATCH(C150,Categories!$A:$A,0))</f>
        <v>48803.730524999999</v>
      </c>
      <c r="Z150" s="3">
        <f>IF(AND(D150="F",Q150&lt;Y150,INDEX(Categories!$AI:$AI,MATCH(C150,Categories!$A:$A,0))&gt;0),1,0)</f>
        <v>0</v>
      </c>
      <c r="AA150" s="4">
        <f t="shared" si="120"/>
        <v>0</v>
      </c>
      <c r="AB150" s="4">
        <f>IF(Z150=1,INDEX(Categories!$AI:$AI,MATCH(C150,Categories!$A:$A,0))*AA150/INDEX(Categories!$AJ:$AJ,MATCH(C150,Categories!$A:$A,0)),0)</f>
        <v>0</v>
      </c>
      <c r="AC150" s="4">
        <f t="shared" si="121"/>
        <v>0</v>
      </c>
      <c r="AD150" s="4">
        <f t="shared" si="122"/>
        <v>52182.76</v>
      </c>
      <c r="AE150" s="3">
        <f t="shared" si="123"/>
        <v>0</v>
      </c>
      <c r="AF150" s="3">
        <f t="shared" si="124"/>
        <v>187</v>
      </c>
      <c r="AG150" s="3">
        <f t="shared" si="125"/>
        <v>12</v>
      </c>
      <c r="AH150" s="3">
        <f t="shared" si="126"/>
        <v>1</v>
      </c>
      <c r="AI150" s="5">
        <f t="shared" si="127"/>
        <v>0.94192707581227442</v>
      </c>
      <c r="AJ150" s="3">
        <f>MATCH(AI150,Inputs!$B$31:$B$34,1)</f>
        <v>2</v>
      </c>
      <c r="AK150" s="5">
        <f>INDEX(Inputs!$C$21:$C$25,MATCH(F150,Inputs!$A$21:$A$25,0))</f>
        <v>1</v>
      </c>
      <c r="AL150" s="5">
        <f>INDEX(Inputs!$D$21:$D$25,MATCH(F150,Inputs!$A$21:$A$25,0))</f>
        <v>0</v>
      </c>
      <c r="AM150" s="4">
        <f t="shared" si="128"/>
        <v>55400</v>
      </c>
      <c r="AN150" s="4">
        <f t="shared" si="129"/>
        <v>3217.239999999998</v>
      </c>
      <c r="AO150" s="3">
        <f t="shared" si="130"/>
        <v>1</v>
      </c>
      <c r="AP150" s="4">
        <f t="shared" si="131"/>
        <v>15654.828</v>
      </c>
      <c r="AQ150" s="4">
        <f t="shared" si="132"/>
        <v>0</v>
      </c>
      <c r="AR150" s="4">
        <f t="shared" si="133"/>
        <v>3217.239999999998</v>
      </c>
      <c r="AS150" s="3">
        <f t="shared" si="134"/>
        <v>0</v>
      </c>
      <c r="AT150" s="4">
        <f t="shared" si="135"/>
        <v>3217.239999999998</v>
      </c>
      <c r="AU150" s="4">
        <f t="shared" si="136"/>
        <v>12517.239999999998</v>
      </c>
      <c r="AV150" s="4">
        <f t="shared" si="137"/>
        <v>3217.239999999998</v>
      </c>
      <c r="AW150" s="4">
        <f t="shared" si="138"/>
        <v>3217.239999999998</v>
      </c>
      <c r="AX150" s="5">
        <f t="shared" si="139"/>
        <v>6.1653312320007564E-2</v>
      </c>
      <c r="AY150" s="4">
        <f t="shared" si="140"/>
        <v>55400</v>
      </c>
      <c r="AZ150" s="3">
        <f t="shared" si="141"/>
        <v>0</v>
      </c>
      <c r="BA150" s="4">
        <f t="shared" si="142"/>
        <v>44313.599792000008</v>
      </c>
      <c r="BB150" s="4">
        <f t="shared" si="143"/>
        <v>14246.822333128002</v>
      </c>
      <c r="BC150" s="4">
        <f t="shared" si="144"/>
        <v>44313.599792000008</v>
      </c>
      <c r="BD150" s="4">
        <f t="shared" si="145"/>
        <v>14246.822333128002</v>
      </c>
      <c r="BE150" s="4">
        <f t="shared" si="146"/>
        <v>47045.680000000008</v>
      </c>
      <c r="BF150" s="4">
        <f t="shared" si="147"/>
        <v>15125.186120000002</v>
      </c>
      <c r="BG150" s="4">
        <f t="shared" si="148"/>
        <v>0</v>
      </c>
      <c r="BH150" s="4">
        <f t="shared" si="149"/>
        <v>0</v>
      </c>
      <c r="BI150" s="4">
        <f t="shared" si="150"/>
        <v>0</v>
      </c>
      <c r="BJ150" s="4">
        <f t="shared" si="151"/>
        <v>2573.7919999999986</v>
      </c>
      <c r="BK150" s="4">
        <f t="shared" si="152"/>
        <v>158.28820799999994</v>
      </c>
      <c r="BL150" s="4">
        <f t="shared" si="153"/>
        <v>878.36378687199976</v>
      </c>
      <c r="BM150" s="4">
        <f t="shared" si="154"/>
        <v>41746.208000000006</v>
      </c>
      <c r="BN150" s="4">
        <f t="shared" si="155"/>
        <v>2087.3104000000003</v>
      </c>
      <c r="BO150" s="4">
        <f t="shared" si="156"/>
        <v>1669.8483200000003</v>
      </c>
      <c r="BP150" s="4">
        <f t="shared" si="157"/>
        <v>102.69567168000003</v>
      </c>
      <c r="BQ150" s="4">
        <f t="shared" si="158"/>
        <v>46086.143783680011</v>
      </c>
      <c r="BR150" s="4">
        <f t="shared" si="159"/>
        <v>14816.695226453125</v>
      </c>
      <c r="BS150" s="4">
        <f t="shared" si="160"/>
        <v>569.87289332512228</v>
      </c>
      <c r="BT150" s="4">
        <f t="shared" si="161"/>
        <v>55391.999740000007</v>
      </c>
      <c r="BU150" s="4">
        <f t="shared" si="162"/>
        <v>58807.100000000006</v>
      </c>
      <c r="BV150" s="7">
        <f t="shared" si="163"/>
        <v>411649.70000000007</v>
      </c>
      <c r="BW150" s="7">
        <f t="shared" si="164"/>
        <v>917406.86050650245</v>
      </c>
    </row>
    <row r="151" spans="1:75" x14ac:dyDescent="0.3">
      <c r="A151" s="3">
        <f t="shared" si="110"/>
        <v>147</v>
      </c>
      <c r="B151" t="str">
        <f>INDEX(Employees!$A:$A,A151+1)</f>
        <v>E147</v>
      </c>
      <c r="C151" t="str">
        <f>INDEX(Employees!$A:$Z,MATCH(B151,Employees!$A:$A,0),MATCH("category",Employees!$1:$1,0))</f>
        <v>Manufacturing</v>
      </c>
      <c r="D151" t="str">
        <f>INDEX(Employees!$A:$Z,MATCH(B151,Employees!$A:$A,0),MATCH("gender",Employees!$1:$1,0))</f>
        <v>M</v>
      </c>
      <c r="E151" s="3">
        <f>INDEX(Employees!$A:$Z,MATCH(B151,Employees!$A:$A,0),MATCH("grade",Employees!$1:$1,0))</f>
        <v>5</v>
      </c>
      <c r="F151" s="3">
        <f>INDEX(Employees!$A:$Z,MATCH(B151,Employees!$A:$A,0),MATCH("rating",Employees!$1:$1,0))</f>
        <v>2</v>
      </c>
      <c r="G151" s="22">
        <f>INDEX(Employees!$A:$Z,MATCH(B151,Employees!$A:$A,0),MATCH("hire_date",Employees!$1:$1,0))</f>
        <v>44469</v>
      </c>
      <c r="H151" s="22">
        <f>INDEX(Employees!$A:$Z,MATCH(B151,Employees!$A:$A,0),MATCH("last_change_date",Employees!$1:$1,0))</f>
        <v>46113</v>
      </c>
      <c r="I151" s="4">
        <f>INDEX(Employees!$A:$Z,MATCH(B151,Employees!$A:$A,0),MATCH("base_salary",Employees!$1:$1,0))</f>
        <v>43516.39</v>
      </c>
      <c r="J151" s="5">
        <f>INDEX(Employees!$A:$Z,MATCH(B151,Employees!$A:$A,0),MATCH("bonus_pct",Employees!$1:$1,0))/100</f>
        <v>5.6299999999999996E-2</v>
      </c>
      <c r="K151" s="7">
        <f>INDEX(Employees!$A:$Z,MATCH(B151,Employees!$A:$A,0),MATCH("fte",Employees!$1:$1,0))</f>
        <v>1</v>
      </c>
      <c r="L151" s="3">
        <f>IF(ISNA(MATCH(C151&amp;"|"&amp;E151,Bands!$F:$F,0)),0,1)</f>
        <v>1</v>
      </c>
      <c r="M151" s="4">
        <f>INDEX(Bands!$C:$C,MATCH(C151&amp;"|"&amp;E151,Bands!$F:$F,0))</f>
        <v>35600</v>
      </c>
      <c r="N151" s="4">
        <f>INDEX(Bands!$D:$D,MATCH(C151&amp;"|"&amp;E151,Bands!$F:$F,0))</f>
        <v>40900</v>
      </c>
      <c r="O151" s="4">
        <f>INDEX(Bands!$E:$E,MATCH(C151&amp;"|"&amp;E151,Bands!$F:$F,0))</f>
        <v>46300</v>
      </c>
      <c r="P151" s="7">
        <f t="shared" si="111"/>
        <v>5.5003422313483918</v>
      </c>
      <c r="Q151" s="4">
        <f t="shared" si="112"/>
        <v>45966.362757000003</v>
      </c>
      <c r="R151" s="7">
        <f t="shared" si="113"/>
        <v>25</v>
      </c>
      <c r="S151" s="7">
        <f t="shared" si="114"/>
        <v>30.253764661954605</v>
      </c>
      <c r="T151" s="7">
        <f t="shared" si="115"/>
        <v>27.501711156741958</v>
      </c>
      <c r="U151" s="7">
        <f t="shared" si="116"/>
        <v>229831.81378500001</v>
      </c>
      <c r="V151" s="7">
        <f t="shared" si="117"/>
        <v>252830.72629380701</v>
      </c>
      <c r="W151" s="4">
        <f t="shared" si="118"/>
        <v>45966.36</v>
      </c>
      <c r="X151" s="3">
        <f t="shared" si="119"/>
        <v>18</v>
      </c>
      <c r="Y151" s="4">
        <f>INDEX(Categories!$AH:$AH,MATCH(C151,Categories!$A:$A,0))</f>
        <v>48803.730524999999</v>
      </c>
      <c r="Z151" s="3">
        <f>IF(AND(D151="F",Q151&lt;Y151,INDEX(Categories!$AI:$AI,MATCH(C151,Categories!$A:$A,0))&gt;0),1,0)</f>
        <v>0</v>
      </c>
      <c r="AA151" s="4">
        <f t="shared" si="120"/>
        <v>0</v>
      </c>
      <c r="AB151" s="4">
        <f>IF(Z151=1,INDEX(Categories!$AI:$AI,MATCH(C151,Categories!$A:$A,0))*AA151/INDEX(Categories!$AJ:$AJ,MATCH(C151,Categories!$A:$A,0)),0)</f>
        <v>0</v>
      </c>
      <c r="AC151" s="4">
        <f t="shared" si="121"/>
        <v>0</v>
      </c>
      <c r="AD151" s="4">
        <f t="shared" si="122"/>
        <v>43516.39</v>
      </c>
      <c r="AE151" s="3">
        <f t="shared" si="123"/>
        <v>0</v>
      </c>
      <c r="AF151" s="3">
        <f t="shared" si="124"/>
        <v>66</v>
      </c>
      <c r="AG151" s="3">
        <f t="shared" si="125"/>
        <v>12</v>
      </c>
      <c r="AH151" s="3">
        <f t="shared" si="126"/>
        <v>1</v>
      </c>
      <c r="AI151" s="5">
        <f t="shared" si="127"/>
        <v>1.0639704156479217</v>
      </c>
      <c r="AJ151" s="3">
        <f>MATCH(AI151,Inputs!$B$31:$B$34,1)</f>
        <v>3</v>
      </c>
      <c r="AK151" s="5">
        <f>INDEX(Inputs!$C$21:$C$25,MATCH(F151,Inputs!$A$21:$A$25,0))</f>
        <v>0.95</v>
      </c>
      <c r="AL151" s="5">
        <f>INDEX(Inputs!$D$21:$D$25,MATCH(F151,Inputs!$A$21:$A$25,0))</f>
        <v>0</v>
      </c>
      <c r="AM151" s="4">
        <f t="shared" si="128"/>
        <v>38855</v>
      </c>
      <c r="AN151" s="4">
        <f t="shared" si="129"/>
        <v>0</v>
      </c>
      <c r="AO151" s="3">
        <f t="shared" si="130"/>
        <v>1</v>
      </c>
      <c r="AP151" s="4">
        <f t="shared" si="131"/>
        <v>13054.916999999999</v>
      </c>
      <c r="AQ151" s="4">
        <f t="shared" si="132"/>
        <v>0</v>
      </c>
      <c r="AR151" s="4">
        <f t="shared" si="133"/>
        <v>0</v>
      </c>
      <c r="AS151" s="3">
        <f t="shared" si="134"/>
        <v>0</v>
      </c>
      <c r="AT151" s="4">
        <f t="shared" si="135"/>
        <v>0</v>
      </c>
      <c r="AU151" s="4">
        <f t="shared" si="136"/>
        <v>2783.6100000000006</v>
      </c>
      <c r="AV151" s="4">
        <f t="shared" si="137"/>
        <v>0</v>
      </c>
      <c r="AW151" s="4">
        <f t="shared" si="138"/>
        <v>0</v>
      </c>
      <c r="AX151" s="5">
        <f t="shared" si="139"/>
        <v>0</v>
      </c>
      <c r="AY151" s="4">
        <f t="shared" si="140"/>
        <v>43516.39</v>
      </c>
      <c r="AZ151" s="3">
        <f t="shared" si="141"/>
        <v>0</v>
      </c>
      <c r="BA151" s="4">
        <f t="shared" si="142"/>
        <v>45966.362757000003</v>
      </c>
      <c r="BB151" s="4">
        <f t="shared" si="143"/>
        <v>14778.185626375502</v>
      </c>
      <c r="BC151" s="4">
        <f t="shared" si="144"/>
        <v>45966.362757000003</v>
      </c>
      <c r="BD151" s="4">
        <f t="shared" si="145"/>
        <v>14778.185626375502</v>
      </c>
      <c r="BE151" s="4">
        <f t="shared" si="146"/>
        <v>45966.362757000003</v>
      </c>
      <c r="BF151" s="4">
        <f t="shared" si="147"/>
        <v>14778.185626375502</v>
      </c>
      <c r="BG151" s="4">
        <f t="shared" si="148"/>
        <v>0</v>
      </c>
      <c r="BH151" s="4">
        <f t="shared" si="149"/>
        <v>0</v>
      </c>
      <c r="BI151" s="4">
        <f t="shared" si="150"/>
        <v>0</v>
      </c>
      <c r="BJ151" s="4">
        <f t="shared" si="151"/>
        <v>0</v>
      </c>
      <c r="BK151" s="4">
        <f t="shared" si="152"/>
        <v>0</v>
      </c>
      <c r="BL151" s="4">
        <f t="shared" si="153"/>
        <v>0</v>
      </c>
      <c r="BM151" s="4">
        <f t="shared" si="154"/>
        <v>43516.39</v>
      </c>
      <c r="BN151" s="4">
        <f t="shared" si="155"/>
        <v>1740.6556</v>
      </c>
      <c r="BO151" s="4">
        <f t="shared" si="156"/>
        <v>1740.6556</v>
      </c>
      <c r="BP151" s="4">
        <f t="shared" si="157"/>
        <v>97.99891027999999</v>
      </c>
      <c r="BQ151" s="4">
        <f t="shared" si="158"/>
        <v>47805.017267279996</v>
      </c>
      <c r="BR151" s="4">
        <f t="shared" si="159"/>
        <v>15369.313051430519</v>
      </c>
      <c r="BS151" s="4">
        <f t="shared" si="160"/>
        <v>591.12742505501774</v>
      </c>
      <c r="BT151" s="4">
        <f t="shared" si="161"/>
        <v>45966.362757000003</v>
      </c>
      <c r="BU151" s="4">
        <f t="shared" si="162"/>
        <v>45966.362757000003</v>
      </c>
      <c r="BV151" s="7">
        <f t="shared" si="163"/>
        <v>229831.81378500001</v>
      </c>
      <c r="BW151" s="7">
        <f t="shared" si="164"/>
        <v>252830.72629380701</v>
      </c>
    </row>
    <row r="152" spans="1:75" x14ac:dyDescent="0.3">
      <c r="A152" s="3">
        <f t="shared" si="110"/>
        <v>148</v>
      </c>
      <c r="B152" t="str">
        <f>INDEX(Employees!$A:$A,A152+1)</f>
        <v>E148</v>
      </c>
      <c r="C152" t="str">
        <f>INDEX(Employees!$A:$Z,MATCH(B152,Employees!$A:$A,0),MATCH("category",Employees!$1:$1,0))</f>
        <v>Manufacturing</v>
      </c>
      <c r="D152" t="str">
        <f>INDEX(Employees!$A:$Z,MATCH(B152,Employees!$A:$A,0),MATCH("gender",Employees!$1:$1,0))</f>
        <v>M</v>
      </c>
      <c r="E152" s="3">
        <f>INDEX(Employees!$A:$Z,MATCH(B152,Employees!$A:$A,0),MATCH("grade",Employees!$1:$1,0))</f>
        <v>7</v>
      </c>
      <c r="F152" s="3">
        <f>INDEX(Employees!$A:$Z,MATCH(B152,Employees!$A:$A,0),MATCH("rating",Employees!$1:$1,0))</f>
        <v>2</v>
      </c>
      <c r="G152" s="22">
        <f>INDEX(Employees!$A:$Z,MATCH(B152,Employees!$A:$A,0),MATCH("hire_date",Employees!$1:$1,0))</f>
        <v>39684</v>
      </c>
      <c r="H152" s="22">
        <f>INDEX(Employees!$A:$Z,MATCH(B152,Employees!$A:$A,0),MATCH("last_change_date",Employees!$1:$1,0))</f>
        <v>46113</v>
      </c>
      <c r="I152" s="4">
        <f>INDEX(Employees!$A:$Z,MATCH(B152,Employees!$A:$A,0),MATCH("base_salary",Employees!$1:$1,0))</f>
        <v>56331.5</v>
      </c>
      <c r="J152" s="5">
        <f>INDEX(Employees!$A:$Z,MATCH(B152,Employees!$A:$A,0),MATCH("bonus_pct",Employees!$1:$1,0))/100</f>
        <v>4.6100000000000002E-2</v>
      </c>
      <c r="K152" s="7">
        <f>INDEX(Employees!$A:$Z,MATCH(B152,Employees!$A:$A,0),MATCH("fte",Employees!$1:$1,0))</f>
        <v>1</v>
      </c>
      <c r="L152" s="3">
        <f>IF(ISNA(MATCH(C152&amp;"|"&amp;E152,Bands!$F:$F,0)),0,1)</f>
        <v>1</v>
      </c>
      <c r="M152" s="4">
        <f>INDEX(Bands!$C:$C,MATCH(C152&amp;"|"&amp;E152,Bands!$F:$F,0))</f>
        <v>46200</v>
      </c>
      <c r="N152" s="4">
        <f>INDEX(Bands!$D:$D,MATCH(C152&amp;"|"&amp;E152,Bands!$F:$F,0))</f>
        <v>55400</v>
      </c>
      <c r="O152" s="4">
        <f>INDEX(Bands!$E:$E,MATCH(C152&amp;"|"&amp;E152,Bands!$F:$F,0))</f>
        <v>64700</v>
      </c>
      <c r="P152" s="7">
        <f t="shared" si="111"/>
        <v>18.600958247775495</v>
      </c>
      <c r="Q152" s="4">
        <f t="shared" si="112"/>
        <v>58928.382150000005</v>
      </c>
      <c r="R152" s="7">
        <f t="shared" si="113"/>
        <v>49</v>
      </c>
      <c r="S152" s="7">
        <f t="shared" si="114"/>
        <v>345.99564773548718</v>
      </c>
      <c r="T152" s="7">
        <f t="shared" si="115"/>
        <v>130.20670773442845</v>
      </c>
      <c r="U152" s="7">
        <f t="shared" si="116"/>
        <v>412498.67505000002</v>
      </c>
      <c r="V152" s="7">
        <f t="shared" si="117"/>
        <v>1096124.3759811088</v>
      </c>
      <c r="W152" s="4">
        <f t="shared" si="118"/>
        <v>58928.38</v>
      </c>
      <c r="X152" s="3">
        <f t="shared" si="119"/>
        <v>31</v>
      </c>
      <c r="Y152" s="4">
        <f>INDEX(Categories!$AH:$AH,MATCH(C152,Categories!$A:$A,0))</f>
        <v>48803.730524999999</v>
      </c>
      <c r="Z152" s="3">
        <f>IF(AND(D152="F",Q152&lt;Y152,INDEX(Categories!$AI:$AI,MATCH(C152,Categories!$A:$A,0))&gt;0),1,0)</f>
        <v>0</v>
      </c>
      <c r="AA152" s="4">
        <f t="shared" si="120"/>
        <v>0</v>
      </c>
      <c r="AB152" s="4">
        <f>IF(Z152=1,INDEX(Categories!$AI:$AI,MATCH(C152,Categories!$A:$A,0))*AA152/INDEX(Categories!$AJ:$AJ,MATCH(C152,Categories!$A:$A,0)),0)</f>
        <v>0</v>
      </c>
      <c r="AC152" s="4">
        <f t="shared" si="121"/>
        <v>0</v>
      </c>
      <c r="AD152" s="4">
        <f t="shared" si="122"/>
        <v>56331.5</v>
      </c>
      <c r="AE152" s="3">
        <f t="shared" si="123"/>
        <v>0</v>
      </c>
      <c r="AF152" s="3">
        <f t="shared" si="124"/>
        <v>223</v>
      </c>
      <c r="AG152" s="3">
        <f t="shared" si="125"/>
        <v>12</v>
      </c>
      <c r="AH152" s="3">
        <f t="shared" si="126"/>
        <v>1</v>
      </c>
      <c r="AI152" s="5">
        <f t="shared" si="127"/>
        <v>1.0168140794223828</v>
      </c>
      <c r="AJ152" s="3">
        <f>MATCH(AI152,Inputs!$B$31:$B$34,1)</f>
        <v>3</v>
      </c>
      <c r="AK152" s="5">
        <f>INDEX(Inputs!$C$21:$C$25,MATCH(F152,Inputs!$A$21:$A$25,0))</f>
        <v>0.95</v>
      </c>
      <c r="AL152" s="5">
        <f>INDEX(Inputs!$D$21:$D$25,MATCH(F152,Inputs!$A$21:$A$25,0))</f>
        <v>0</v>
      </c>
      <c r="AM152" s="4">
        <f t="shared" si="128"/>
        <v>52630</v>
      </c>
      <c r="AN152" s="4">
        <f t="shared" si="129"/>
        <v>0</v>
      </c>
      <c r="AO152" s="3">
        <f t="shared" si="130"/>
        <v>1</v>
      </c>
      <c r="AP152" s="4">
        <f t="shared" si="131"/>
        <v>16899.45</v>
      </c>
      <c r="AQ152" s="4">
        <f t="shared" si="132"/>
        <v>0</v>
      </c>
      <c r="AR152" s="4">
        <f t="shared" si="133"/>
        <v>0</v>
      </c>
      <c r="AS152" s="3">
        <f t="shared" si="134"/>
        <v>0</v>
      </c>
      <c r="AT152" s="4">
        <f t="shared" si="135"/>
        <v>0</v>
      </c>
      <c r="AU152" s="4">
        <f t="shared" si="136"/>
        <v>8368.5</v>
      </c>
      <c r="AV152" s="4">
        <f t="shared" si="137"/>
        <v>0</v>
      </c>
      <c r="AW152" s="4">
        <f t="shared" si="138"/>
        <v>0</v>
      </c>
      <c r="AX152" s="5">
        <f t="shared" si="139"/>
        <v>0</v>
      </c>
      <c r="AY152" s="4">
        <f t="shared" si="140"/>
        <v>56331.5</v>
      </c>
      <c r="AZ152" s="3">
        <f t="shared" si="141"/>
        <v>0</v>
      </c>
      <c r="BA152" s="4">
        <f t="shared" si="142"/>
        <v>58928.382150000005</v>
      </c>
      <c r="BB152" s="4">
        <f t="shared" si="143"/>
        <v>18945.474861225</v>
      </c>
      <c r="BC152" s="4">
        <f t="shared" si="144"/>
        <v>58928.382150000005</v>
      </c>
      <c r="BD152" s="4">
        <f t="shared" si="145"/>
        <v>18945.474861225</v>
      </c>
      <c r="BE152" s="4">
        <f t="shared" si="146"/>
        <v>58928.382150000005</v>
      </c>
      <c r="BF152" s="4">
        <f t="shared" si="147"/>
        <v>18945.474861225</v>
      </c>
      <c r="BG152" s="4">
        <f t="shared" si="148"/>
        <v>0</v>
      </c>
      <c r="BH152" s="4">
        <f t="shared" si="149"/>
        <v>0</v>
      </c>
      <c r="BI152" s="4">
        <f t="shared" si="150"/>
        <v>0</v>
      </c>
      <c r="BJ152" s="4">
        <f t="shared" si="151"/>
        <v>0</v>
      </c>
      <c r="BK152" s="4">
        <f t="shared" si="152"/>
        <v>0</v>
      </c>
      <c r="BL152" s="4">
        <f t="shared" si="153"/>
        <v>0</v>
      </c>
      <c r="BM152" s="4">
        <f t="shared" si="154"/>
        <v>56331.5</v>
      </c>
      <c r="BN152" s="4">
        <f t="shared" si="155"/>
        <v>2253.2600000000002</v>
      </c>
      <c r="BO152" s="4">
        <f t="shared" si="156"/>
        <v>2253.2600000000002</v>
      </c>
      <c r="BP152" s="4">
        <f t="shared" si="157"/>
        <v>103.87528600000002</v>
      </c>
      <c r="BQ152" s="4">
        <f t="shared" si="158"/>
        <v>61285.517436000002</v>
      </c>
      <c r="BR152" s="4">
        <f t="shared" si="159"/>
        <v>19681.112327385599</v>
      </c>
      <c r="BS152" s="4">
        <f t="shared" si="160"/>
        <v>735.63746616059871</v>
      </c>
      <c r="BT152" s="4">
        <f t="shared" si="161"/>
        <v>58928.382150000005</v>
      </c>
      <c r="BU152" s="4">
        <f t="shared" si="162"/>
        <v>58928.382150000005</v>
      </c>
      <c r="BV152" s="7">
        <f t="shared" si="163"/>
        <v>412498.67505000002</v>
      </c>
      <c r="BW152" s="7">
        <f t="shared" si="164"/>
        <v>1096124.3759811088</v>
      </c>
    </row>
    <row r="153" spans="1:75" x14ac:dyDescent="0.3">
      <c r="A153" s="3">
        <f t="shared" si="110"/>
        <v>149</v>
      </c>
      <c r="B153" t="str">
        <f>INDEX(Employees!$A:$A,A153+1)</f>
        <v>E149</v>
      </c>
      <c r="C153" t="str">
        <f>INDEX(Employees!$A:$Z,MATCH(B153,Employees!$A:$A,0),MATCH("category",Employees!$1:$1,0))</f>
        <v>Manufacturing</v>
      </c>
      <c r="D153" t="str">
        <f>INDEX(Employees!$A:$Z,MATCH(B153,Employees!$A:$A,0),MATCH("gender",Employees!$1:$1,0))</f>
        <v>M</v>
      </c>
      <c r="E153" s="3">
        <f>INDEX(Employees!$A:$Z,MATCH(B153,Employees!$A:$A,0),MATCH("grade",Employees!$1:$1,0))</f>
        <v>5</v>
      </c>
      <c r="F153" s="3">
        <f>INDEX(Employees!$A:$Z,MATCH(B153,Employees!$A:$A,0),MATCH("rating",Employees!$1:$1,0))</f>
        <v>1</v>
      </c>
      <c r="G153" s="22">
        <f>INDEX(Employees!$A:$Z,MATCH(B153,Employees!$A:$A,0),MATCH("hire_date",Employees!$1:$1,0))</f>
        <v>41803</v>
      </c>
      <c r="H153" s="22">
        <f>INDEX(Employees!$A:$Z,MATCH(B153,Employees!$A:$A,0),MATCH("last_change_date",Employees!$1:$1,0))</f>
        <v>46113</v>
      </c>
      <c r="I153" s="4">
        <f>INDEX(Employees!$A:$Z,MATCH(B153,Employees!$A:$A,0),MATCH("base_salary",Employees!$1:$1,0))</f>
        <v>46727.34</v>
      </c>
      <c r="J153" s="5">
        <f>INDEX(Employees!$A:$Z,MATCH(B153,Employees!$A:$A,0),MATCH("bonus_pct",Employees!$1:$1,0))/100</f>
        <v>5.3899999999999997E-2</v>
      </c>
      <c r="K153" s="7">
        <f>INDEX(Employees!$A:$Z,MATCH(B153,Employees!$A:$A,0),MATCH("fte",Employees!$1:$1,0))</f>
        <v>1</v>
      </c>
      <c r="L153" s="3">
        <f>IF(ISNA(MATCH(C153&amp;"|"&amp;E153,Bands!$F:$F,0)),0,1)</f>
        <v>1</v>
      </c>
      <c r="M153" s="4">
        <f>INDEX(Bands!$C:$C,MATCH(C153&amp;"|"&amp;E153,Bands!$F:$F,0))</f>
        <v>35600</v>
      </c>
      <c r="N153" s="4">
        <f>INDEX(Bands!$D:$D,MATCH(C153&amp;"|"&amp;E153,Bands!$F:$F,0))</f>
        <v>40900</v>
      </c>
      <c r="O153" s="4">
        <f>INDEX(Bands!$E:$E,MATCH(C153&amp;"|"&amp;E153,Bands!$F:$F,0))</f>
        <v>46300</v>
      </c>
      <c r="P153" s="7">
        <f t="shared" si="111"/>
        <v>12.799452429842573</v>
      </c>
      <c r="Q153" s="4">
        <f t="shared" si="112"/>
        <v>49245.943626</v>
      </c>
      <c r="R153" s="7">
        <f t="shared" si="113"/>
        <v>25</v>
      </c>
      <c r="S153" s="7">
        <f t="shared" si="114"/>
        <v>163.82598250380295</v>
      </c>
      <c r="T153" s="7">
        <f t="shared" si="115"/>
        <v>63.997262149212865</v>
      </c>
      <c r="U153" s="7">
        <f t="shared" si="116"/>
        <v>246229.71812999999</v>
      </c>
      <c r="V153" s="7">
        <f t="shared" si="117"/>
        <v>630321.11280369607</v>
      </c>
      <c r="W153" s="4">
        <f t="shared" si="118"/>
        <v>49245.94</v>
      </c>
      <c r="X153" s="3">
        <f t="shared" si="119"/>
        <v>21</v>
      </c>
      <c r="Y153" s="4">
        <f>INDEX(Categories!$AH:$AH,MATCH(C153,Categories!$A:$A,0))</f>
        <v>48803.730524999999</v>
      </c>
      <c r="Z153" s="3">
        <f>IF(AND(D153="F",Q153&lt;Y153,INDEX(Categories!$AI:$AI,MATCH(C153,Categories!$A:$A,0))&gt;0),1,0)</f>
        <v>0</v>
      </c>
      <c r="AA153" s="4">
        <f t="shared" si="120"/>
        <v>0</v>
      </c>
      <c r="AB153" s="4">
        <f>IF(Z153=1,INDEX(Categories!$AI:$AI,MATCH(C153,Categories!$A:$A,0))*AA153/INDEX(Categories!$AJ:$AJ,MATCH(C153,Categories!$A:$A,0)),0)</f>
        <v>0</v>
      </c>
      <c r="AC153" s="4">
        <f t="shared" si="121"/>
        <v>0</v>
      </c>
      <c r="AD153" s="4">
        <f t="shared" si="122"/>
        <v>46727.34</v>
      </c>
      <c r="AE153" s="3">
        <f t="shared" si="123"/>
        <v>0</v>
      </c>
      <c r="AF153" s="3">
        <f t="shared" si="124"/>
        <v>153</v>
      </c>
      <c r="AG153" s="3">
        <f t="shared" si="125"/>
        <v>12</v>
      </c>
      <c r="AH153" s="3">
        <f t="shared" si="126"/>
        <v>1</v>
      </c>
      <c r="AI153" s="5">
        <f t="shared" si="127"/>
        <v>1.1424777506112469</v>
      </c>
      <c r="AJ153" s="3">
        <f>MATCH(AI153,Inputs!$B$31:$B$34,1)</f>
        <v>4</v>
      </c>
      <c r="AK153" s="5">
        <f>INDEX(Inputs!$C$21:$C$25,MATCH(F153,Inputs!$A$21:$A$25,0))</f>
        <v>0</v>
      </c>
      <c r="AL153" s="5">
        <f>INDEX(Inputs!$D$21:$D$25,MATCH(F153,Inputs!$A$21:$A$25,0))</f>
        <v>0</v>
      </c>
      <c r="AM153" s="4">
        <f t="shared" si="128"/>
        <v>0</v>
      </c>
      <c r="AN153" s="4">
        <f t="shared" si="129"/>
        <v>0</v>
      </c>
      <c r="AO153" s="3">
        <f t="shared" si="130"/>
        <v>1</v>
      </c>
      <c r="AP153" s="4">
        <f t="shared" si="131"/>
        <v>14018.201999999999</v>
      </c>
      <c r="AQ153" s="4">
        <f t="shared" si="132"/>
        <v>0</v>
      </c>
      <c r="AR153" s="4">
        <f t="shared" si="133"/>
        <v>0</v>
      </c>
      <c r="AS153" s="3">
        <f t="shared" si="134"/>
        <v>1</v>
      </c>
      <c r="AT153" s="4">
        <f t="shared" si="135"/>
        <v>0</v>
      </c>
      <c r="AU153" s="4">
        <f t="shared" si="136"/>
        <v>0</v>
      </c>
      <c r="AV153" s="4">
        <f t="shared" si="137"/>
        <v>0</v>
      </c>
      <c r="AW153" s="4">
        <f t="shared" si="138"/>
        <v>0</v>
      </c>
      <c r="AX153" s="5">
        <f t="shared" si="139"/>
        <v>0</v>
      </c>
      <c r="AY153" s="4">
        <f t="shared" si="140"/>
        <v>46727.34</v>
      </c>
      <c r="AZ153" s="3">
        <f t="shared" si="141"/>
        <v>0</v>
      </c>
      <c r="BA153" s="4">
        <f t="shared" si="142"/>
        <v>49245.943626</v>
      </c>
      <c r="BB153" s="4">
        <f t="shared" si="143"/>
        <v>15832.570875759</v>
      </c>
      <c r="BC153" s="4">
        <f t="shared" si="144"/>
        <v>49245.943626</v>
      </c>
      <c r="BD153" s="4">
        <f t="shared" si="145"/>
        <v>15832.570875759</v>
      </c>
      <c r="BE153" s="4">
        <f t="shared" si="146"/>
        <v>49245.943626</v>
      </c>
      <c r="BF153" s="4">
        <f t="shared" si="147"/>
        <v>15832.570875759</v>
      </c>
      <c r="BG153" s="4">
        <f t="shared" si="148"/>
        <v>0</v>
      </c>
      <c r="BH153" s="4">
        <f t="shared" si="149"/>
        <v>0</v>
      </c>
      <c r="BI153" s="4">
        <f t="shared" si="150"/>
        <v>0</v>
      </c>
      <c r="BJ153" s="4">
        <f t="shared" si="151"/>
        <v>0</v>
      </c>
      <c r="BK153" s="4">
        <f t="shared" si="152"/>
        <v>0</v>
      </c>
      <c r="BL153" s="4">
        <f t="shared" si="153"/>
        <v>0</v>
      </c>
      <c r="BM153" s="4">
        <f t="shared" si="154"/>
        <v>46727.34</v>
      </c>
      <c r="BN153" s="4">
        <f t="shared" si="155"/>
        <v>1869.0935999999999</v>
      </c>
      <c r="BO153" s="4">
        <f t="shared" si="156"/>
        <v>1869.0935999999999</v>
      </c>
      <c r="BP153" s="4">
        <f t="shared" si="157"/>
        <v>100.74414503999999</v>
      </c>
      <c r="BQ153" s="4">
        <f t="shared" si="158"/>
        <v>51215.781371040001</v>
      </c>
      <c r="BR153" s="4">
        <f t="shared" si="159"/>
        <v>16465.873710789361</v>
      </c>
      <c r="BS153" s="4">
        <f t="shared" si="160"/>
        <v>633.30283503036117</v>
      </c>
      <c r="BT153" s="4">
        <f t="shared" si="161"/>
        <v>49245.943626</v>
      </c>
      <c r="BU153" s="4">
        <f t="shared" si="162"/>
        <v>49245.943626</v>
      </c>
      <c r="BV153" s="7">
        <f t="shared" si="163"/>
        <v>246229.71812999999</v>
      </c>
      <c r="BW153" s="7">
        <f t="shared" si="164"/>
        <v>630321.11280369607</v>
      </c>
    </row>
    <row r="154" spans="1:75" x14ac:dyDescent="0.3">
      <c r="A154" s="3">
        <f t="shared" si="110"/>
        <v>150</v>
      </c>
      <c r="B154" t="str">
        <f>INDEX(Employees!$A:$A,A154+1)</f>
        <v>E150</v>
      </c>
      <c r="C154" t="str">
        <f>INDEX(Employees!$A:$Z,MATCH(B154,Employees!$A:$A,0),MATCH("category",Employees!$1:$1,0))</f>
        <v>Manufacturing</v>
      </c>
      <c r="D154" t="str">
        <f>INDEX(Employees!$A:$Z,MATCH(B154,Employees!$A:$A,0),MATCH("gender",Employees!$1:$1,0))</f>
        <v>F</v>
      </c>
      <c r="E154" s="3">
        <f>INDEX(Employees!$A:$Z,MATCH(B154,Employees!$A:$A,0),MATCH("grade",Employees!$1:$1,0))</f>
        <v>4</v>
      </c>
      <c r="F154" s="3">
        <f>INDEX(Employees!$A:$Z,MATCH(B154,Employees!$A:$A,0),MATCH("rating",Employees!$1:$1,0))</f>
        <v>3</v>
      </c>
      <c r="G154" s="22">
        <f>INDEX(Employees!$A:$Z,MATCH(B154,Employees!$A:$A,0),MATCH("hire_date",Employees!$1:$1,0))</f>
        <v>43629</v>
      </c>
      <c r="H154" s="22">
        <f>INDEX(Employees!$A:$Z,MATCH(B154,Employees!$A:$A,0),MATCH("last_change_date",Employees!$1:$1,0))</f>
        <v>46113</v>
      </c>
      <c r="I154" s="4">
        <f>INDEX(Employees!$A:$Z,MATCH(B154,Employees!$A:$A,0),MATCH("base_salary",Employees!$1:$1,0))</f>
        <v>35400.67</v>
      </c>
      <c r="J154" s="5">
        <f>INDEX(Employees!$A:$Z,MATCH(B154,Employees!$A:$A,0),MATCH("bonus_pct",Employees!$1:$1,0))/100</f>
        <v>6.2199999999999998E-2</v>
      </c>
      <c r="K154" s="7">
        <f>INDEX(Employees!$A:$Z,MATCH(B154,Employees!$A:$A,0),MATCH("fte",Employees!$1:$1,0))</f>
        <v>1</v>
      </c>
      <c r="L154" s="3">
        <f>IF(ISNA(MATCH(C154&amp;"|"&amp;E154,Bands!$F:$F,0)),0,1)</f>
        <v>1</v>
      </c>
      <c r="M154" s="4">
        <f>INDEX(Bands!$C:$C,MATCH(C154&amp;"|"&amp;E154,Bands!$F:$F,0))</f>
        <v>30400</v>
      </c>
      <c r="N154" s="4">
        <f>INDEX(Bands!$D:$D,MATCH(C154&amp;"|"&amp;E154,Bands!$F:$F,0))</f>
        <v>35000</v>
      </c>
      <c r="O154" s="4">
        <f>INDEX(Bands!$E:$E,MATCH(C154&amp;"|"&amp;E154,Bands!$F:$F,0))</f>
        <v>39500</v>
      </c>
      <c r="P154" s="7">
        <f t="shared" si="111"/>
        <v>7.8001368925393564</v>
      </c>
      <c r="Q154" s="4">
        <f t="shared" si="112"/>
        <v>37602.591673999996</v>
      </c>
      <c r="R154" s="7">
        <f t="shared" si="113"/>
        <v>16</v>
      </c>
      <c r="S154" s="7">
        <f t="shared" si="114"/>
        <v>60.842135542353525</v>
      </c>
      <c r="T154" s="7">
        <f t="shared" si="115"/>
        <v>31.200547570157426</v>
      </c>
      <c r="U154" s="7">
        <f t="shared" si="116"/>
        <v>150410.36669599998</v>
      </c>
      <c r="V154" s="7">
        <f t="shared" si="117"/>
        <v>293305.3625714606</v>
      </c>
      <c r="W154" s="4">
        <f t="shared" si="118"/>
        <v>37602.589999999997</v>
      </c>
      <c r="X154" s="3">
        <f t="shared" si="119"/>
        <v>4</v>
      </c>
      <c r="Y154" s="4">
        <f>INDEX(Categories!$AH:$AH,MATCH(C154,Categories!$A:$A,0))</f>
        <v>48803.730524999999</v>
      </c>
      <c r="Z154" s="3">
        <f>IF(AND(D154="F",Q154&lt;Y154,INDEX(Categories!$AI:$AI,MATCH(C154,Categories!$A:$A,0))&gt;0),1,0)</f>
        <v>1</v>
      </c>
      <c r="AA154" s="4">
        <f t="shared" si="120"/>
        <v>11201.138851000003</v>
      </c>
      <c r="AB154" s="4">
        <f>IF(Z154=1,INDEX(Categories!$AI:$AI,MATCH(C154,Categories!$A:$A,0))*AA154/INDEX(Categories!$AJ:$AJ,MATCH(C154,Categories!$A:$A,0)),0)</f>
        <v>7280.8189981946425</v>
      </c>
      <c r="AC154" s="4">
        <f t="shared" si="121"/>
        <v>6854.470907733612</v>
      </c>
      <c r="AD154" s="4">
        <f t="shared" si="122"/>
        <v>42255.140907733614</v>
      </c>
      <c r="AE154" s="3">
        <f t="shared" si="123"/>
        <v>1</v>
      </c>
      <c r="AF154" s="3">
        <f t="shared" si="124"/>
        <v>93</v>
      </c>
      <c r="AG154" s="3">
        <f t="shared" si="125"/>
        <v>12</v>
      </c>
      <c r="AH154" s="3">
        <f t="shared" si="126"/>
        <v>1</v>
      </c>
      <c r="AI154" s="5">
        <f t="shared" si="127"/>
        <v>1.2072897402209604</v>
      </c>
      <c r="AJ154" s="3">
        <f>MATCH(AI154,Inputs!$B$31:$B$34,1)</f>
        <v>4</v>
      </c>
      <c r="AK154" s="5">
        <f>INDEX(Inputs!$C$21:$C$25,MATCH(F154,Inputs!$A$21:$A$25,0))</f>
        <v>1</v>
      </c>
      <c r="AL154" s="5">
        <f>INDEX(Inputs!$D$21:$D$25,MATCH(F154,Inputs!$A$21:$A$25,0))</f>
        <v>0</v>
      </c>
      <c r="AM154" s="4">
        <f t="shared" si="128"/>
        <v>35000</v>
      </c>
      <c r="AN154" s="4">
        <f t="shared" si="129"/>
        <v>0</v>
      </c>
      <c r="AO154" s="3">
        <f t="shared" si="130"/>
        <v>1</v>
      </c>
      <c r="AP154" s="4">
        <f t="shared" si="131"/>
        <v>12676.542272320085</v>
      </c>
      <c r="AQ154" s="4">
        <f t="shared" si="132"/>
        <v>0</v>
      </c>
      <c r="AR154" s="4">
        <f t="shared" si="133"/>
        <v>0</v>
      </c>
      <c r="AS154" s="3">
        <f t="shared" si="134"/>
        <v>1</v>
      </c>
      <c r="AT154" s="4">
        <f t="shared" si="135"/>
        <v>0</v>
      </c>
      <c r="AU154" s="4">
        <f t="shared" si="136"/>
        <v>0</v>
      </c>
      <c r="AV154" s="4">
        <f t="shared" si="137"/>
        <v>0</v>
      </c>
      <c r="AW154" s="4">
        <f t="shared" si="138"/>
        <v>0</v>
      </c>
      <c r="AX154" s="5">
        <f t="shared" si="139"/>
        <v>0</v>
      </c>
      <c r="AY154" s="4">
        <f t="shared" si="140"/>
        <v>42255.140907733614</v>
      </c>
      <c r="AZ154" s="3">
        <f t="shared" si="141"/>
        <v>0</v>
      </c>
      <c r="BA154" s="4">
        <f t="shared" si="142"/>
        <v>37602.591673999996</v>
      </c>
      <c r="BB154" s="4">
        <f t="shared" si="143"/>
        <v>12089.233223190999</v>
      </c>
      <c r="BC154" s="4">
        <f t="shared" si="144"/>
        <v>44883.410672194645</v>
      </c>
      <c r="BD154" s="4">
        <f t="shared" si="145"/>
        <v>14430.016531110579</v>
      </c>
      <c r="BE154" s="4">
        <f t="shared" si="146"/>
        <v>44883.410672194645</v>
      </c>
      <c r="BF154" s="4">
        <f t="shared" si="147"/>
        <v>14430.016531110579</v>
      </c>
      <c r="BG154" s="4">
        <f t="shared" si="148"/>
        <v>6854.470907733612</v>
      </c>
      <c r="BH154" s="4">
        <f t="shared" si="149"/>
        <v>426.34809046103067</v>
      </c>
      <c r="BI154" s="4">
        <f t="shared" si="150"/>
        <v>2340.7833079195807</v>
      </c>
      <c r="BJ154" s="4">
        <f t="shared" si="151"/>
        <v>0</v>
      </c>
      <c r="BK154" s="4">
        <f t="shared" si="152"/>
        <v>0</v>
      </c>
      <c r="BL154" s="4">
        <f t="shared" si="153"/>
        <v>0</v>
      </c>
      <c r="BM154" s="4">
        <f t="shared" si="154"/>
        <v>42255.140907733614</v>
      </c>
      <c r="BN154" s="4">
        <f t="shared" si="155"/>
        <v>1690.2056363093445</v>
      </c>
      <c r="BO154" s="4">
        <f t="shared" si="156"/>
        <v>1690.2056363093445</v>
      </c>
      <c r="BP154" s="4">
        <f t="shared" si="157"/>
        <v>105.13079057844122</v>
      </c>
      <c r="BQ154" s="4">
        <f t="shared" si="158"/>
        <v>46678.747099082429</v>
      </c>
      <c r="BR154" s="4">
        <f t="shared" si="159"/>
        <v>15007.217192355001</v>
      </c>
      <c r="BS154" s="4">
        <f t="shared" si="160"/>
        <v>577.20066124442201</v>
      </c>
      <c r="BT154" s="4">
        <f t="shared" si="161"/>
        <v>44883.410672194645</v>
      </c>
      <c r="BU154" s="4">
        <f t="shared" si="162"/>
        <v>44883.410672194645</v>
      </c>
      <c r="BV154" s="7">
        <f t="shared" si="163"/>
        <v>179533.64268877858</v>
      </c>
      <c r="BW154" s="7">
        <f t="shared" si="164"/>
        <v>350096.7474471801</v>
      </c>
    </row>
    <row r="155" spans="1:75" x14ac:dyDescent="0.3">
      <c r="A155" s="3">
        <f t="shared" si="110"/>
        <v>151</v>
      </c>
      <c r="B155" t="str">
        <f>INDEX(Employees!$A:$A,A155+1)</f>
        <v>E151</v>
      </c>
      <c r="C155" t="str">
        <f>INDEX(Employees!$A:$Z,MATCH(B155,Employees!$A:$A,0),MATCH("category",Employees!$1:$1,0))</f>
        <v>Manufacturing</v>
      </c>
      <c r="D155" t="str">
        <f>INDEX(Employees!$A:$Z,MATCH(B155,Employees!$A:$A,0),MATCH("gender",Employees!$1:$1,0))</f>
        <v>M</v>
      </c>
      <c r="E155" s="3">
        <f>INDEX(Employees!$A:$Z,MATCH(B155,Employees!$A:$A,0),MATCH("grade",Employees!$1:$1,0))</f>
        <v>5</v>
      </c>
      <c r="F155" s="3">
        <f>INDEX(Employees!$A:$Z,MATCH(B155,Employees!$A:$A,0),MATCH("rating",Employees!$1:$1,0))</f>
        <v>3</v>
      </c>
      <c r="G155" s="22">
        <f>INDEX(Employees!$A:$Z,MATCH(B155,Employees!$A:$A,0),MATCH("hire_date",Employees!$1:$1,0))</f>
        <v>44944</v>
      </c>
      <c r="H155" s="22">
        <f>INDEX(Employees!$A:$Z,MATCH(B155,Employees!$A:$A,0),MATCH("last_change_date",Employees!$1:$1,0))</f>
        <v>46113</v>
      </c>
      <c r="I155" s="4">
        <f>INDEX(Employees!$A:$Z,MATCH(B155,Employees!$A:$A,0),MATCH("base_salary",Employees!$1:$1,0))</f>
        <v>42504.66</v>
      </c>
      <c r="J155" s="5">
        <f>INDEX(Employees!$A:$Z,MATCH(B155,Employees!$A:$A,0),MATCH("bonus_pct",Employees!$1:$1,0))/100</f>
        <v>6.8099999999999994E-2</v>
      </c>
      <c r="K155" s="7">
        <f>INDEX(Employees!$A:$Z,MATCH(B155,Employees!$A:$A,0),MATCH("fte",Employees!$1:$1,0))</f>
        <v>1</v>
      </c>
      <c r="L155" s="3">
        <f>IF(ISNA(MATCH(C155&amp;"|"&amp;E155,Bands!$F:$F,0)),0,1)</f>
        <v>1</v>
      </c>
      <c r="M155" s="4">
        <f>INDEX(Bands!$C:$C,MATCH(C155&amp;"|"&amp;E155,Bands!$F:$F,0))</f>
        <v>35600</v>
      </c>
      <c r="N155" s="4">
        <f>INDEX(Bands!$D:$D,MATCH(C155&amp;"|"&amp;E155,Bands!$F:$F,0))</f>
        <v>40900</v>
      </c>
      <c r="O155" s="4">
        <f>INDEX(Bands!$E:$E,MATCH(C155&amp;"|"&amp;E155,Bands!$F:$F,0))</f>
        <v>46300</v>
      </c>
      <c r="P155" s="7">
        <f t="shared" si="111"/>
        <v>4.1998631074606436</v>
      </c>
      <c r="Q155" s="4">
        <f t="shared" si="112"/>
        <v>45399.227346000007</v>
      </c>
      <c r="R155" s="7">
        <f t="shared" si="113"/>
        <v>25</v>
      </c>
      <c r="S155" s="7">
        <f t="shared" si="114"/>
        <v>17.638850121408975</v>
      </c>
      <c r="T155" s="7">
        <f t="shared" si="115"/>
        <v>20.999315537303218</v>
      </c>
      <c r="U155" s="7">
        <f t="shared" si="116"/>
        <v>226996.13673000003</v>
      </c>
      <c r="V155" s="7">
        <f t="shared" si="117"/>
        <v>190670.54003768382</v>
      </c>
      <c r="W155" s="4">
        <f t="shared" si="118"/>
        <v>45399.23</v>
      </c>
      <c r="X155" s="3">
        <f t="shared" si="119"/>
        <v>17</v>
      </c>
      <c r="Y155" s="4">
        <f>INDEX(Categories!$AH:$AH,MATCH(C155,Categories!$A:$A,0))</f>
        <v>48803.730524999999</v>
      </c>
      <c r="Z155" s="3">
        <f>IF(AND(D155="F",Q155&lt;Y155,INDEX(Categories!$AI:$AI,MATCH(C155,Categories!$A:$A,0))&gt;0),1,0)</f>
        <v>0</v>
      </c>
      <c r="AA155" s="4">
        <f t="shared" si="120"/>
        <v>0</v>
      </c>
      <c r="AB155" s="4">
        <f>IF(Z155=1,INDEX(Categories!$AI:$AI,MATCH(C155,Categories!$A:$A,0))*AA155/INDEX(Categories!$AJ:$AJ,MATCH(C155,Categories!$A:$A,0)),0)</f>
        <v>0</v>
      </c>
      <c r="AC155" s="4">
        <f t="shared" si="121"/>
        <v>0</v>
      </c>
      <c r="AD155" s="4">
        <f t="shared" si="122"/>
        <v>42504.66</v>
      </c>
      <c r="AE155" s="3">
        <f t="shared" si="123"/>
        <v>0</v>
      </c>
      <c r="AF155" s="3">
        <f t="shared" si="124"/>
        <v>50</v>
      </c>
      <c r="AG155" s="3">
        <f t="shared" si="125"/>
        <v>12</v>
      </c>
      <c r="AH155" s="3">
        <f t="shared" si="126"/>
        <v>1</v>
      </c>
      <c r="AI155" s="5">
        <f t="shared" si="127"/>
        <v>1.0392337408312959</v>
      </c>
      <c r="AJ155" s="3">
        <f>MATCH(AI155,Inputs!$B$31:$B$34,1)</f>
        <v>3</v>
      </c>
      <c r="AK155" s="5">
        <f>INDEX(Inputs!$C$21:$C$25,MATCH(F155,Inputs!$A$21:$A$25,0))</f>
        <v>1</v>
      </c>
      <c r="AL155" s="5">
        <f>INDEX(Inputs!$D$21:$D$25,MATCH(F155,Inputs!$A$21:$A$25,0))</f>
        <v>0</v>
      </c>
      <c r="AM155" s="4">
        <f t="shared" si="128"/>
        <v>40900</v>
      </c>
      <c r="AN155" s="4">
        <f t="shared" si="129"/>
        <v>0</v>
      </c>
      <c r="AO155" s="3">
        <f t="shared" si="130"/>
        <v>1</v>
      </c>
      <c r="AP155" s="4">
        <f t="shared" si="131"/>
        <v>12751.398000000001</v>
      </c>
      <c r="AQ155" s="4">
        <f t="shared" si="132"/>
        <v>0</v>
      </c>
      <c r="AR155" s="4">
        <f t="shared" si="133"/>
        <v>0</v>
      </c>
      <c r="AS155" s="3">
        <f t="shared" si="134"/>
        <v>0</v>
      </c>
      <c r="AT155" s="4">
        <f t="shared" si="135"/>
        <v>0</v>
      </c>
      <c r="AU155" s="4">
        <f t="shared" si="136"/>
        <v>3795.3399999999965</v>
      </c>
      <c r="AV155" s="4">
        <f t="shared" si="137"/>
        <v>0</v>
      </c>
      <c r="AW155" s="4">
        <f t="shared" si="138"/>
        <v>0</v>
      </c>
      <c r="AX155" s="5">
        <f t="shared" si="139"/>
        <v>0</v>
      </c>
      <c r="AY155" s="4">
        <f t="shared" si="140"/>
        <v>42504.66</v>
      </c>
      <c r="AZ155" s="3">
        <f t="shared" si="141"/>
        <v>0</v>
      </c>
      <c r="BA155" s="4">
        <f t="shared" si="142"/>
        <v>45399.227346000007</v>
      </c>
      <c r="BB155" s="4">
        <f t="shared" si="143"/>
        <v>14595.851591739003</v>
      </c>
      <c r="BC155" s="4">
        <f t="shared" si="144"/>
        <v>45399.227346000007</v>
      </c>
      <c r="BD155" s="4">
        <f t="shared" si="145"/>
        <v>14595.851591739003</v>
      </c>
      <c r="BE155" s="4">
        <f t="shared" si="146"/>
        <v>45399.227346000007</v>
      </c>
      <c r="BF155" s="4">
        <f t="shared" si="147"/>
        <v>14595.851591739003</v>
      </c>
      <c r="BG155" s="4">
        <f t="shared" si="148"/>
        <v>0</v>
      </c>
      <c r="BH155" s="4">
        <f t="shared" si="149"/>
        <v>0</v>
      </c>
      <c r="BI155" s="4">
        <f t="shared" si="150"/>
        <v>0</v>
      </c>
      <c r="BJ155" s="4">
        <f t="shared" si="151"/>
        <v>0</v>
      </c>
      <c r="BK155" s="4">
        <f t="shared" si="152"/>
        <v>0</v>
      </c>
      <c r="BL155" s="4">
        <f t="shared" si="153"/>
        <v>0</v>
      </c>
      <c r="BM155" s="4">
        <f t="shared" si="154"/>
        <v>42504.66</v>
      </c>
      <c r="BN155" s="4">
        <f t="shared" si="155"/>
        <v>1700.1864000000003</v>
      </c>
      <c r="BO155" s="4">
        <f t="shared" si="156"/>
        <v>1700.1864000000003</v>
      </c>
      <c r="BP155" s="4">
        <f t="shared" si="157"/>
        <v>115.78269384000001</v>
      </c>
      <c r="BQ155" s="4">
        <f t="shared" si="158"/>
        <v>47215.196439840001</v>
      </c>
      <c r="BR155" s="4">
        <f t="shared" si="159"/>
        <v>15179.685655408561</v>
      </c>
      <c r="BS155" s="4">
        <f t="shared" si="160"/>
        <v>583.83406366955751</v>
      </c>
      <c r="BT155" s="4">
        <f t="shared" si="161"/>
        <v>45399.227346000007</v>
      </c>
      <c r="BU155" s="4">
        <f t="shared" si="162"/>
        <v>45399.227346000007</v>
      </c>
      <c r="BV155" s="7">
        <f t="shared" si="163"/>
        <v>226996.13673000003</v>
      </c>
      <c r="BW155" s="7">
        <f t="shared" si="164"/>
        <v>190670.54003768382</v>
      </c>
    </row>
    <row r="156" spans="1:75" x14ac:dyDescent="0.3">
      <c r="A156" s="3">
        <f t="shared" si="110"/>
        <v>152</v>
      </c>
      <c r="B156" t="str">
        <f>INDEX(Employees!$A:$A,A156+1)</f>
        <v>E152</v>
      </c>
      <c r="C156" t="str">
        <f>INDEX(Employees!$A:$Z,MATCH(B156,Employees!$A:$A,0),MATCH("category",Employees!$1:$1,0))</f>
        <v>Manufacturing</v>
      </c>
      <c r="D156" t="str">
        <f>INDEX(Employees!$A:$Z,MATCH(B156,Employees!$A:$A,0),MATCH("gender",Employees!$1:$1,0))</f>
        <v>M</v>
      </c>
      <c r="E156" s="3">
        <f>INDEX(Employees!$A:$Z,MATCH(B156,Employees!$A:$A,0),MATCH("grade",Employees!$1:$1,0))</f>
        <v>4</v>
      </c>
      <c r="F156" s="3">
        <f>INDEX(Employees!$A:$Z,MATCH(B156,Employees!$A:$A,0),MATCH("rating",Employees!$1:$1,0))</f>
        <v>3</v>
      </c>
      <c r="G156" s="22">
        <f>INDEX(Employees!$A:$Z,MATCH(B156,Employees!$A:$A,0),MATCH("hire_date",Employees!$1:$1,0))</f>
        <v>43300</v>
      </c>
      <c r="H156" s="22">
        <f>INDEX(Employees!$A:$Z,MATCH(B156,Employees!$A:$A,0),MATCH("last_change_date",Employees!$1:$1,0))</f>
        <v>46113</v>
      </c>
      <c r="I156" s="4">
        <f>INDEX(Employees!$A:$Z,MATCH(B156,Employees!$A:$A,0),MATCH("base_salary",Employees!$1:$1,0))</f>
        <v>39279.35</v>
      </c>
      <c r="J156" s="5">
        <f>INDEX(Employees!$A:$Z,MATCH(B156,Employees!$A:$A,0),MATCH("bonus_pct",Employees!$1:$1,0))/100</f>
        <v>5.1699999999999996E-2</v>
      </c>
      <c r="K156" s="7">
        <f>INDEX(Employees!$A:$Z,MATCH(B156,Employees!$A:$A,0),MATCH("fte",Employees!$1:$1,0))</f>
        <v>1</v>
      </c>
      <c r="L156" s="3">
        <f>IF(ISNA(MATCH(C156&amp;"|"&amp;E156,Bands!$F:$F,0)),0,1)</f>
        <v>1</v>
      </c>
      <c r="M156" s="4">
        <f>INDEX(Bands!$C:$C,MATCH(C156&amp;"|"&amp;E156,Bands!$F:$F,0))</f>
        <v>30400</v>
      </c>
      <c r="N156" s="4">
        <f>INDEX(Bands!$D:$D,MATCH(C156&amp;"|"&amp;E156,Bands!$F:$F,0))</f>
        <v>35000</v>
      </c>
      <c r="O156" s="4">
        <f>INDEX(Bands!$E:$E,MATCH(C156&amp;"|"&amp;E156,Bands!$F:$F,0))</f>
        <v>39500</v>
      </c>
      <c r="P156" s="7">
        <f t="shared" si="111"/>
        <v>8.7008898015058183</v>
      </c>
      <c r="Q156" s="4">
        <f t="shared" si="112"/>
        <v>41310.092395</v>
      </c>
      <c r="R156" s="7">
        <f t="shared" si="113"/>
        <v>16</v>
      </c>
      <c r="S156" s="7">
        <f t="shared" si="114"/>
        <v>75.705483337947953</v>
      </c>
      <c r="T156" s="7">
        <f t="shared" si="115"/>
        <v>34.803559206023273</v>
      </c>
      <c r="U156" s="7">
        <f t="shared" si="116"/>
        <v>165240.36958</v>
      </c>
      <c r="V156" s="7">
        <f t="shared" si="117"/>
        <v>359434.56161891855</v>
      </c>
      <c r="W156" s="4">
        <f t="shared" si="118"/>
        <v>41310.089999999997</v>
      </c>
      <c r="X156" s="3">
        <f t="shared" si="119"/>
        <v>10</v>
      </c>
      <c r="Y156" s="4">
        <f>INDEX(Categories!$AH:$AH,MATCH(C156,Categories!$A:$A,0))</f>
        <v>48803.730524999999</v>
      </c>
      <c r="Z156" s="3">
        <f>IF(AND(D156="F",Q156&lt;Y156,INDEX(Categories!$AI:$AI,MATCH(C156,Categories!$A:$A,0))&gt;0),1,0)</f>
        <v>0</v>
      </c>
      <c r="AA156" s="4">
        <f t="shared" si="120"/>
        <v>0</v>
      </c>
      <c r="AB156" s="4">
        <f>IF(Z156=1,INDEX(Categories!$AI:$AI,MATCH(C156,Categories!$A:$A,0))*AA156/INDEX(Categories!$AJ:$AJ,MATCH(C156,Categories!$A:$A,0)),0)</f>
        <v>0</v>
      </c>
      <c r="AC156" s="4">
        <f t="shared" si="121"/>
        <v>0</v>
      </c>
      <c r="AD156" s="4">
        <f t="shared" si="122"/>
        <v>39279.35</v>
      </c>
      <c r="AE156" s="3">
        <f t="shared" si="123"/>
        <v>0</v>
      </c>
      <c r="AF156" s="3">
        <f t="shared" si="124"/>
        <v>104</v>
      </c>
      <c r="AG156" s="3">
        <f t="shared" si="125"/>
        <v>12</v>
      </c>
      <c r="AH156" s="3">
        <f t="shared" si="126"/>
        <v>1</v>
      </c>
      <c r="AI156" s="5">
        <f t="shared" si="127"/>
        <v>1.1222671428571429</v>
      </c>
      <c r="AJ156" s="3">
        <f>MATCH(AI156,Inputs!$B$31:$B$34,1)</f>
        <v>4</v>
      </c>
      <c r="AK156" s="5">
        <f>INDEX(Inputs!$C$21:$C$25,MATCH(F156,Inputs!$A$21:$A$25,0))</f>
        <v>1</v>
      </c>
      <c r="AL156" s="5">
        <f>INDEX(Inputs!$D$21:$D$25,MATCH(F156,Inputs!$A$21:$A$25,0))</f>
        <v>0</v>
      </c>
      <c r="AM156" s="4">
        <f t="shared" si="128"/>
        <v>35000</v>
      </c>
      <c r="AN156" s="4">
        <f t="shared" si="129"/>
        <v>0</v>
      </c>
      <c r="AO156" s="3">
        <f t="shared" si="130"/>
        <v>1</v>
      </c>
      <c r="AP156" s="4">
        <f t="shared" si="131"/>
        <v>11783.804999999998</v>
      </c>
      <c r="AQ156" s="4">
        <f t="shared" si="132"/>
        <v>0</v>
      </c>
      <c r="AR156" s="4">
        <f t="shared" si="133"/>
        <v>0</v>
      </c>
      <c r="AS156" s="3">
        <f t="shared" si="134"/>
        <v>0</v>
      </c>
      <c r="AT156" s="4">
        <f t="shared" si="135"/>
        <v>0</v>
      </c>
      <c r="AU156" s="4">
        <f t="shared" si="136"/>
        <v>220.65000000000146</v>
      </c>
      <c r="AV156" s="4">
        <f t="shared" si="137"/>
        <v>0</v>
      </c>
      <c r="AW156" s="4">
        <f t="shared" si="138"/>
        <v>0</v>
      </c>
      <c r="AX156" s="5">
        <f t="shared" si="139"/>
        <v>0</v>
      </c>
      <c r="AY156" s="4">
        <f t="shared" si="140"/>
        <v>39279.35</v>
      </c>
      <c r="AZ156" s="3">
        <f t="shared" si="141"/>
        <v>0</v>
      </c>
      <c r="BA156" s="4">
        <f t="shared" si="142"/>
        <v>41310.092395</v>
      </c>
      <c r="BB156" s="4">
        <f t="shared" si="143"/>
        <v>13281.1947049925</v>
      </c>
      <c r="BC156" s="4">
        <f t="shared" si="144"/>
        <v>41310.092395</v>
      </c>
      <c r="BD156" s="4">
        <f t="shared" si="145"/>
        <v>13281.1947049925</v>
      </c>
      <c r="BE156" s="4">
        <f t="shared" si="146"/>
        <v>41310.092395</v>
      </c>
      <c r="BF156" s="4">
        <f t="shared" si="147"/>
        <v>13281.1947049925</v>
      </c>
      <c r="BG156" s="4">
        <f t="shared" si="148"/>
        <v>0</v>
      </c>
      <c r="BH156" s="4">
        <f t="shared" si="149"/>
        <v>0</v>
      </c>
      <c r="BI156" s="4">
        <f t="shared" si="150"/>
        <v>0</v>
      </c>
      <c r="BJ156" s="4">
        <f t="shared" si="151"/>
        <v>0</v>
      </c>
      <c r="BK156" s="4">
        <f t="shared" si="152"/>
        <v>0</v>
      </c>
      <c r="BL156" s="4">
        <f t="shared" si="153"/>
        <v>0</v>
      </c>
      <c r="BM156" s="4">
        <f t="shared" si="154"/>
        <v>39279.35</v>
      </c>
      <c r="BN156" s="4">
        <f t="shared" si="155"/>
        <v>1571.174</v>
      </c>
      <c r="BO156" s="4">
        <f t="shared" si="156"/>
        <v>1571.174</v>
      </c>
      <c r="BP156" s="4">
        <f t="shared" si="157"/>
        <v>81.229695799999988</v>
      </c>
      <c r="BQ156" s="4">
        <f t="shared" si="158"/>
        <v>42962.496090799999</v>
      </c>
      <c r="BR156" s="4">
        <f t="shared" si="159"/>
        <v>13812.4424931922</v>
      </c>
      <c r="BS156" s="4">
        <f t="shared" si="160"/>
        <v>531.24778819970015</v>
      </c>
      <c r="BT156" s="4">
        <f t="shared" si="161"/>
        <v>41310.092395</v>
      </c>
      <c r="BU156" s="4">
        <f t="shared" si="162"/>
        <v>41310.092395</v>
      </c>
      <c r="BV156" s="7">
        <f t="shared" si="163"/>
        <v>165240.36958</v>
      </c>
      <c r="BW156" s="7">
        <f t="shared" si="164"/>
        <v>359434.56161891855</v>
      </c>
    </row>
    <row r="157" spans="1:75" x14ac:dyDescent="0.3">
      <c r="A157" s="3">
        <f t="shared" si="110"/>
        <v>153</v>
      </c>
      <c r="B157" t="str">
        <f>INDEX(Employees!$A:$A,A157+1)</f>
        <v>E153</v>
      </c>
      <c r="C157" t="str">
        <f>INDEX(Employees!$A:$Z,MATCH(B157,Employees!$A:$A,0),MATCH("category",Employees!$1:$1,0))</f>
        <v>Manufacturing</v>
      </c>
      <c r="D157" t="str">
        <f>INDEX(Employees!$A:$Z,MATCH(B157,Employees!$A:$A,0),MATCH("gender",Employees!$1:$1,0))</f>
        <v>M</v>
      </c>
      <c r="E157" s="3">
        <f>INDEX(Employees!$A:$Z,MATCH(B157,Employees!$A:$A,0),MATCH("grade",Employees!$1:$1,0))</f>
        <v>7</v>
      </c>
      <c r="F157" s="3">
        <f>INDEX(Employees!$A:$Z,MATCH(B157,Employees!$A:$A,0),MATCH("rating",Employees!$1:$1,0))</f>
        <v>3</v>
      </c>
      <c r="G157" s="22">
        <f>INDEX(Employees!$A:$Z,MATCH(B157,Employees!$A:$A,0),MATCH("hire_date",Employees!$1:$1,0))</f>
        <v>41949</v>
      </c>
      <c r="H157" s="22">
        <f>INDEX(Employees!$A:$Z,MATCH(B157,Employees!$A:$A,0),MATCH("last_change_date",Employees!$1:$1,0))</f>
        <v>46113</v>
      </c>
      <c r="I157" s="4">
        <f>INDEX(Employees!$A:$Z,MATCH(B157,Employees!$A:$A,0),MATCH("base_salary",Employees!$1:$1,0))</f>
        <v>58041.49</v>
      </c>
      <c r="J157" s="5">
        <f>INDEX(Employees!$A:$Z,MATCH(B157,Employees!$A:$A,0),MATCH("bonus_pct",Employees!$1:$1,0))/100</f>
        <v>5.96E-2</v>
      </c>
      <c r="K157" s="7">
        <f>INDEX(Employees!$A:$Z,MATCH(B157,Employees!$A:$A,0),MATCH("fte",Employees!$1:$1,0))</f>
        <v>1</v>
      </c>
      <c r="L157" s="3">
        <f>IF(ISNA(MATCH(C157&amp;"|"&amp;E157,Bands!$F:$F,0)),0,1)</f>
        <v>1</v>
      </c>
      <c r="M157" s="4">
        <f>INDEX(Bands!$C:$C,MATCH(C157&amp;"|"&amp;E157,Bands!$F:$F,0))</f>
        <v>46200</v>
      </c>
      <c r="N157" s="4">
        <f>INDEX(Bands!$D:$D,MATCH(C157&amp;"|"&amp;E157,Bands!$F:$F,0))</f>
        <v>55400</v>
      </c>
      <c r="O157" s="4">
        <f>INDEX(Bands!$E:$E,MATCH(C157&amp;"|"&amp;E157,Bands!$F:$F,0))</f>
        <v>64700</v>
      </c>
      <c r="P157" s="7">
        <f t="shared" si="111"/>
        <v>12.399726214921287</v>
      </c>
      <c r="Q157" s="4">
        <f t="shared" si="112"/>
        <v>61500.762804000005</v>
      </c>
      <c r="R157" s="7">
        <f t="shared" si="113"/>
        <v>49</v>
      </c>
      <c r="S157" s="7">
        <f t="shared" si="114"/>
        <v>153.75321020500618</v>
      </c>
      <c r="T157" s="7">
        <f t="shared" si="115"/>
        <v>86.798083504449011</v>
      </c>
      <c r="U157" s="7">
        <f t="shared" si="116"/>
        <v>430505.33962800005</v>
      </c>
      <c r="V157" s="7">
        <f t="shared" si="117"/>
        <v>762592.62077841489</v>
      </c>
      <c r="W157" s="4">
        <f t="shared" si="118"/>
        <v>61500.76</v>
      </c>
      <c r="X157" s="3">
        <f t="shared" si="119"/>
        <v>34</v>
      </c>
      <c r="Y157" s="4">
        <f>INDEX(Categories!$AH:$AH,MATCH(C157,Categories!$A:$A,0))</f>
        <v>48803.730524999999</v>
      </c>
      <c r="Z157" s="3">
        <f>IF(AND(D157="F",Q157&lt;Y157,INDEX(Categories!$AI:$AI,MATCH(C157,Categories!$A:$A,0))&gt;0),1,0)</f>
        <v>0</v>
      </c>
      <c r="AA157" s="4">
        <f t="shared" si="120"/>
        <v>0</v>
      </c>
      <c r="AB157" s="4">
        <f>IF(Z157=1,INDEX(Categories!$AI:$AI,MATCH(C157,Categories!$A:$A,0))*AA157/INDEX(Categories!$AJ:$AJ,MATCH(C157,Categories!$A:$A,0)),0)</f>
        <v>0</v>
      </c>
      <c r="AC157" s="4">
        <f t="shared" si="121"/>
        <v>0</v>
      </c>
      <c r="AD157" s="4">
        <f t="shared" si="122"/>
        <v>58041.49</v>
      </c>
      <c r="AE157" s="3">
        <f t="shared" si="123"/>
        <v>0</v>
      </c>
      <c r="AF157" s="3">
        <f t="shared" si="124"/>
        <v>148</v>
      </c>
      <c r="AG157" s="3">
        <f t="shared" si="125"/>
        <v>12</v>
      </c>
      <c r="AH157" s="3">
        <f t="shared" si="126"/>
        <v>1</v>
      </c>
      <c r="AI157" s="5">
        <f t="shared" si="127"/>
        <v>1.0476803249097473</v>
      </c>
      <c r="AJ157" s="3">
        <f>MATCH(AI157,Inputs!$B$31:$B$34,1)</f>
        <v>3</v>
      </c>
      <c r="AK157" s="5">
        <f>INDEX(Inputs!$C$21:$C$25,MATCH(F157,Inputs!$A$21:$A$25,0))</f>
        <v>1</v>
      </c>
      <c r="AL157" s="5">
        <f>INDEX(Inputs!$D$21:$D$25,MATCH(F157,Inputs!$A$21:$A$25,0))</f>
        <v>0</v>
      </c>
      <c r="AM157" s="4">
        <f t="shared" si="128"/>
        <v>55400</v>
      </c>
      <c r="AN157" s="4">
        <f t="shared" si="129"/>
        <v>0</v>
      </c>
      <c r="AO157" s="3">
        <f t="shared" si="130"/>
        <v>1</v>
      </c>
      <c r="AP157" s="4">
        <f t="shared" si="131"/>
        <v>17412.447</v>
      </c>
      <c r="AQ157" s="4">
        <f t="shared" si="132"/>
        <v>0</v>
      </c>
      <c r="AR157" s="4">
        <f t="shared" si="133"/>
        <v>0</v>
      </c>
      <c r="AS157" s="3">
        <f t="shared" si="134"/>
        <v>0</v>
      </c>
      <c r="AT157" s="4">
        <f t="shared" si="135"/>
        <v>0</v>
      </c>
      <c r="AU157" s="4">
        <f t="shared" si="136"/>
        <v>6658.510000000002</v>
      </c>
      <c r="AV157" s="4">
        <f t="shared" si="137"/>
        <v>0</v>
      </c>
      <c r="AW157" s="4">
        <f t="shared" si="138"/>
        <v>0</v>
      </c>
      <c r="AX157" s="5">
        <f t="shared" si="139"/>
        <v>0</v>
      </c>
      <c r="AY157" s="4">
        <f t="shared" si="140"/>
        <v>58041.49</v>
      </c>
      <c r="AZ157" s="3">
        <f t="shared" si="141"/>
        <v>0</v>
      </c>
      <c r="BA157" s="4">
        <f t="shared" si="142"/>
        <v>61500.762804000005</v>
      </c>
      <c r="BB157" s="4">
        <f t="shared" si="143"/>
        <v>19683.178682918398</v>
      </c>
      <c r="BC157" s="4">
        <f t="shared" si="144"/>
        <v>61500.762804000005</v>
      </c>
      <c r="BD157" s="4">
        <f t="shared" si="145"/>
        <v>19683.178682918398</v>
      </c>
      <c r="BE157" s="4">
        <f t="shared" si="146"/>
        <v>61500.762804000005</v>
      </c>
      <c r="BF157" s="4">
        <f t="shared" si="147"/>
        <v>19683.178682918398</v>
      </c>
      <c r="BG157" s="4">
        <f t="shared" si="148"/>
        <v>0</v>
      </c>
      <c r="BH157" s="4">
        <f t="shared" si="149"/>
        <v>0</v>
      </c>
      <c r="BI157" s="4">
        <f t="shared" si="150"/>
        <v>0</v>
      </c>
      <c r="BJ157" s="4">
        <f t="shared" si="151"/>
        <v>0</v>
      </c>
      <c r="BK157" s="4">
        <f t="shared" si="152"/>
        <v>0</v>
      </c>
      <c r="BL157" s="4">
        <f t="shared" si="153"/>
        <v>0</v>
      </c>
      <c r="BM157" s="4">
        <f t="shared" si="154"/>
        <v>58041.49</v>
      </c>
      <c r="BN157" s="4">
        <f t="shared" si="155"/>
        <v>2321.6596</v>
      </c>
      <c r="BO157" s="4">
        <f t="shared" si="156"/>
        <v>2321.6596</v>
      </c>
      <c r="BP157" s="4">
        <f t="shared" si="157"/>
        <v>138.37091215999999</v>
      </c>
      <c r="BQ157" s="4">
        <f t="shared" si="158"/>
        <v>63960.793316160001</v>
      </c>
      <c r="BR157" s="4">
        <f t="shared" si="159"/>
        <v>19706.794975835135</v>
      </c>
      <c r="BS157" s="4">
        <f t="shared" si="160"/>
        <v>23.616292916736711</v>
      </c>
      <c r="BT157" s="4">
        <f t="shared" si="161"/>
        <v>61500.762804000005</v>
      </c>
      <c r="BU157" s="4">
        <f t="shared" si="162"/>
        <v>61500.762804000005</v>
      </c>
      <c r="BV157" s="7">
        <f t="shared" si="163"/>
        <v>430505.33962800005</v>
      </c>
      <c r="BW157" s="7">
        <f t="shared" si="164"/>
        <v>762592.62077841489</v>
      </c>
    </row>
    <row r="158" spans="1:75" x14ac:dyDescent="0.3">
      <c r="A158" s="3">
        <f t="shared" si="110"/>
        <v>154</v>
      </c>
      <c r="B158" t="str">
        <f>INDEX(Employees!$A:$A,A158+1)</f>
        <v>E154</v>
      </c>
      <c r="C158" t="str">
        <f>INDEX(Employees!$A:$Z,MATCH(B158,Employees!$A:$A,0),MATCH("category",Employees!$1:$1,0))</f>
        <v>Manufacturing</v>
      </c>
      <c r="D158" t="str">
        <f>INDEX(Employees!$A:$Z,MATCH(B158,Employees!$A:$A,0),MATCH("gender",Employees!$1:$1,0))</f>
        <v>F</v>
      </c>
      <c r="E158" s="3">
        <f>INDEX(Employees!$A:$Z,MATCH(B158,Employees!$A:$A,0),MATCH("grade",Employees!$1:$1,0))</f>
        <v>7</v>
      </c>
      <c r="F158" s="3">
        <f>INDEX(Employees!$A:$Z,MATCH(B158,Employees!$A:$A,0),MATCH("rating",Employees!$1:$1,0))</f>
        <v>3</v>
      </c>
      <c r="G158" s="22">
        <f>INDEX(Employees!$A:$Z,MATCH(B158,Employees!$A:$A,0),MATCH("hire_date",Employees!$1:$1,0))</f>
        <v>42935</v>
      </c>
      <c r="H158" s="22">
        <f>INDEX(Employees!$A:$Z,MATCH(B158,Employees!$A:$A,0),MATCH("last_change_date",Employees!$1:$1,0))</f>
        <v>46113</v>
      </c>
      <c r="I158" s="4">
        <f>INDEX(Employees!$A:$Z,MATCH(B158,Employees!$A:$A,0),MATCH("base_salary",Employees!$1:$1,0))</f>
        <v>54250.81</v>
      </c>
      <c r="J158" s="5">
        <f>INDEX(Employees!$A:$Z,MATCH(B158,Employees!$A:$A,0),MATCH("bonus_pct",Employees!$1:$1,0))/100</f>
        <v>6.9900000000000004E-2</v>
      </c>
      <c r="K158" s="7">
        <f>INDEX(Employees!$A:$Z,MATCH(B158,Employees!$A:$A,0),MATCH("fte",Employees!$1:$1,0))</f>
        <v>1</v>
      </c>
      <c r="L158" s="3">
        <f>IF(ISNA(MATCH(C158&amp;"|"&amp;E158,Bands!$F:$F,0)),0,1)</f>
        <v>1</v>
      </c>
      <c r="M158" s="4">
        <f>INDEX(Bands!$C:$C,MATCH(C158&amp;"|"&amp;E158,Bands!$F:$F,0))</f>
        <v>46200</v>
      </c>
      <c r="N158" s="4">
        <f>INDEX(Bands!$D:$D,MATCH(C158&amp;"|"&amp;E158,Bands!$F:$F,0))</f>
        <v>55400</v>
      </c>
      <c r="O158" s="4">
        <f>INDEX(Bands!$E:$E,MATCH(C158&amp;"|"&amp;E158,Bands!$F:$F,0))</f>
        <v>64700</v>
      </c>
      <c r="P158" s="7">
        <f t="shared" si="111"/>
        <v>9.7002053388090346</v>
      </c>
      <c r="Q158" s="4">
        <f t="shared" si="112"/>
        <v>58042.941619000005</v>
      </c>
      <c r="R158" s="7">
        <f t="shared" si="113"/>
        <v>49</v>
      </c>
      <c r="S158" s="7">
        <f t="shared" si="114"/>
        <v>94.093983615059301</v>
      </c>
      <c r="T158" s="7">
        <f t="shared" si="115"/>
        <v>67.901437371663235</v>
      </c>
      <c r="U158" s="7">
        <f t="shared" si="116"/>
        <v>406300.59133300005</v>
      </c>
      <c r="V158" s="7">
        <f t="shared" si="117"/>
        <v>563028.45217280497</v>
      </c>
      <c r="W158" s="4">
        <f t="shared" si="118"/>
        <v>58042.94</v>
      </c>
      <c r="X158" s="3">
        <f t="shared" si="119"/>
        <v>30</v>
      </c>
      <c r="Y158" s="4">
        <f>INDEX(Categories!$AH:$AH,MATCH(C158,Categories!$A:$A,0))</f>
        <v>48803.730524999999</v>
      </c>
      <c r="Z158" s="3">
        <f>IF(AND(D158="F",Q158&lt;Y158,INDEX(Categories!$AI:$AI,MATCH(C158,Categories!$A:$A,0))&gt;0),1,0)</f>
        <v>0</v>
      </c>
      <c r="AA158" s="4">
        <f t="shared" si="120"/>
        <v>0</v>
      </c>
      <c r="AB158" s="4">
        <f>IF(Z158=1,INDEX(Categories!$AI:$AI,MATCH(C158,Categories!$A:$A,0))*AA158/INDEX(Categories!$AJ:$AJ,MATCH(C158,Categories!$A:$A,0)),0)</f>
        <v>0</v>
      </c>
      <c r="AC158" s="4">
        <f t="shared" si="121"/>
        <v>0</v>
      </c>
      <c r="AD158" s="4">
        <f t="shared" si="122"/>
        <v>54250.81</v>
      </c>
      <c r="AE158" s="3">
        <f t="shared" si="123"/>
        <v>0</v>
      </c>
      <c r="AF158" s="3">
        <f t="shared" si="124"/>
        <v>116</v>
      </c>
      <c r="AG158" s="3">
        <f t="shared" si="125"/>
        <v>12</v>
      </c>
      <c r="AH158" s="3">
        <f t="shared" si="126"/>
        <v>1</v>
      </c>
      <c r="AI158" s="5">
        <f t="shared" si="127"/>
        <v>0.97925649819494576</v>
      </c>
      <c r="AJ158" s="3">
        <f>MATCH(AI158,Inputs!$B$31:$B$34,1)</f>
        <v>2</v>
      </c>
      <c r="AK158" s="5">
        <f>INDEX(Inputs!$C$21:$C$25,MATCH(F158,Inputs!$A$21:$A$25,0))</f>
        <v>1</v>
      </c>
      <c r="AL158" s="5">
        <f>INDEX(Inputs!$D$21:$D$25,MATCH(F158,Inputs!$A$21:$A$25,0))</f>
        <v>0</v>
      </c>
      <c r="AM158" s="4">
        <f t="shared" si="128"/>
        <v>55400</v>
      </c>
      <c r="AN158" s="4">
        <f t="shared" si="129"/>
        <v>1149.1900000000023</v>
      </c>
      <c r="AO158" s="3">
        <f t="shared" si="130"/>
        <v>1</v>
      </c>
      <c r="AP158" s="4">
        <f t="shared" si="131"/>
        <v>16275.242999999999</v>
      </c>
      <c r="AQ158" s="4">
        <f t="shared" si="132"/>
        <v>0</v>
      </c>
      <c r="AR158" s="4">
        <f t="shared" si="133"/>
        <v>1149.1900000000023</v>
      </c>
      <c r="AS158" s="3">
        <f t="shared" si="134"/>
        <v>0</v>
      </c>
      <c r="AT158" s="4">
        <f t="shared" si="135"/>
        <v>1149.1900000000023</v>
      </c>
      <c r="AU158" s="4">
        <f t="shared" si="136"/>
        <v>10449.190000000002</v>
      </c>
      <c r="AV158" s="4">
        <f t="shared" si="137"/>
        <v>1149.1900000000023</v>
      </c>
      <c r="AW158" s="4">
        <f t="shared" si="138"/>
        <v>1149.1900000000023</v>
      </c>
      <c r="AX158" s="5">
        <f t="shared" si="139"/>
        <v>2.1182909527065169E-2</v>
      </c>
      <c r="AY158" s="4">
        <f t="shared" si="140"/>
        <v>55400</v>
      </c>
      <c r="AZ158" s="3">
        <f t="shared" si="141"/>
        <v>0</v>
      </c>
      <c r="BA158" s="4">
        <f t="shared" si="142"/>
        <v>58042.941619000005</v>
      </c>
      <c r="BB158" s="4">
        <f t="shared" si="143"/>
        <v>18660.805730508502</v>
      </c>
      <c r="BC158" s="4">
        <f t="shared" si="144"/>
        <v>58042.941619000005</v>
      </c>
      <c r="BD158" s="4">
        <f t="shared" si="145"/>
        <v>18660.805730508502</v>
      </c>
      <c r="BE158" s="4">
        <f t="shared" si="146"/>
        <v>59272.460000000006</v>
      </c>
      <c r="BF158" s="4">
        <f t="shared" si="147"/>
        <v>19056.095890000004</v>
      </c>
      <c r="BG158" s="4">
        <f t="shared" si="148"/>
        <v>0</v>
      </c>
      <c r="BH158" s="4">
        <f t="shared" si="149"/>
        <v>0</v>
      </c>
      <c r="BI158" s="4">
        <f t="shared" si="150"/>
        <v>0</v>
      </c>
      <c r="BJ158" s="4">
        <f t="shared" si="151"/>
        <v>1149.1900000000023</v>
      </c>
      <c r="BK158" s="4">
        <f t="shared" si="152"/>
        <v>80.328381000000164</v>
      </c>
      <c r="BL158" s="4">
        <f t="shared" si="153"/>
        <v>395.29015949150198</v>
      </c>
      <c r="BM158" s="4">
        <f t="shared" si="154"/>
        <v>54250.81</v>
      </c>
      <c r="BN158" s="4">
        <f t="shared" si="155"/>
        <v>2170.0324000000001</v>
      </c>
      <c r="BO158" s="4">
        <f t="shared" si="156"/>
        <v>2170.0324000000001</v>
      </c>
      <c r="BP158" s="4">
        <f t="shared" si="157"/>
        <v>151.68526476000002</v>
      </c>
      <c r="BQ158" s="4">
        <f t="shared" si="158"/>
        <v>60364.659283759996</v>
      </c>
      <c r="BR158" s="4">
        <f t="shared" si="159"/>
        <v>19407.237959728838</v>
      </c>
      <c r="BS158" s="4">
        <f t="shared" si="160"/>
        <v>746.43222922033601</v>
      </c>
      <c r="BT158" s="4">
        <f t="shared" si="161"/>
        <v>58042.941619000005</v>
      </c>
      <c r="BU158" s="4">
        <f t="shared" si="162"/>
        <v>59272.460000000006</v>
      </c>
      <c r="BV158" s="7">
        <f t="shared" si="163"/>
        <v>414907.22000000003</v>
      </c>
      <c r="BW158" s="7">
        <f t="shared" si="164"/>
        <v>574955.03293634497</v>
      </c>
    </row>
    <row r="159" spans="1:75" x14ac:dyDescent="0.3">
      <c r="A159" s="3">
        <f t="shared" si="110"/>
        <v>155</v>
      </c>
      <c r="B159" t="str">
        <f>INDEX(Employees!$A:$A,A159+1)</f>
        <v>E155</v>
      </c>
      <c r="C159" t="str">
        <f>INDEX(Employees!$A:$Z,MATCH(B159,Employees!$A:$A,0),MATCH("category",Employees!$1:$1,0))</f>
        <v>Manufacturing</v>
      </c>
      <c r="D159" t="str">
        <f>INDEX(Employees!$A:$Z,MATCH(B159,Employees!$A:$A,0),MATCH("gender",Employees!$1:$1,0))</f>
        <v>F</v>
      </c>
      <c r="E159" s="3">
        <f>INDEX(Employees!$A:$Z,MATCH(B159,Employees!$A:$A,0),MATCH("grade",Employees!$1:$1,0))</f>
        <v>5</v>
      </c>
      <c r="F159" s="3">
        <f>INDEX(Employees!$A:$Z,MATCH(B159,Employees!$A:$A,0),MATCH("rating",Employees!$1:$1,0))</f>
        <v>3</v>
      </c>
      <c r="G159" s="22">
        <f>INDEX(Employees!$A:$Z,MATCH(B159,Employees!$A:$A,0),MATCH("hire_date",Employees!$1:$1,0))</f>
        <v>45273</v>
      </c>
      <c r="H159" s="22">
        <f>INDEX(Employees!$A:$Z,MATCH(B159,Employees!$A:$A,0),MATCH("last_change_date",Employees!$1:$1,0))</f>
        <v>46113</v>
      </c>
      <c r="I159" s="4">
        <f>INDEX(Employees!$A:$Z,MATCH(B159,Employees!$A:$A,0),MATCH("base_salary",Employees!$1:$1,0))</f>
        <v>35554.089999999997</v>
      </c>
      <c r="J159" s="5">
        <f>INDEX(Employees!$A:$Z,MATCH(B159,Employees!$A:$A,0),MATCH("bonus_pct",Employees!$1:$1,0))/100</f>
        <v>4.7899999999999998E-2</v>
      </c>
      <c r="K159" s="7">
        <f>INDEX(Employees!$A:$Z,MATCH(B159,Employees!$A:$A,0),MATCH("fte",Employees!$1:$1,0))</f>
        <v>1</v>
      </c>
      <c r="L159" s="3">
        <f>IF(ISNA(MATCH(C159&amp;"|"&amp;E159,Bands!$F:$F,0)),0,1)</f>
        <v>1</v>
      </c>
      <c r="M159" s="4">
        <f>INDEX(Bands!$C:$C,MATCH(C159&amp;"|"&amp;E159,Bands!$F:$F,0))</f>
        <v>35600</v>
      </c>
      <c r="N159" s="4">
        <f>INDEX(Bands!$D:$D,MATCH(C159&amp;"|"&amp;E159,Bands!$F:$F,0))</f>
        <v>40900</v>
      </c>
      <c r="O159" s="4">
        <f>INDEX(Bands!$E:$E,MATCH(C159&amp;"|"&amp;E159,Bands!$F:$F,0))</f>
        <v>46300</v>
      </c>
      <c r="P159" s="7">
        <f t="shared" si="111"/>
        <v>3.2991101984941822</v>
      </c>
      <c r="Q159" s="4">
        <f t="shared" si="112"/>
        <v>37257.130911</v>
      </c>
      <c r="R159" s="7">
        <f t="shared" si="113"/>
        <v>25</v>
      </c>
      <c r="S159" s="7">
        <f t="shared" si="114"/>
        <v>10.884128101808322</v>
      </c>
      <c r="T159" s="7">
        <f t="shared" si="115"/>
        <v>16.495550992470911</v>
      </c>
      <c r="U159" s="7">
        <f t="shared" si="116"/>
        <v>186285.65455500002</v>
      </c>
      <c r="V159" s="7">
        <f t="shared" si="117"/>
        <v>122915.38055511295</v>
      </c>
      <c r="W159" s="4">
        <f t="shared" si="118"/>
        <v>37257.129999999997</v>
      </c>
      <c r="X159" s="3">
        <f t="shared" si="119"/>
        <v>2</v>
      </c>
      <c r="Y159" s="4">
        <f>INDEX(Categories!$AH:$AH,MATCH(C159,Categories!$A:$A,0))</f>
        <v>48803.730524999999</v>
      </c>
      <c r="Z159" s="3">
        <f>IF(AND(D159="F",Q159&lt;Y159,INDEX(Categories!$AI:$AI,MATCH(C159,Categories!$A:$A,0))&gt;0),1,0)</f>
        <v>1</v>
      </c>
      <c r="AA159" s="4">
        <f t="shared" si="120"/>
        <v>11546.599613999999</v>
      </c>
      <c r="AB159" s="4">
        <f>IF(Z159=1,INDEX(Categories!$AI:$AI,MATCH(C159,Categories!$A:$A,0))*AA159/INDEX(Categories!$AJ:$AJ,MATCH(C159,Categories!$A:$A,0)),0)</f>
        <v>7505.3709227658319</v>
      </c>
      <c r="AC159" s="4">
        <f t="shared" si="121"/>
        <v>7162.2969011984269</v>
      </c>
      <c r="AD159" s="4">
        <f t="shared" si="122"/>
        <v>42716.386901198421</v>
      </c>
      <c r="AE159" s="3">
        <f t="shared" si="123"/>
        <v>0</v>
      </c>
      <c r="AF159" s="3">
        <f t="shared" si="124"/>
        <v>39</v>
      </c>
      <c r="AG159" s="3">
        <f t="shared" si="125"/>
        <v>12</v>
      </c>
      <c r="AH159" s="3">
        <f t="shared" si="126"/>
        <v>1</v>
      </c>
      <c r="AI159" s="5">
        <f t="shared" si="127"/>
        <v>1.0444104376821131</v>
      </c>
      <c r="AJ159" s="3">
        <f>MATCH(AI159,Inputs!$B$31:$B$34,1)</f>
        <v>3</v>
      </c>
      <c r="AK159" s="5">
        <f>INDEX(Inputs!$C$21:$C$25,MATCH(F159,Inputs!$A$21:$A$25,0))</f>
        <v>1</v>
      </c>
      <c r="AL159" s="5">
        <f>INDEX(Inputs!$D$21:$D$25,MATCH(F159,Inputs!$A$21:$A$25,0))</f>
        <v>0</v>
      </c>
      <c r="AM159" s="4">
        <f t="shared" si="128"/>
        <v>40900</v>
      </c>
      <c r="AN159" s="4">
        <f t="shared" si="129"/>
        <v>0</v>
      </c>
      <c r="AO159" s="3">
        <f t="shared" si="130"/>
        <v>1</v>
      </c>
      <c r="AP159" s="4">
        <f t="shared" si="131"/>
        <v>12814.916070359526</v>
      </c>
      <c r="AQ159" s="4">
        <f t="shared" si="132"/>
        <v>0</v>
      </c>
      <c r="AR159" s="4">
        <f t="shared" si="133"/>
        <v>0</v>
      </c>
      <c r="AS159" s="3">
        <f t="shared" si="134"/>
        <v>0</v>
      </c>
      <c r="AT159" s="4">
        <f t="shared" si="135"/>
        <v>0</v>
      </c>
      <c r="AU159" s="4">
        <f t="shared" si="136"/>
        <v>3583.6130988015793</v>
      </c>
      <c r="AV159" s="4">
        <f t="shared" si="137"/>
        <v>0</v>
      </c>
      <c r="AW159" s="4">
        <f t="shared" si="138"/>
        <v>0</v>
      </c>
      <c r="AX159" s="5">
        <f t="shared" si="139"/>
        <v>0</v>
      </c>
      <c r="AY159" s="4">
        <f t="shared" si="140"/>
        <v>42716.386901198421</v>
      </c>
      <c r="AZ159" s="3">
        <f t="shared" si="141"/>
        <v>0</v>
      </c>
      <c r="BA159" s="4">
        <f t="shared" si="142"/>
        <v>37257.130911</v>
      </c>
      <c r="BB159" s="4">
        <f t="shared" si="143"/>
        <v>11978.167587886501</v>
      </c>
      <c r="BC159" s="4">
        <f t="shared" si="144"/>
        <v>44762.501833765826</v>
      </c>
      <c r="BD159" s="4">
        <f t="shared" si="145"/>
        <v>14391.144339555713</v>
      </c>
      <c r="BE159" s="4">
        <f t="shared" si="146"/>
        <v>44762.501833765826</v>
      </c>
      <c r="BF159" s="4">
        <f t="shared" si="147"/>
        <v>14391.144339555713</v>
      </c>
      <c r="BG159" s="4">
        <f t="shared" si="148"/>
        <v>7162.2969011984269</v>
      </c>
      <c r="BH159" s="4">
        <f t="shared" si="149"/>
        <v>343.07402156740466</v>
      </c>
      <c r="BI159" s="4">
        <f t="shared" si="150"/>
        <v>2412.9767516692118</v>
      </c>
      <c r="BJ159" s="4">
        <f t="shared" si="151"/>
        <v>0</v>
      </c>
      <c r="BK159" s="4">
        <f t="shared" si="152"/>
        <v>0</v>
      </c>
      <c r="BL159" s="4">
        <f t="shared" si="153"/>
        <v>0</v>
      </c>
      <c r="BM159" s="4">
        <f t="shared" si="154"/>
        <v>42716.386901198421</v>
      </c>
      <c r="BN159" s="4">
        <f t="shared" si="155"/>
        <v>1708.6554760479369</v>
      </c>
      <c r="BO159" s="4">
        <f t="shared" si="156"/>
        <v>1708.6554760479369</v>
      </c>
      <c r="BP159" s="4">
        <f t="shared" si="157"/>
        <v>81.844597302696172</v>
      </c>
      <c r="BQ159" s="4">
        <f t="shared" si="158"/>
        <v>46553.001907116457</v>
      </c>
      <c r="BR159" s="4">
        <f t="shared" si="159"/>
        <v>14966.790113137942</v>
      </c>
      <c r="BS159" s="4">
        <f t="shared" si="160"/>
        <v>575.64577358222959</v>
      </c>
      <c r="BT159" s="4">
        <f t="shared" si="161"/>
        <v>44762.501833765826</v>
      </c>
      <c r="BU159" s="4">
        <f t="shared" si="162"/>
        <v>44762.501833765826</v>
      </c>
      <c r="BV159" s="7">
        <f t="shared" si="163"/>
        <v>223812.50916882913</v>
      </c>
      <c r="BW159" s="7">
        <f t="shared" si="164"/>
        <v>147676.42630989137</v>
      </c>
    </row>
    <row r="160" spans="1:75" x14ac:dyDescent="0.3">
      <c r="A160" s="3">
        <f t="shared" si="110"/>
        <v>156</v>
      </c>
      <c r="B160" t="str">
        <f>INDEX(Employees!$A:$A,A160+1)</f>
        <v>E156</v>
      </c>
      <c r="C160" t="str">
        <f>INDEX(Employees!$A:$Z,MATCH(B160,Employees!$A:$A,0),MATCH("category",Employees!$1:$1,0))</f>
        <v>Manufacturing</v>
      </c>
      <c r="D160" t="str">
        <f>INDEX(Employees!$A:$Z,MATCH(B160,Employees!$A:$A,0),MATCH("gender",Employees!$1:$1,0))</f>
        <v>M</v>
      </c>
      <c r="E160" s="3">
        <f>INDEX(Employees!$A:$Z,MATCH(B160,Employees!$A:$A,0),MATCH("grade",Employees!$1:$1,0))</f>
        <v>5</v>
      </c>
      <c r="F160" s="3">
        <f>INDEX(Employees!$A:$Z,MATCH(B160,Employees!$A:$A,0),MATCH("rating",Employees!$1:$1,0))</f>
        <v>3</v>
      </c>
      <c r="G160" s="22">
        <f>INDEX(Employees!$A:$Z,MATCH(B160,Employees!$A:$A,0),MATCH("hire_date",Employees!$1:$1,0))</f>
        <v>42168</v>
      </c>
      <c r="H160" s="22">
        <f>INDEX(Employees!$A:$Z,MATCH(B160,Employees!$A:$A,0),MATCH("last_change_date",Employees!$1:$1,0))</f>
        <v>46113</v>
      </c>
      <c r="I160" s="4">
        <f>INDEX(Employees!$A:$Z,MATCH(B160,Employees!$A:$A,0),MATCH("base_salary",Employees!$1:$1,0))</f>
        <v>46133.279999999999</v>
      </c>
      <c r="J160" s="5">
        <f>INDEX(Employees!$A:$Z,MATCH(B160,Employees!$A:$A,0),MATCH("bonus_pct",Employees!$1:$1,0))/100</f>
        <v>4.8300000000000003E-2</v>
      </c>
      <c r="K160" s="7">
        <f>INDEX(Employees!$A:$Z,MATCH(B160,Employees!$A:$A,0),MATCH("fte",Employees!$1:$1,0))</f>
        <v>1</v>
      </c>
      <c r="L160" s="3">
        <f>IF(ISNA(MATCH(C160&amp;"|"&amp;E160,Bands!$F:$F,0)),0,1)</f>
        <v>1</v>
      </c>
      <c r="M160" s="4">
        <f>INDEX(Bands!$C:$C,MATCH(C160&amp;"|"&amp;E160,Bands!$F:$F,0))</f>
        <v>35600</v>
      </c>
      <c r="N160" s="4">
        <f>INDEX(Bands!$D:$D,MATCH(C160&amp;"|"&amp;E160,Bands!$F:$F,0))</f>
        <v>40900</v>
      </c>
      <c r="O160" s="4">
        <f>INDEX(Bands!$E:$E,MATCH(C160&amp;"|"&amp;E160,Bands!$F:$F,0))</f>
        <v>46300</v>
      </c>
      <c r="P160" s="7">
        <f t="shared" si="111"/>
        <v>11.800136892539356</v>
      </c>
      <c r="Q160" s="4">
        <f t="shared" si="112"/>
        <v>48361.517423999998</v>
      </c>
      <c r="R160" s="7">
        <f t="shared" si="113"/>
        <v>25</v>
      </c>
      <c r="S160" s="7">
        <f t="shared" si="114"/>
        <v>139.24323068266838</v>
      </c>
      <c r="T160" s="7">
        <f t="shared" si="115"/>
        <v>59.000684462696782</v>
      </c>
      <c r="U160" s="7">
        <f t="shared" si="116"/>
        <v>241807.58711999998</v>
      </c>
      <c r="V160" s="7">
        <f t="shared" si="117"/>
        <v>570672.52593412728</v>
      </c>
      <c r="W160" s="4">
        <f t="shared" si="118"/>
        <v>48361.52</v>
      </c>
      <c r="X160" s="3">
        <f t="shared" si="119"/>
        <v>20</v>
      </c>
      <c r="Y160" s="4">
        <f>INDEX(Categories!$AH:$AH,MATCH(C160,Categories!$A:$A,0))</f>
        <v>48803.730524999999</v>
      </c>
      <c r="Z160" s="3">
        <f>IF(AND(D160="F",Q160&lt;Y160,INDEX(Categories!$AI:$AI,MATCH(C160,Categories!$A:$A,0))&gt;0),1,0)</f>
        <v>0</v>
      </c>
      <c r="AA160" s="4">
        <f t="shared" si="120"/>
        <v>0</v>
      </c>
      <c r="AB160" s="4">
        <f>IF(Z160=1,INDEX(Categories!$AI:$AI,MATCH(C160,Categories!$A:$A,0))*AA160/INDEX(Categories!$AJ:$AJ,MATCH(C160,Categories!$A:$A,0)),0)</f>
        <v>0</v>
      </c>
      <c r="AC160" s="4">
        <f t="shared" si="121"/>
        <v>0</v>
      </c>
      <c r="AD160" s="4">
        <f t="shared" si="122"/>
        <v>46133.279999999999</v>
      </c>
      <c r="AE160" s="3">
        <f t="shared" si="123"/>
        <v>0</v>
      </c>
      <c r="AF160" s="3">
        <f t="shared" si="124"/>
        <v>141</v>
      </c>
      <c r="AG160" s="3">
        <f t="shared" si="125"/>
        <v>12</v>
      </c>
      <c r="AH160" s="3">
        <f t="shared" si="126"/>
        <v>1</v>
      </c>
      <c r="AI160" s="5">
        <f t="shared" si="127"/>
        <v>1.1279530562347189</v>
      </c>
      <c r="AJ160" s="3">
        <f>MATCH(AI160,Inputs!$B$31:$B$34,1)</f>
        <v>4</v>
      </c>
      <c r="AK160" s="5">
        <f>INDEX(Inputs!$C$21:$C$25,MATCH(F160,Inputs!$A$21:$A$25,0))</f>
        <v>1</v>
      </c>
      <c r="AL160" s="5">
        <f>INDEX(Inputs!$D$21:$D$25,MATCH(F160,Inputs!$A$21:$A$25,0))</f>
        <v>0</v>
      </c>
      <c r="AM160" s="4">
        <f t="shared" si="128"/>
        <v>40900</v>
      </c>
      <c r="AN160" s="4">
        <f t="shared" si="129"/>
        <v>0</v>
      </c>
      <c r="AO160" s="3">
        <f t="shared" si="130"/>
        <v>1</v>
      </c>
      <c r="AP160" s="4">
        <f t="shared" si="131"/>
        <v>13839.983999999999</v>
      </c>
      <c r="AQ160" s="4">
        <f t="shared" si="132"/>
        <v>0</v>
      </c>
      <c r="AR160" s="4">
        <f t="shared" si="133"/>
        <v>0</v>
      </c>
      <c r="AS160" s="3">
        <f t="shared" si="134"/>
        <v>0</v>
      </c>
      <c r="AT160" s="4">
        <f t="shared" si="135"/>
        <v>0</v>
      </c>
      <c r="AU160" s="4">
        <f t="shared" si="136"/>
        <v>166.72000000000116</v>
      </c>
      <c r="AV160" s="4">
        <f t="shared" si="137"/>
        <v>0</v>
      </c>
      <c r="AW160" s="4">
        <f t="shared" si="138"/>
        <v>0</v>
      </c>
      <c r="AX160" s="5">
        <f t="shared" si="139"/>
        <v>0</v>
      </c>
      <c r="AY160" s="4">
        <f t="shared" si="140"/>
        <v>46133.279999999999</v>
      </c>
      <c r="AZ160" s="3">
        <f t="shared" si="141"/>
        <v>0</v>
      </c>
      <c r="BA160" s="4">
        <f t="shared" si="142"/>
        <v>48361.517423999998</v>
      </c>
      <c r="BB160" s="4">
        <f t="shared" si="143"/>
        <v>15548.227851816</v>
      </c>
      <c r="BC160" s="4">
        <f t="shared" si="144"/>
        <v>48361.517423999998</v>
      </c>
      <c r="BD160" s="4">
        <f t="shared" si="145"/>
        <v>15548.227851816</v>
      </c>
      <c r="BE160" s="4">
        <f t="shared" si="146"/>
        <v>48361.517423999998</v>
      </c>
      <c r="BF160" s="4">
        <f t="shared" si="147"/>
        <v>15548.227851816</v>
      </c>
      <c r="BG160" s="4">
        <f t="shared" si="148"/>
        <v>0</v>
      </c>
      <c r="BH160" s="4">
        <f t="shared" si="149"/>
        <v>0</v>
      </c>
      <c r="BI160" s="4">
        <f t="shared" si="150"/>
        <v>0</v>
      </c>
      <c r="BJ160" s="4">
        <f t="shared" si="151"/>
        <v>0</v>
      </c>
      <c r="BK160" s="4">
        <f t="shared" si="152"/>
        <v>0</v>
      </c>
      <c r="BL160" s="4">
        <f t="shared" si="153"/>
        <v>0</v>
      </c>
      <c r="BM160" s="4">
        <f t="shared" si="154"/>
        <v>46133.279999999999</v>
      </c>
      <c r="BN160" s="4">
        <f t="shared" si="155"/>
        <v>1845.3312000000001</v>
      </c>
      <c r="BO160" s="4">
        <f t="shared" si="156"/>
        <v>1845.3312000000001</v>
      </c>
      <c r="BP160" s="4">
        <f t="shared" si="157"/>
        <v>89.129496960000012</v>
      </c>
      <c r="BQ160" s="4">
        <f t="shared" si="158"/>
        <v>50295.978120959997</v>
      </c>
      <c r="BR160" s="4">
        <f t="shared" si="159"/>
        <v>16170.15696588864</v>
      </c>
      <c r="BS160" s="4">
        <f t="shared" si="160"/>
        <v>621.92911407264</v>
      </c>
      <c r="BT160" s="4">
        <f t="shared" si="161"/>
        <v>48361.517423999998</v>
      </c>
      <c r="BU160" s="4">
        <f t="shared" si="162"/>
        <v>48361.517423999998</v>
      </c>
      <c r="BV160" s="7">
        <f t="shared" si="163"/>
        <v>241807.58711999998</v>
      </c>
      <c r="BW160" s="7">
        <f t="shared" si="164"/>
        <v>570672.52593412728</v>
      </c>
    </row>
    <row r="161" spans="1:75" x14ac:dyDescent="0.3">
      <c r="A161" s="3">
        <f t="shared" si="110"/>
        <v>157</v>
      </c>
      <c r="B161" t="str">
        <f>INDEX(Employees!$A:$A,A161+1)</f>
        <v>E157</v>
      </c>
      <c r="C161" t="str">
        <f>INDEX(Employees!$A:$Z,MATCH(B161,Employees!$A:$A,0),MATCH("category",Employees!$1:$1,0))</f>
        <v>Customer Support</v>
      </c>
      <c r="D161" t="str">
        <f>INDEX(Employees!$A:$Z,MATCH(B161,Employees!$A:$A,0),MATCH("gender",Employees!$1:$1,0))</f>
        <v>F</v>
      </c>
      <c r="E161" s="3">
        <f>INDEX(Employees!$A:$Z,MATCH(B161,Employees!$A:$A,0),MATCH("grade",Employees!$1:$1,0))</f>
        <v>3</v>
      </c>
      <c r="F161" s="3">
        <f>INDEX(Employees!$A:$Z,MATCH(B161,Employees!$A:$A,0),MATCH("rating",Employees!$1:$1,0))</f>
        <v>4</v>
      </c>
      <c r="G161" s="22">
        <f>INDEX(Employees!$A:$Z,MATCH(B161,Employees!$A:$A,0),MATCH("hire_date",Employees!$1:$1,0))</f>
        <v>44798</v>
      </c>
      <c r="H161" s="22">
        <f>INDEX(Employees!$A:$Z,MATCH(B161,Employees!$A:$A,0),MATCH("last_change_date",Employees!$1:$1,0))</f>
        <v>46113</v>
      </c>
      <c r="I161" s="4">
        <f>INDEX(Employees!$A:$Z,MATCH(B161,Employees!$A:$A,0),MATCH("base_salary",Employees!$1:$1,0))</f>
        <v>29879.439999999999</v>
      </c>
      <c r="J161" s="5">
        <f>INDEX(Employees!$A:$Z,MATCH(B161,Employees!$A:$A,0),MATCH("bonus_pct",Employees!$1:$1,0))/100</f>
        <v>4.7800000000000002E-2</v>
      </c>
      <c r="K161" s="7">
        <f>INDEX(Employees!$A:$Z,MATCH(B161,Employees!$A:$A,0),MATCH("fte",Employees!$1:$1,0))</f>
        <v>1</v>
      </c>
      <c r="L161" s="3">
        <f>IF(ISNA(MATCH(C161&amp;"|"&amp;E161,Bands!$F:$F,0)),0,1)</f>
        <v>1</v>
      </c>
      <c r="M161" s="4">
        <f>INDEX(Bands!$C:$C,MATCH(C161&amp;"|"&amp;E161,Bands!$F:$F,0))</f>
        <v>25700</v>
      </c>
      <c r="N161" s="4">
        <f>INDEX(Bands!$D:$D,MATCH(C161&amp;"|"&amp;E161,Bands!$F:$F,0))</f>
        <v>29500</v>
      </c>
      <c r="O161" s="4">
        <f>INDEX(Bands!$E:$E,MATCH(C161&amp;"|"&amp;E161,Bands!$F:$F,0))</f>
        <v>33400</v>
      </c>
      <c r="P161" s="7">
        <f t="shared" si="111"/>
        <v>4.59958932238193</v>
      </c>
      <c r="Q161" s="4">
        <f t="shared" si="112"/>
        <v>31307.677232000002</v>
      </c>
      <c r="R161" s="7">
        <f t="shared" si="113"/>
        <v>9</v>
      </c>
      <c r="S161" s="7">
        <f t="shared" si="114"/>
        <v>21.15622193456986</v>
      </c>
      <c r="T161" s="7">
        <f t="shared" si="115"/>
        <v>13.798767967145789</v>
      </c>
      <c r="U161" s="7">
        <f t="shared" si="116"/>
        <v>93923.031696000005</v>
      </c>
      <c r="V161" s="7">
        <f t="shared" si="117"/>
        <v>144002.45790488707</v>
      </c>
      <c r="W161" s="4">
        <f t="shared" si="118"/>
        <v>31307.68</v>
      </c>
      <c r="X161" s="3">
        <f t="shared" si="119"/>
        <v>7</v>
      </c>
      <c r="Y161" s="4">
        <f>INDEX(Categories!$AH:$AH,MATCH(C161,Categories!$A:$A,0))</f>
        <v>37853.452052499997</v>
      </c>
      <c r="Z161" s="3">
        <f>IF(AND(D161="F",Q161&lt;Y161,INDEX(Categories!$AI:$AI,MATCH(C161,Categories!$A:$A,0))&gt;0),1,0)</f>
        <v>1</v>
      </c>
      <c r="AA161" s="4">
        <f t="shared" si="120"/>
        <v>6545.7748204999953</v>
      </c>
      <c r="AB161" s="4">
        <f>IF(Z161=1,INDEX(Categories!$AI:$AI,MATCH(C161,Categories!$A:$A,0))*AA161/INDEX(Categories!$AJ:$AJ,MATCH(C161,Categories!$A:$A,0)),0)</f>
        <v>1559.9814615660002</v>
      </c>
      <c r="AC161" s="4">
        <f t="shared" si="121"/>
        <v>1488.8160541763696</v>
      </c>
      <c r="AD161" s="4">
        <f t="shared" si="122"/>
        <v>31368.256054176367</v>
      </c>
      <c r="AE161" s="3">
        <f t="shared" si="123"/>
        <v>0</v>
      </c>
      <c r="AF161" s="3">
        <f t="shared" si="124"/>
        <v>55</v>
      </c>
      <c r="AG161" s="3">
        <f t="shared" si="125"/>
        <v>12</v>
      </c>
      <c r="AH161" s="3">
        <f t="shared" si="126"/>
        <v>1</v>
      </c>
      <c r="AI161" s="5">
        <f t="shared" si="127"/>
        <v>1.0633307137008938</v>
      </c>
      <c r="AJ161" s="3">
        <f>MATCH(AI161,Inputs!$B$31:$B$34,1)</f>
        <v>3</v>
      </c>
      <c r="AK161" s="5">
        <f>INDEX(Inputs!$C$21:$C$25,MATCH(F161,Inputs!$A$21:$A$25,0))</f>
        <v>1.05</v>
      </c>
      <c r="AL161" s="5">
        <f>INDEX(Inputs!$D$21:$D$25,MATCH(F161,Inputs!$A$21:$A$25,0))</f>
        <v>0.01</v>
      </c>
      <c r="AM161" s="4">
        <f t="shared" si="128"/>
        <v>30975</v>
      </c>
      <c r="AN161" s="4">
        <f t="shared" si="129"/>
        <v>0</v>
      </c>
      <c r="AO161" s="3">
        <f t="shared" si="130"/>
        <v>1</v>
      </c>
      <c r="AP161" s="4">
        <f t="shared" si="131"/>
        <v>9410.476816252909</v>
      </c>
      <c r="AQ161" s="4">
        <f t="shared" si="132"/>
        <v>313.68256054176368</v>
      </c>
      <c r="AR161" s="4">
        <f t="shared" si="133"/>
        <v>313.68256054176368</v>
      </c>
      <c r="AS161" s="3">
        <f t="shared" si="134"/>
        <v>0</v>
      </c>
      <c r="AT161" s="4">
        <f t="shared" si="135"/>
        <v>313.68256054176368</v>
      </c>
      <c r="AU161" s="4">
        <f t="shared" si="136"/>
        <v>2031.7439458236331</v>
      </c>
      <c r="AV161" s="4">
        <f t="shared" si="137"/>
        <v>313.68256054176368</v>
      </c>
      <c r="AW161" s="4">
        <f t="shared" si="138"/>
        <v>313.68256054176368</v>
      </c>
      <c r="AX161" s="5">
        <f t="shared" si="139"/>
        <v>0.01</v>
      </c>
      <c r="AY161" s="4">
        <f t="shared" si="140"/>
        <v>31681.938614718132</v>
      </c>
      <c r="AZ161" s="3">
        <f t="shared" si="141"/>
        <v>0</v>
      </c>
      <c r="BA161" s="4">
        <f t="shared" si="142"/>
        <v>31307.677232000002</v>
      </c>
      <c r="BB161" s="4">
        <f t="shared" si="143"/>
        <v>10065.418230088</v>
      </c>
      <c r="BC161" s="4">
        <f t="shared" si="144"/>
        <v>32867.658693566002</v>
      </c>
      <c r="BD161" s="4">
        <f t="shared" si="145"/>
        <v>10566.95226998147</v>
      </c>
      <c r="BE161" s="4">
        <f t="shared" si="146"/>
        <v>33196.335280501662</v>
      </c>
      <c r="BF161" s="4">
        <f t="shared" si="147"/>
        <v>10672.621792681284</v>
      </c>
      <c r="BG161" s="4">
        <f t="shared" si="148"/>
        <v>1488.8160541763696</v>
      </c>
      <c r="BH161" s="4">
        <f t="shared" si="149"/>
        <v>71.165407389630474</v>
      </c>
      <c r="BI161" s="4">
        <f t="shared" si="150"/>
        <v>501.53403989346953</v>
      </c>
      <c r="BJ161" s="4">
        <f t="shared" si="151"/>
        <v>313.68256054176368</v>
      </c>
      <c r="BK161" s="4">
        <f t="shared" si="152"/>
        <v>14.994026393896304</v>
      </c>
      <c r="BL161" s="4">
        <f t="shared" si="153"/>
        <v>105.66952269981448</v>
      </c>
      <c r="BM161" s="4">
        <f t="shared" si="154"/>
        <v>31368.256054176367</v>
      </c>
      <c r="BN161" s="4">
        <f t="shared" si="155"/>
        <v>1254.7302421670547</v>
      </c>
      <c r="BO161" s="4">
        <f t="shared" si="156"/>
        <v>1254.7302421670547</v>
      </c>
      <c r="BP161" s="4">
        <f t="shared" si="157"/>
        <v>59.976105575585215</v>
      </c>
      <c r="BQ161" s="4">
        <f t="shared" si="158"/>
        <v>34182.365041308636</v>
      </c>
      <c r="BR161" s="4">
        <f t="shared" si="159"/>
        <v>10989.630360780728</v>
      </c>
      <c r="BS161" s="4">
        <f t="shared" si="160"/>
        <v>422.67809079925792</v>
      </c>
      <c r="BT161" s="4">
        <f t="shared" si="161"/>
        <v>32867.658693566002</v>
      </c>
      <c r="BU161" s="4">
        <f t="shared" si="162"/>
        <v>33196.335280501662</v>
      </c>
      <c r="BV161" s="7">
        <f t="shared" si="163"/>
        <v>99589.005841504986</v>
      </c>
      <c r="BW161" s="7">
        <f t="shared" si="164"/>
        <v>152689.50929840599</v>
      </c>
    </row>
    <row r="162" spans="1:75" x14ac:dyDescent="0.3">
      <c r="A162" s="3">
        <f t="shared" si="110"/>
        <v>158</v>
      </c>
      <c r="B162" t="str">
        <f>INDEX(Employees!$A:$A,A162+1)</f>
        <v>E158</v>
      </c>
      <c r="C162" t="str">
        <f>INDEX(Employees!$A:$Z,MATCH(B162,Employees!$A:$A,0),MATCH("category",Employees!$1:$1,0))</f>
        <v>Customer Support</v>
      </c>
      <c r="D162" t="str">
        <f>INDEX(Employees!$A:$Z,MATCH(B162,Employees!$A:$A,0),MATCH("gender",Employees!$1:$1,0))</f>
        <v>M</v>
      </c>
      <c r="E162" s="3">
        <f>INDEX(Employees!$A:$Z,MATCH(B162,Employees!$A:$A,0),MATCH("grade",Employees!$1:$1,0))</f>
        <v>3</v>
      </c>
      <c r="F162" s="3">
        <f>INDEX(Employees!$A:$Z,MATCH(B162,Employees!$A:$A,0),MATCH("rating",Employees!$1:$1,0))</f>
        <v>4</v>
      </c>
      <c r="G162" s="22">
        <f>INDEX(Employees!$A:$Z,MATCH(B162,Employees!$A:$A,0),MATCH("hire_date",Employees!$1:$1,0))</f>
        <v>44615</v>
      </c>
      <c r="H162" s="22">
        <f>INDEX(Employees!$A:$Z,MATCH(B162,Employees!$A:$A,0),MATCH("last_change_date",Employees!$1:$1,0))</f>
        <v>46113</v>
      </c>
      <c r="I162" s="4">
        <f>INDEX(Employees!$A:$Z,MATCH(B162,Employees!$A:$A,0),MATCH("base_salary",Employees!$1:$1,0))</f>
        <v>32195.23</v>
      </c>
      <c r="J162" s="5">
        <f>INDEX(Employees!$A:$Z,MATCH(B162,Employees!$A:$A,0),MATCH("bonus_pct",Employees!$1:$1,0))/100</f>
        <v>4.6699999999999998E-2</v>
      </c>
      <c r="K162" s="7">
        <f>INDEX(Employees!$A:$Z,MATCH(B162,Employees!$A:$A,0),MATCH("fte",Employees!$1:$1,0))</f>
        <v>1</v>
      </c>
      <c r="L162" s="3">
        <f>IF(ISNA(MATCH(C162&amp;"|"&amp;E162,Bands!$F:$F,0)),0,1)</f>
        <v>1</v>
      </c>
      <c r="M162" s="4">
        <f>INDEX(Bands!$C:$C,MATCH(C162&amp;"|"&amp;E162,Bands!$F:$F,0))</f>
        <v>25700</v>
      </c>
      <c r="N162" s="4">
        <f>INDEX(Bands!$D:$D,MATCH(C162&amp;"|"&amp;E162,Bands!$F:$F,0))</f>
        <v>29500</v>
      </c>
      <c r="O162" s="4">
        <f>INDEX(Bands!$E:$E,MATCH(C162&amp;"|"&amp;E162,Bands!$F:$F,0))</f>
        <v>33400</v>
      </c>
      <c r="P162" s="7">
        <f t="shared" si="111"/>
        <v>5.1006160164271046</v>
      </c>
      <c r="Q162" s="4">
        <f t="shared" si="112"/>
        <v>33698.747240999997</v>
      </c>
      <c r="R162" s="7">
        <f t="shared" si="113"/>
        <v>9</v>
      </c>
      <c r="S162" s="7">
        <f t="shared" si="114"/>
        <v>26.016283747032706</v>
      </c>
      <c r="T162" s="7">
        <f t="shared" si="115"/>
        <v>15.301848049281315</v>
      </c>
      <c r="U162" s="7">
        <f t="shared" si="116"/>
        <v>101096.24172299998</v>
      </c>
      <c r="V162" s="7">
        <f t="shared" si="117"/>
        <v>171884.3699109733</v>
      </c>
      <c r="W162" s="4">
        <f t="shared" si="118"/>
        <v>33698.75</v>
      </c>
      <c r="X162" s="3">
        <f t="shared" si="119"/>
        <v>12</v>
      </c>
      <c r="Y162" s="4">
        <f>INDEX(Categories!$AH:$AH,MATCH(C162,Categories!$A:$A,0))</f>
        <v>37853.452052499997</v>
      </c>
      <c r="Z162" s="3">
        <f>IF(AND(D162="F",Q162&lt;Y162,INDEX(Categories!$AI:$AI,MATCH(C162,Categories!$A:$A,0))&gt;0),1,0)</f>
        <v>0</v>
      </c>
      <c r="AA162" s="4">
        <f t="shared" si="120"/>
        <v>0</v>
      </c>
      <c r="AB162" s="4">
        <f>IF(Z162=1,INDEX(Categories!$AI:$AI,MATCH(C162,Categories!$A:$A,0))*AA162/INDEX(Categories!$AJ:$AJ,MATCH(C162,Categories!$A:$A,0)),0)</f>
        <v>0</v>
      </c>
      <c r="AC162" s="4">
        <f t="shared" si="121"/>
        <v>0</v>
      </c>
      <c r="AD162" s="4">
        <f t="shared" si="122"/>
        <v>32195.23</v>
      </c>
      <c r="AE162" s="3">
        <f t="shared" si="123"/>
        <v>0</v>
      </c>
      <c r="AF162" s="3">
        <f t="shared" si="124"/>
        <v>61</v>
      </c>
      <c r="AG162" s="3">
        <f t="shared" si="125"/>
        <v>12</v>
      </c>
      <c r="AH162" s="3">
        <f t="shared" si="126"/>
        <v>1</v>
      </c>
      <c r="AI162" s="5">
        <f t="shared" si="127"/>
        <v>1.0913637288135594</v>
      </c>
      <c r="AJ162" s="3">
        <f>MATCH(AI162,Inputs!$B$31:$B$34,1)</f>
        <v>3</v>
      </c>
      <c r="AK162" s="5">
        <f>INDEX(Inputs!$C$21:$C$25,MATCH(F162,Inputs!$A$21:$A$25,0))</f>
        <v>1.05</v>
      </c>
      <c r="AL162" s="5">
        <f>INDEX(Inputs!$D$21:$D$25,MATCH(F162,Inputs!$A$21:$A$25,0))</f>
        <v>0.01</v>
      </c>
      <c r="AM162" s="4">
        <f t="shared" si="128"/>
        <v>30975</v>
      </c>
      <c r="AN162" s="4">
        <f t="shared" si="129"/>
        <v>0</v>
      </c>
      <c r="AO162" s="3">
        <f t="shared" si="130"/>
        <v>1</v>
      </c>
      <c r="AP162" s="4">
        <f t="shared" si="131"/>
        <v>9658.5689999999995</v>
      </c>
      <c r="AQ162" s="4">
        <f t="shared" si="132"/>
        <v>321.95229999999998</v>
      </c>
      <c r="AR162" s="4">
        <f t="shared" si="133"/>
        <v>321.95229999999998</v>
      </c>
      <c r="AS162" s="3">
        <f t="shared" si="134"/>
        <v>0</v>
      </c>
      <c r="AT162" s="4">
        <f t="shared" si="135"/>
        <v>321.95229999999998</v>
      </c>
      <c r="AU162" s="4">
        <f t="shared" si="136"/>
        <v>1204.7700000000004</v>
      </c>
      <c r="AV162" s="4">
        <f t="shared" si="137"/>
        <v>321.95229999999998</v>
      </c>
      <c r="AW162" s="4">
        <f t="shared" si="138"/>
        <v>321.95229999999998</v>
      </c>
      <c r="AX162" s="5">
        <f t="shared" si="139"/>
        <v>0.01</v>
      </c>
      <c r="AY162" s="4">
        <f t="shared" si="140"/>
        <v>32517.1823</v>
      </c>
      <c r="AZ162" s="3">
        <f t="shared" si="141"/>
        <v>0</v>
      </c>
      <c r="BA162" s="4">
        <f t="shared" si="142"/>
        <v>33698.747240999997</v>
      </c>
      <c r="BB162" s="4">
        <f t="shared" si="143"/>
        <v>10834.147237981499</v>
      </c>
      <c r="BC162" s="4">
        <f t="shared" si="144"/>
        <v>33698.747240999997</v>
      </c>
      <c r="BD162" s="4">
        <f t="shared" si="145"/>
        <v>10834.147237981499</v>
      </c>
      <c r="BE162" s="4">
        <f t="shared" si="146"/>
        <v>34035.734713409998</v>
      </c>
      <c r="BF162" s="4">
        <f t="shared" si="147"/>
        <v>10942.488710361315</v>
      </c>
      <c r="BG162" s="4">
        <f t="shared" si="148"/>
        <v>0</v>
      </c>
      <c r="BH162" s="4">
        <f t="shared" si="149"/>
        <v>0</v>
      </c>
      <c r="BI162" s="4">
        <f t="shared" si="150"/>
        <v>0</v>
      </c>
      <c r="BJ162" s="4">
        <f t="shared" si="151"/>
        <v>321.95229999999998</v>
      </c>
      <c r="BK162" s="4">
        <f t="shared" si="152"/>
        <v>15.035172409999998</v>
      </c>
      <c r="BL162" s="4">
        <f t="shared" si="153"/>
        <v>108.34147237981597</v>
      </c>
      <c r="BM162" s="4">
        <f t="shared" si="154"/>
        <v>32195.23</v>
      </c>
      <c r="BN162" s="4">
        <f t="shared" si="155"/>
        <v>1287.8091999999999</v>
      </c>
      <c r="BO162" s="4">
        <f t="shared" si="156"/>
        <v>1287.8091999999999</v>
      </c>
      <c r="BP162" s="4">
        <f t="shared" si="157"/>
        <v>60.140689639999991</v>
      </c>
      <c r="BQ162" s="4">
        <f t="shared" si="158"/>
        <v>35046.697130640001</v>
      </c>
      <c r="BR162" s="4">
        <f t="shared" si="159"/>
        <v>11267.513127500761</v>
      </c>
      <c r="BS162" s="4">
        <f t="shared" si="160"/>
        <v>433.36588951926205</v>
      </c>
      <c r="BT162" s="4">
        <f t="shared" si="161"/>
        <v>33698.747240999997</v>
      </c>
      <c r="BU162" s="4">
        <f t="shared" si="162"/>
        <v>34035.734713409998</v>
      </c>
      <c r="BV162" s="7">
        <f t="shared" si="163"/>
        <v>102107.20414022999</v>
      </c>
      <c r="BW162" s="7">
        <f t="shared" si="164"/>
        <v>173603.21361008304</v>
      </c>
    </row>
    <row r="163" spans="1:75" x14ac:dyDescent="0.3">
      <c r="A163" s="3">
        <f t="shared" si="110"/>
        <v>159</v>
      </c>
      <c r="B163" t="str">
        <f>INDEX(Employees!$A:$A,A163+1)</f>
        <v>E159</v>
      </c>
      <c r="C163" t="str">
        <f>INDEX(Employees!$A:$Z,MATCH(B163,Employees!$A:$A,0),MATCH("category",Employees!$1:$1,0))</f>
        <v>Customer Support</v>
      </c>
      <c r="D163" t="str">
        <f>INDEX(Employees!$A:$Z,MATCH(B163,Employees!$A:$A,0),MATCH("gender",Employees!$1:$1,0))</f>
        <v>M</v>
      </c>
      <c r="E163" s="3">
        <f>INDEX(Employees!$A:$Z,MATCH(B163,Employees!$A:$A,0),MATCH("grade",Employees!$1:$1,0))</f>
        <v>5</v>
      </c>
      <c r="F163" s="3">
        <f>INDEX(Employees!$A:$Z,MATCH(B163,Employees!$A:$A,0),MATCH("rating",Employees!$1:$1,0))</f>
        <v>4</v>
      </c>
      <c r="G163" s="22">
        <f>INDEX(Employees!$A:$Z,MATCH(B163,Employees!$A:$A,0),MATCH("hire_date",Employees!$1:$1,0))</f>
        <v>44250</v>
      </c>
      <c r="H163" s="22">
        <f>INDEX(Employees!$A:$Z,MATCH(B163,Employees!$A:$A,0),MATCH("last_change_date",Employees!$1:$1,0))</f>
        <v>46113</v>
      </c>
      <c r="I163" s="4">
        <f>INDEX(Employees!$A:$Z,MATCH(B163,Employees!$A:$A,0),MATCH("base_salary",Employees!$1:$1,0))</f>
        <v>39222</v>
      </c>
      <c r="J163" s="5">
        <f>INDEX(Employees!$A:$Z,MATCH(B163,Employees!$A:$A,0),MATCH("bonus_pct",Employees!$1:$1,0))/100</f>
        <v>4.9699999999999994E-2</v>
      </c>
      <c r="K163" s="7">
        <f>INDEX(Employees!$A:$Z,MATCH(B163,Employees!$A:$A,0),MATCH("fte",Employees!$1:$1,0))</f>
        <v>0.75</v>
      </c>
      <c r="L163" s="3">
        <f>IF(ISNA(MATCH(C163&amp;"|"&amp;E163,Bands!$F:$F,0)),0,1)</f>
        <v>1</v>
      </c>
      <c r="M163" s="4">
        <f>INDEX(Bands!$C:$C,MATCH(C163&amp;"|"&amp;E163,Bands!$F:$F,0))</f>
        <v>34500</v>
      </c>
      <c r="N163" s="4">
        <f>INDEX(Bands!$D:$D,MATCH(C163&amp;"|"&amp;E163,Bands!$F:$F,0))</f>
        <v>39700</v>
      </c>
      <c r="O163" s="4">
        <f>INDEX(Bands!$E:$E,MATCH(C163&amp;"|"&amp;E163,Bands!$F:$F,0))</f>
        <v>44900</v>
      </c>
      <c r="P163" s="7">
        <f t="shared" si="111"/>
        <v>6.0999315537303218</v>
      </c>
      <c r="Q163" s="4">
        <f t="shared" si="112"/>
        <v>41171.333400000003</v>
      </c>
      <c r="R163" s="7">
        <f t="shared" si="113"/>
        <v>25</v>
      </c>
      <c r="S163" s="7">
        <f t="shared" si="114"/>
        <v>37.209164960194819</v>
      </c>
      <c r="T163" s="7">
        <f t="shared" si="115"/>
        <v>30.499657768651609</v>
      </c>
      <c r="U163" s="7">
        <f t="shared" si="116"/>
        <v>205856.66700000002</v>
      </c>
      <c r="V163" s="7">
        <f t="shared" si="117"/>
        <v>251142.3157158111</v>
      </c>
      <c r="W163" s="4">
        <f t="shared" si="118"/>
        <v>41171.33</v>
      </c>
      <c r="X163" s="3">
        <f t="shared" si="119"/>
        <v>19</v>
      </c>
      <c r="Y163" s="4">
        <f>INDEX(Categories!$AH:$AH,MATCH(C163,Categories!$A:$A,0))</f>
        <v>37853.452052499997</v>
      </c>
      <c r="Z163" s="3">
        <f>IF(AND(D163="F",Q163&lt;Y163,INDEX(Categories!$AI:$AI,MATCH(C163,Categories!$A:$A,0))&gt;0),1,0)</f>
        <v>0</v>
      </c>
      <c r="AA163" s="4">
        <f t="shared" si="120"/>
        <v>0</v>
      </c>
      <c r="AB163" s="4">
        <f>IF(Z163=1,INDEX(Categories!$AI:$AI,MATCH(C163,Categories!$A:$A,0))*AA163/INDEX(Categories!$AJ:$AJ,MATCH(C163,Categories!$A:$A,0)),0)</f>
        <v>0</v>
      </c>
      <c r="AC163" s="4">
        <f t="shared" si="121"/>
        <v>0</v>
      </c>
      <c r="AD163" s="4">
        <f t="shared" si="122"/>
        <v>39222</v>
      </c>
      <c r="AE163" s="3">
        <f t="shared" si="123"/>
        <v>0</v>
      </c>
      <c r="AF163" s="3">
        <f t="shared" si="124"/>
        <v>73</v>
      </c>
      <c r="AG163" s="3">
        <f t="shared" si="125"/>
        <v>12</v>
      </c>
      <c r="AH163" s="3">
        <f t="shared" si="126"/>
        <v>1</v>
      </c>
      <c r="AI163" s="5">
        <f t="shared" si="127"/>
        <v>0.98795969773299752</v>
      </c>
      <c r="AJ163" s="3">
        <f>MATCH(AI163,Inputs!$B$31:$B$34,1)</f>
        <v>2</v>
      </c>
      <c r="AK163" s="5">
        <f>INDEX(Inputs!$C$21:$C$25,MATCH(F163,Inputs!$A$21:$A$25,0))</f>
        <v>1.05</v>
      </c>
      <c r="AL163" s="5">
        <f>INDEX(Inputs!$D$21:$D$25,MATCH(F163,Inputs!$A$21:$A$25,0))</f>
        <v>0.01</v>
      </c>
      <c r="AM163" s="4">
        <f t="shared" si="128"/>
        <v>41685</v>
      </c>
      <c r="AN163" s="4">
        <f t="shared" si="129"/>
        <v>2463</v>
      </c>
      <c r="AO163" s="3">
        <f t="shared" si="130"/>
        <v>1</v>
      </c>
      <c r="AP163" s="4">
        <f t="shared" si="131"/>
        <v>11766.6</v>
      </c>
      <c r="AQ163" s="4">
        <f t="shared" si="132"/>
        <v>392.22</v>
      </c>
      <c r="AR163" s="4">
        <f t="shared" si="133"/>
        <v>2463</v>
      </c>
      <c r="AS163" s="3">
        <f t="shared" si="134"/>
        <v>0</v>
      </c>
      <c r="AT163" s="4">
        <f t="shared" si="135"/>
        <v>2463</v>
      </c>
      <c r="AU163" s="4">
        <f t="shared" si="136"/>
        <v>5678</v>
      </c>
      <c r="AV163" s="4">
        <f t="shared" si="137"/>
        <v>2463</v>
      </c>
      <c r="AW163" s="4">
        <f t="shared" si="138"/>
        <v>2463</v>
      </c>
      <c r="AX163" s="5">
        <f t="shared" si="139"/>
        <v>6.2796389781245215E-2</v>
      </c>
      <c r="AY163" s="4">
        <f t="shared" si="140"/>
        <v>41685</v>
      </c>
      <c r="AZ163" s="3">
        <f t="shared" si="141"/>
        <v>0</v>
      </c>
      <c r="BA163" s="4">
        <f t="shared" si="142"/>
        <v>30878.500050000002</v>
      </c>
      <c r="BB163" s="4">
        <f t="shared" si="143"/>
        <v>9927.4377660750015</v>
      </c>
      <c r="BC163" s="4">
        <f t="shared" si="144"/>
        <v>30878.500050000002</v>
      </c>
      <c r="BD163" s="4">
        <f t="shared" si="145"/>
        <v>9927.4377660750015</v>
      </c>
      <c r="BE163" s="4">
        <f t="shared" si="146"/>
        <v>32817.558375000001</v>
      </c>
      <c r="BF163" s="4">
        <f t="shared" si="147"/>
        <v>10550.8450175625</v>
      </c>
      <c r="BG163" s="4">
        <f t="shared" si="148"/>
        <v>0</v>
      </c>
      <c r="BH163" s="4">
        <f t="shared" si="149"/>
        <v>0</v>
      </c>
      <c r="BI163" s="4">
        <f t="shared" si="150"/>
        <v>0</v>
      </c>
      <c r="BJ163" s="4">
        <f t="shared" si="151"/>
        <v>1847.25</v>
      </c>
      <c r="BK163" s="4">
        <f t="shared" si="152"/>
        <v>91.808324999999996</v>
      </c>
      <c r="BL163" s="4">
        <f t="shared" si="153"/>
        <v>623.4072514874988</v>
      </c>
      <c r="BM163" s="4">
        <f t="shared" si="154"/>
        <v>29416.5</v>
      </c>
      <c r="BN163" s="4">
        <f t="shared" si="155"/>
        <v>1568.88</v>
      </c>
      <c r="BO163" s="4">
        <f t="shared" si="156"/>
        <v>1176.6600000000001</v>
      </c>
      <c r="BP163" s="4">
        <f t="shared" si="157"/>
        <v>58.480001999999999</v>
      </c>
      <c r="BQ163" s="4">
        <f t="shared" si="158"/>
        <v>32113.640052000002</v>
      </c>
      <c r="BR163" s="4">
        <f t="shared" si="159"/>
        <v>10324.535276718001</v>
      </c>
      <c r="BS163" s="4">
        <f t="shared" si="160"/>
        <v>397.09751064299962</v>
      </c>
      <c r="BT163" s="4">
        <f t="shared" si="161"/>
        <v>41171.333400000003</v>
      </c>
      <c r="BU163" s="4">
        <f t="shared" si="162"/>
        <v>43756.744500000001</v>
      </c>
      <c r="BV163" s="7">
        <f t="shared" si="163"/>
        <v>218783.7225</v>
      </c>
      <c r="BW163" s="7">
        <f t="shared" si="164"/>
        <v>266913.14646406571</v>
      </c>
    </row>
    <row r="164" spans="1:75" x14ac:dyDescent="0.3">
      <c r="A164" s="3">
        <f t="shared" si="110"/>
        <v>160</v>
      </c>
      <c r="B164" t="str">
        <f>INDEX(Employees!$A:$A,A164+1)</f>
        <v>E160</v>
      </c>
      <c r="C164" t="str">
        <f>INDEX(Employees!$A:$Z,MATCH(B164,Employees!$A:$A,0),MATCH("category",Employees!$1:$1,0))</f>
        <v>Customer Support</v>
      </c>
      <c r="D164" t="str">
        <f>INDEX(Employees!$A:$Z,MATCH(B164,Employees!$A:$A,0),MATCH("gender",Employees!$1:$1,0))</f>
        <v>M</v>
      </c>
      <c r="E164" s="3">
        <f>INDEX(Employees!$A:$Z,MATCH(B164,Employees!$A:$A,0),MATCH("grade",Employees!$1:$1,0))</f>
        <v>6</v>
      </c>
      <c r="F164" s="3">
        <f>INDEX(Employees!$A:$Z,MATCH(B164,Employees!$A:$A,0),MATCH("rating",Employees!$1:$1,0))</f>
        <v>3</v>
      </c>
      <c r="G164" s="22">
        <f>INDEX(Employees!$A:$Z,MATCH(B164,Employees!$A:$A,0),MATCH("hire_date",Employees!$1:$1,0))</f>
        <v>41876</v>
      </c>
      <c r="H164" s="22">
        <f>INDEX(Employees!$A:$Z,MATCH(B164,Employees!$A:$A,0),MATCH("last_change_date",Employees!$1:$1,0))</f>
        <v>46113</v>
      </c>
      <c r="I164" s="4">
        <f>INDEX(Employees!$A:$Z,MATCH(B164,Employees!$A:$A,0),MATCH("base_salary",Employees!$1:$1,0))</f>
        <v>48769.2</v>
      </c>
      <c r="J164" s="5">
        <f>INDEX(Employees!$A:$Z,MATCH(B164,Employees!$A:$A,0),MATCH("bonus_pct",Employees!$1:$1,0))/100</f>
        <v>4.8300000000000003E-2</v>
      </c>
      <c r="K164" s="7">
        <f>INDEX(Employees!$A:$Z,MATCH(B164,Employees!$A:$A,0),MATCH("fte",Employees!$1:$1,0))</f>
        <v>1</v>
      </c>
      <c r="L164" s="3">
        <f>IF(ISNA(MATCH(C164&amp;"|"&amp;E164,Bands!$F:$F,0)),0,1)</f>
        <v>1</v>
      </c>
      <c r="M164" s="4">
        <f>INDEX(Bands!$C:$C,MATCH(C164&amp;"|"&amp;E164,Bands!$F:$F,0))</f>
        <v>38300</v>
      </c>
      <c r="N164" s="4">
        <f>INDEX(Bands!$D:$D,MATCH(C164&amp;"|"&amp;E164,Bands!$F:$F,0))</f>
        <v>46000</v>
      </c>
      <c r="O164" s="4">
        <f>INDEX(Bands!$E:$E,MATCH(C164&amp;"|"&amp;E164,Bands!$F:$F,0))</f>
        <v>53600</v>
      </c>
      <c r="P164" s="7">
        <f t="shared" si="111"/>
        <v>12.599589322381931</v>
      </c>
      <c r="Q164" s="4">
        <f t="shared" si="112"/>
        <v>51124.752359999999</v>
      </c>
      <c r="R164" s="7">
        <f t="shared" si="113"/>
        <v>36</v>
      </c>
      <c r="S164" s="7">
        <f t="shared" si="114"/>
        <v>158.74965109268075</v>
      </c>
      <c r="T164" s="7">
        <f t="shared" si="115"/>
        <v>75.597535934291585</v>
      </c>
      <c r="U164" s="7">
        <f t="shared" si="116"/>
        <v>306748.51416000002</v>
      </c>
      <c r="V164" s="7">
        <f t="shared" si="117"/>
        <v>644150.88394447637</v>
      </c>
      <c r="W164" s="4">
        <f t="shared" si="118"/>
        <v>51124.75</v>
      </c>
      <c r="X164" s="3">
        <f t="shared" si="119"/>
        <v>28</v>
      </c>
      <c r="Y164" s="4">
        <f>INDEX(Categories!$AH:$AH,MATCH(C164,Categories!$A:$A,0))</f>
        <v>37853.452052499997</v>
      </c>
      <c r="Z164" s="3">
        <f>IF(AND(D164="F",Q164&lt;Y164,INDEX(Categories!$AI:$AI,MATCH(C164,Categories!$A:$A,0))&gt;0),1,0)</f>
        <v>0</v>
      </c>
      <c r="AA164" s="4">
        <f t="shared" si="120"/>
        <v>0</v>
      </c>
      <c r="AB164" s="4">
        <f>IF(Z164=1,INDEX(Categories!$AI:$AI,MATCH(C164,Categories!$A:$A,0))*AA164/INDEX(Categories!$AJ:$AJ,MATCH(C164,Categories!$A:$A,0)),0)</f>
        <v>0</v>
      </c>
      <c r="AC164" s="4">
        <f t="shared" si="121"/>
        <v>0</v>
      </c>
      <c r="AD164" s="4">
        <f t="shared" si="122"/>
        <v>48769.2</v>
      </c>
      <c r="AE164" s="3">
        <f t="shared" si="123"/>
        <v>0</v>
      </c>
      <c r="AF164" s="3">
        <f t="shared" si="124"/>
        <v>151</v>
      </c>
      <c r="AG164" s="3">
        <f t="shared" si="125"/>
        <v>12</v>
      </c>
      <c r="AH164" s="3">
        <f t="shared" si="126"/>
        <v>1</v>
      </c>
      <c r="AI164" s="5">
        <f t="shared" si="127"/>
        <v>1.0602</v>
      </c>
      <c r="AJ164" s="3">
        <f>MATCH(AI164,Inputs!$B$31:$B$34,1)</f>
        <v>3</v>
      </c>
      <c r="AK164" s="5">
        <f>INDEX(Inputs!$C$21:$C$25,MATCH(F164,Inputs!$A$21:$A$25,0))</f>
        <v>1</v>
      </c>
      <c r="AL164" s="5">
        <f>INDEX(Inputs!$D$21:$D$25,MATCH(F164,Inputs!$A$21:$A$25,0))</f>
        <v>0</v>
      </c>
      <c r="AM164" s="4">
        <f t="shared" si="128"/>
        <v>46000</v>
      </c>
      <c r="AN164" s="4">
        <f t="shared" si="129"/>
        <v>0</v>
      </c>
      <c r="AO164" s="3">
        <f t="shared" si="130"/>
        <v>1</v>
      </c>
      <c r="AP164" s="4">
        <f t="shared" si="131"/>
        <v>14630.759999999998</v>
      </c>
      <c r="AQ164" s="4">
        <f t="shared" si="132"/>
        <v>0</v>
      </c>
      <c r="AR164" s="4">
        <f t="shared" si="133"/>
        <v>0</v>
      </c>
      <c r="AS164" s="3">
        <f t="shared" si="134"/>
        <v>0</v>
      </c>
      <c r="AT164" s="4">
        <f t="shared" si="135"/>
        <v>0</v>
      </c>
      <c r="AU164" s="4">
        <f t="shared" si="136"/>
        <v>4830.8000000000029</v>
      </c>
      <c r="AV164" s="4">
        <f t="shared" si="137"/>
        <v>0</v>
      </c>
      <c r="AW164" s="4">
        <f t="shared" si="138"/>
        <v>0</v>
      </c>
      <c r="AX164" s="5">
        <f t="shared" si="139"/>
        <v>0</v>
      </c>
      <c r="AY164" s="4">
        <f t="shared" si="140"/>
        <v>48769.2</v>
      </c>
      <c r="AZ164" s="3">
        <f t="shared" si="141"/>
        <v>0</v>
      </c>
      <c r="BA164" s="4">
        <f t="shared" si="142"/>
        <v>51124.752359999999</v>
      </c>
      <c r="BB164" s="4">
        <f t="shared" si="143"/>
        <v>16436.607883739998</v>
      </c>
      <c r="BC164" s="4">
        <f t="shared" si="144"/>
        <v>51124.752359999999</v>
      </c>
      <c r="BD164" s="4">
        <f t="shared" si="145"/>
        <v>16436.607883739998</v>
      </c>
      <c r="BE164" s="4">
        <f t="shared" si="146"/>
        <v>51124.752359999999</v>
      </c>
      <c r="BF164" s="4">
        <f t="shared" si="147"/>
        <v>16436.607883739998</v>
      </c>
      <c r="BG164" s="4">
        <f t="shared" si="148"/>
        <v>0</v>
      </c>
      <c r="BH164" s="4">
        <f t="shared" si="149"/>
        <v>0</v>
      </c>
      <c r="BI164" s="4">
        <f t="shared" si="150"/>
        <v>0</v>
      </c>
      <c r="BJ164" s="4">
        <f t="shared" si="151"/>
        <v>0</v>
      </c>
      <c r="BK164" s="4">
        <f t="shared" si="152"/>
        <v>0</v>
      </c>
      <c r="BL164" s="4">
        <f t="shared" si="153"/>
        <v>0</v>
      </c>
      <c r="BM164" s="4">
        <f t="shared" si="154"/>
        <v>48769.2</v>
      </c>
      <c r="BN164" s="4">
        <f t="shared" si="155"/>
        <v>1950.768</v>
      </c>
      <c r="BO164" s="4">
        <f t="shared" si="156"/>
        <v>1950.768</v>
      </c>
      <c r="BP164" s="4">
        <f t="shared" si="157"/>
        <v>94.222094400000003</v>
      </c>
      <c r="BQ164" s="4">
        <f t="shared" si="158"/>
        <v>53169.742454399995</v>
      </c>
      <c r="BR164" s="4">
        <f t="shared" si="159"/>
        <v>17094.072199089598</v>
      </c>
      <c r="BS164" s="4">
        <f t="shared" si="160"/>
        <v>657.46431534959993</v>
      </c>
      <c r="BT164" s="4">
        <f t="shared" si="161"/>
        <v>51124.752359999999</v>
      </c>
      <c r="BU164" s="4">
        <f t="shared" si="162"/>
        <v>51124.752359999999</v>
      </c>
      <c r="BV164" s="7">
        <f t="shared" si="163"/>
        <v>306748.51416000002</v>
      </c>
      <c r="BW164" s="7">
        <f t="shared" si="164"/>
        <v>644150.88394447637</v>
      </c>
    </row>
    <row r="165" spans="1:75" x14ac:dyDescent="0.3">
      <c r="A165" s="3">
        <f t="shared" si="110"/>
        <v>161</v>
      </c>
      <c r="B165" t="str">
        <f>INDEX(Employees!$A:$A,A165+1)</f>
        <v>E161</v>
      </c>
      <c r="C165" t="str">
        <f>INDEX(Employees!$A:$Z,MATCH(B165,Employees!$A:$A,0),MATCH("category",Employees!$1:$1,0))</f>
        <v>Customer Support</v>
      </c>
      <c r="D165" t="str">
        <f>INDEX(Employees!$A:$Z,MATCH(B165,Employees!$A:$A,0),MATCH("gender",Employees!$1:$1,0))</f>
        <v>M</v>
      </c>
      <c r="E165" s="3">
        <f>INDEX(Employees!$A:$Z,MATCH(B165,Employees!$A:$A,0),MATCH("grade",Employees!$1:$1,0))</f>
        <v>6</v>
      </c>
      <c r="F165" s="3">
        <f>INDEX(Employees!$A:$Z,MATCH(B165,Employees!$A:$A,0),MATCH("rating",Employees!$1:$1,0))</f>
        <v>5</v>
      </c>
      <c r="G165" s="22">
        <f>INDEX(Employees!$A:$Z,MATCH(B165,Employees!$A:$A,0),MATCH("hire_date",Employees!$1:$1,0))</f>
        <v>43337</v>
      </c>
      <c r="H165" s="22">
        <f>INDEX(Employees!$A:$Z,MATCH(B165,Employees!$A:$A,0),MATCH("last_change_date",Employees!$1:$1,0))</f>
        <v>46113</v>
      </c>
      <c r="I165" s="4">
        <f>INDEX(Employees!$A:$Z,MATCH(B165,Employees!$A:$A,0),MATCH("base_salary",Employees!$1:$1,0))</f>
        <v>48810.1</v>
      </c>
      <c r="J165" s="5">
        <f>INDEX(Employees!$A:$Z,MATCH(B165,Employees!$A:$A,0),MATCH("bonus_pct",Employees!$1:$1,0))/100</f>
        <v>4.8099999999999997E-2</v>
      </c>
      <c r="K165" s="7">
        <f>INDEX(Employees!$A:$Z,MATCH(B165,Employees!$A:$A,0),MATCH("fte",Employees!$1:$1,0))</f>
        <v>1</v>
      </c>
      <c r="L165" s="3">
        <f>IF(ISNA(MATCH(C165&amp;"|"&amp;E165,Bands!$F:$F,0)),0,1)</f>
        <v>1</v>
      </c>
      <c r="M165" s="4">
        <f>INDEX(Bands!$C:$C,MATCH(C165&amp;"|"&amp;E165,Bands!$F:$F,0))</f>
        <v>38300</v>
      </c>
      <c r="N165" s="4">
        <f>INDEX(Bands!$D:$D,MATCH(C165&amp;"|"&amp;E165,Bands!$F:$F,0))</f>
        <v>46000</v>
      </c>
      <c r="O165" s="4">
        <f>INDEX(Bands!$E:$E,MATCH(C165&amp;"|"&amp;E165,Bands!$F:$F,0))</f>
        <v>53600</v>
      </c>
      <c r="P165" s="7">
        <f t="shared" si="111"/>
        <v>8.5995893223819309</v>
      </c>
      <c r="Q165" s="4">
        <f t="shared" si="112"/>
        <v>51157.865810000003</v>
      </c>
      <c r="R165" s="7">
        <f t="shared" si="113"/>
        <v>36</v>
      </c>
      <c r="S165" s="7">
        <f t="shared" si="114"/>
        <v>73.952936513625318</v>
      </c>
      <c r="T165" s="7">
        <f t="shared" si="115"/>
        <v>51.597535934291585</v>
      </c>
      <c r="U165" s="7">
        <f t="shared" si="116"/>
        <v>306947.19486000005</v>
      </c>
      <c r="V165" s="7">
        <f t="shared" si="117"/>
        <v>439936.63657552365</v>
      </c>
      <c r="W165" s="4">
        <f t="shared" si="118"/>
        <v>51157.87</v>
      </c>
      <c r="X165" s="3">
        <f t="shared" si="119"/>
        <v>29</v>
      </c>
      <c r="Y165" s="4">
        <f>INDEX(Categories!$AH:$AH,MATCH(C165,Categories!$A:$A,0))</f>
        <v>37853.452052499997</v>
      </c>
      <c r="Z165" s="3">
        <f>IF(AND(D165="F",Q165&lt;Y165,INDEX(Categories!$AI:$AI,MATCH(C165,Categories!$A:$A,0))&gt;0),1,0)</f>
        <v>0</v>
      </c>
      <c r="AA165" s="4">
        <f t="shared" si="120"/>
        <v>0</v>
      </c>
      <c r="AB165" s="4">
        <f>IF(Z165=1,INDEX(Categories!$AI:$AI,MATCH(C165,Categories!$A:$A,0))*AA165/INDEX(Categories!$AJ:$AJ,MATCH(C165,Categories!$A:$A,0)),0)</f>
        <v>0</v>
      </c>
      <c r="AC165" s="4">
        <f t="shared" si="121"/>
        <v>0</v>
      </c>
      <c r="AD165" s="4">
        <f t="shared" si="122"/>
        <v>48810.1</v>
      </c>
      <c r="AE165" s="3">
        <f t="shared" si="123"/>
        <v>0</v>
      </c>
      <c r="AF165" s="3">
        <f t="shared" si="124"/>
        <v>103</v>
      </c>
      <c r="AG165" s="3">
        <f t="shared" si="125"/>
        <v>12</v>
      </c>
      <c r="AH165" s="3">
        <f t="shared" si="126"/>
        <v>1</v>
      </c>
      <c r="AI165" s="5">
        <f t="shared" si="127"/>
        <v>1.0610891304347825</v>
      </c>
      <c r="AJ165" s="3">
        <f>MATCH(AI165,Inputs!$B$31:$B$34,1)</f>
        <v>3</v>
      </c>
      <c r="AK165" s="5">
        <f>INDEX(Inputs!$C$21:$C$25,MATCH(F165,Inputs!$A$21:$A$25,0))</f>
        <v>1.1000000000000001</v>
      </c>
      <c r="AL165" s="5">
        <f>INDEX(Inputs!$D$21:$D$25,MATCH(F165,Inputs!$A$21:$A$25,0))</f>
        <v>0.02</v>
      </c>
      <c r="AM165" s="4">
        <f t="shared" si="128"/>
        <v>50600.000000000007</v>
      </c>
      <c r="AN165" s="4">
        <f t="shared" si="129"/>
        <v>1789.9000000000087</v>
      </c>
      <c r="AO165" s="3">
        <f t="shared" si="130"/>
        <v>1</v>
      </c>
      <c r="AP165" s="4">
        <f t="shared" si="131"/>
        <v>14643.029999999999</v>
      </c>
      <c r="AQ165" s="4">
        <f t="shared" si="132"/>
        <v>976.202</v>
      </c>
      <c r="AR165" s="4">
        <f t="shared" si="133"/>
        <v>1789.9000000000087</v>
      </c>
      <c r="AS165" s="3">
        <f t="shared" si="134"/>
        <v>0</v>
      </c>
      <c r="AT165" s="4">
        <f t="shared" si="135"/>
        <v>1789.9000000000087</v>
      </c>
      <c r="AU165" s="4">
        <f t="shared" si="136"/>
        <v>4789.9000000000015</v>
      </c>
      <c r="AV165" s="4">
        <f t="shared" si="137"/>
        <v>1789.9000000000087</v>
      </c>
      <c r="AW165" s="4">
        <f t="shared" si="138"/>
        <v>1789.9000000000087</v>
      </c>
      <c r="AX165" s="5">
        <f t="shared" si="139"/>
        <v>3.6670689058207397E-2</v>
      </c>
      <c r="AY165" s="4">
        <f t="shared" si="140"/>
        <v>50600.000000000007</v>
      </c>
      <c r="AZ165" s="3">
        <f t="shared" si="141"/>
        <v>0</v>
      </c>
      <c r="BA165" s="4">
        <f t="shared" si="142"/>
        <v>51157.865810000003</v>
      </c>
      <c r="BB165" s="4">
        <f t="shared" si="143"/>
        <v>16447.253857915002</v>
      </c>
      <c r="BC165" s="4">
        <f t="shared" si="144"/>
        <v>51157.865810000003</v>
      </c>
      <c r="BD165" s="4">
        <f t="shared" si="145"/>
        <v>16447.253857915002</v>
      </c>
      <c r="BE165" s="4">
        <f t="shared" si="146"/>
        <v>53033.860000000008</v>
      </c>
      <c r="BF165" s="4">
        <f t="shared" si="147"/>
        <v>17050.385990000002</v>
      </c>
      <c r="BG165" s="4">
        <f t="shared" si="148"/>
        <v>0</v>
      </c>
      <c r="BH165" s="4">
        <f t="shared" si="149"/>
        <v>0</v>
      </c>
      <c r="BI165" s="4">
        <f t="shared" si="150"/>
        <v>0</v>
      </c>
      <c r="BJ165" s="4">
        <f t="shared" si="151"/>
        <v>1789.9000000000087</v>
      </c>
      <c r="BK165" s="4">
        <f t="shared" si="152"/>
        <v>86.09419000000041</v>
      </c>
      <c r="BL165" s="4">
        <f t="shared" si="153"/>
        <v>603.13213208500019</v>
      </c>
      <c r="BM165" s="4">
        <f t="shared" si="154"/>
        <v>48810.1</v>
      </c>
      <c r="BN165" s="4">
        <f t="shared" si="155"/>
        <v>1952.404</v>
      </c>
      <c r="BO165" s="4">
        <f t="shared" si="156"/>
        <v>1952.404</v>
      </c>
      <c r="BP165" s="4">
        <f t="shared" si="157"/>
        <v>93.910632399999997</v>
      </c>
      <c r="BQ165" s="4">
        <f t="shared" si="158"/>
        <v>53204.1804424</v>
      </c>
      <c r="BR165" s="4">
        <f t="shared" si="159"/>
        <v>17105.144012231602</v>
      </c>
      <c r="BS165" s="4">
        <f t="shared" si="160"/>
        <v>657.89015431659936</v>
      </c>
      <c r="BT165" s="4">
        <f t="shared" si="161"/>
        <v>51157.865810000003</v>
      </c>
      <c r="BU165" s="4">
        <f t="shared" si="162"/>
        <v>53033.860000000008</v>
      </c>
      <c r="BV165" s="7">
        <f t="shared" si="163"/>
        <v>318203.16000000003</v>
      </c>
      <c r="BW165" s="7">
        <f t="shared" si="164"/>
        <v>456069.41618069826</v>
      </c>
    </row>
    <row r="166" spans="1:75" x14ac:dyDescent="0.3">
      <c r="A166" s="3">
        <f t="shared" si="110"/>
        <v>162</v>
      </c>
      <c r="B166" t="str">
        <f>INDEX(Employees!$A:$A,A166+1)</f>
        <v>E162</v>
      </c>
      <c r="C166" t="str">
        <f>INDEX(Employees!$A:$Z,MATCH(B166,Employees!$A:$A,0),MATCH("category",Employees!$1:$1,0))</f>
        <v>Customer Support</v>
      </c>
      <c r="D166" t="str">
        <f>INDEX(Employees!$A:$Z,MATCH(B166,Employees!$A:$A,0),MATCH("gender",Employees!$1:$1,0))</f>
        <v>F</v>
      </c>
      <c r="E166" s="3">
        <f>INDEX(Employees!$A:$Z,MATCH(B166,Employees!$A:$A,0),MATCH("grade",Employees!$1:$1,0))</f>
        <v>3</v>
      </c>
      <c r="F166" s="3">
        <f>INDEX(Employees!$A:$Z,MATCH(B166,Employees!$A:$A,0),MATCH("rating",Employees!$1:$1,0))</f>
        <v>2</v>
      </c>
      <c r="G166" s="22">
        <f>INDEX(Employees!$A:$Z,MATCH(B166,Employees!$A:$A,0),MATCH("hire_date",Employees!$1:$1,0))</f>
        <v>44907</v>
      </c>
      <c r="H166" s="22">
        <f>INDEX(Employees!$A:$Z,MATCH(B166,Employees!$A:$A,0),MATCH("last_change_date",Employees!$1:$1,0))</f>
        <v>46113</v>
      </c>
      <c r="I166" s="4">
        <f>INDEX(Employees!$A:$Z,MATCH(B166,Employees!$A:$A,0),MATCH("base_salary",Employees!$1:$1,0))</f>
        <v>28505.19</v>
      </c>
      <c r="J166" s="5">
        <f>INDEX(Employees!$A:$Z,MATCH(B166,Employees!$A:$A,0),MATCH("bonus_pct",Employees!$1:$1,0))/100</f>
        <v>5.6600000000000004E-2</v>
      </c>
      <c r="K166" s="7">
        <f>INDEX(Employees!$A:$Z,MATCH(B166,Employees!$A:$A,0),MATCH("fte",Employees!$1:$1,0))</f>
        <v>1</v>
      </c>
      <c r="L166" s="3">
        <f>IF(ISNA(MATCH(C166&amp;"|"&amp;E166,Bands!$F:$F,0)),0,1)</f>
        <v>1</v>
      </c>
      <c r="M166" s="4">
        <f>INDEX(Bands!$C:$C,MATCH(C166&amp;"|"&amp;E166,Bands!$F:$F,0))</f>
        <v>25700</v>
      </c>
      <c r="N166" s="4">
        <f>INDEX(Bands!$D:$D,MATCH(C166&amp;"|"&amp;E166,Bands!$F:$F,0))</f>
        <v>29500</v>
      </c>
      <c r="O166" s="4">
        <f>INDEX(Bands!$E:$E,MATCH(C166&amp;"|"&amp;E166,Bands!$F:$F,0))</f>
        <v>33400</v>
      </c>
      <c r="P166" s="7">
        <f t="shared" si="111"/>
        <v>4.301163586584531</v>
      </c>
      <c r="Q166" s="4">
        <f t="shared" si="112"/>
        <v>30118.583753999999</v>
      </c>
      <c r="R166" s="7">
        <f t="shared" si="113"/>
        <v>9</v>
      </c>
      <c r="S166" s="7">
        <f t="shared" si="114"/>
        <v>18.500008198560707</v>
      </c>
      <c r="T166" s="7">
        <f t="shared" si="115"/>
        <v>12.903490759753593</v>
      </c>
      <c r="U166" s="7">
        <f t="shared" si="116"/>
        <v>90355.751262000005</v>
      </c>
      <c r="V166" s="7">
        <f t="shared" si="117"/>
        <v>129544.95572220122</v>
      </c>
      <c r="W166" s="4">
        <f t="shared" si="118"/>
        <v>30118.58</v>
      </c>
      <c r="X166" s="3">
        <f t="shared" si="119"/>
        <v>5</v>
      </c>
      <c r="Y166" s="4">
        <f>INDEX(Categories!$AH:$AH,MATCH(C166,Categories!$A:$A,0))</f>
        <v>37853.452052499997</v>
      </c>
      <c r="Z166" s="3">
        <f>IF(AND(D166="F",Q166&lt;Y166,INDEX(Categories!$AI:$AI,MATCH(C166,Categories!$A:$A,0))&gt;0),1,0)</f>
        <v>1</v>
      </c>
      <c r="AA166" s="4">
        <f t="shared" si="120"/>
        <v>7734.8682984999978</v>
      </c>
      <c r="AB166" s="4">
        <f>IF(Z166=1,INDEX(Categories!$AI:$AI,MATCH(C166,Categories!$A:$A,0))*AA166/INDEX(Categories!$AJ:$AJ,MATCH(C166,Categories!$A:$A,0)),0)</f>
        <v>1843.364839793385</v>
      </c>
      <c r="AC166" s="4">
        <f t="shared" si="121"/>
        <v>1744.6193827308207</v>
      </c>
      <c r="AD166" s="4">
        <f t="shared" si="122"/>
        <v>30249.809382730818</v>
      </c>
      <c r="AE166" s="3">
        <f t="shared" si="123"/>
        <v>0</v>
      </c>
      <c r="AF166" s="3">
        <f t="shared" si="124"/>
        <v>51</v>
      </c>
      <c r="AG166" s="3">
        <f t="shared" si="125"/>
        <v>12</v>
      </c>
      <c r="AH166" s="3">
        <f t="shared" si="126"/>
        <v>1</v>
      </c>
      <c r="AI166" s="5">
        <f t="shared" si="127"/>
        <v>1.0254172672112143</v>
      </c>
      <c r="AJ166" s="3">
        <f>MATCH(AI166,Inputs!$B$31:$B$34,1)</f>
        <v>3</v>
      </c>
      <c r="AK166" s="5">
        <f>INDEX(Inputs!$C$21:$C$25,MATCH(F166,Inputs!$A$21:$A$25,0))</f>
        <v>0.95</v>
      </c>
      <c r="AL166" s="5">
        <f>INDEX(Inputs!$D$21:$D$25,MATCH(F166,Inputs!$A$21:$A$25,0))</f>
        <v>0</v>
      </c>
      <c r="AM166" s="4">
        <f t="shared" si="128"/>
        <v>28025</v>
      </c>
      <c r="AN166" s="4">
        <f t="shared" si="129"/>
        <v>0</v>
      </c>
      <c r="AO166" s="3">
        <f t="shared" si="130"/>
        <v>1</v>
      </c>
      <c r="AP166" s="4">
        <f t="shared" si="131"/>
        <v>9074.9428148192455</v>
      </c>
      <c r="AQ166" s="4">
        <f t="shared" si="132"/>
        <v>0</v>
      </c>
      <c r="AR166" s="4">
        <f t="shared" si="133"/>
        <v>0</v>
      </c>
      <c r="AS166" s="3">
        <f t="shared" si="134"/>
        <v>0</v>
      </c>
      <c r="AT166" s="4">
        <f t="shared" si="135"/>
        <v>0</v>
      </c>
      <c r="AU166" s="4">
        <f t="shared" si="136"/>
        <v>3150.1906172691815</v>
      </c>
      <c r="AV166" s="4">
        <f t="shared" si="137"/>
        <v>0</v>
      </c>
      <c r="AW166" s="4">
        <f t="shared" si="138"/>
        <v>0</v>
      </c>
      <c r="AX166" s="5">
        <f t="shared" si="139"/>
        <v>0</v>
      </c>
      <c r="AY166" s="4">
        <f t="shared" si="140"/>
        <v>30249.809382730818</v>
      </c>
      <c r="AZ166" s="3">
        <f t="shared" si="141"/>
        <v>0</v>
      </c>
      <c r="BA166" s="4">
        <f t="shared" si="142"/>
        <v>30118.583753999999</v>
      </c>
      <c r="BB166" s="4">
        <f t="shared" si="143"/>
        <v>9683.1246769110003</v>
      </c>
      <c r="BC166" s="4">
        <f t="shared" si="144"/>
        <v>31961.948593793382</v>
      </c>
      <c r="BD166" s="4">
        <f t="shared" si="145"/>
        <v>10275.766472904572</v>
      </c>
      <c r="BE166" s="4">
        <f t="shared" si="146"/>
        <v>31961.948593793382</v>
      </c>
      <c r="BF166" s="4">
        <f t="shared" si="147"/>
        <v>10275.766472904572</v>
      </c>
      <c r="BG166" s="4">
        <f t="shared" si="148"/>
        <v>1744.6193827308207</v>
      </c>
      <c r="BH166" s="4">
        <f t="shared" si="149"/>
        <v>98.745457062564455</v>
      </c>
      <c r="BI166" s="4">
        <f t="shared" si="150"/>
        <v>592.64179599357158</v>
      </c>
      <c r="BJ166" s="4">
        <f t="shared" si="151"/>
        <v>0</v>
      </c>
      <c r="BK166" s="4">
        <f t="shared" si="152"/>
        <v>0</v>
      </c>
      <c r="BL166" s="4">
        <f t="shared" si="153"/>
        <v>0</v>
      </c>
      <c r="BM166" s="4">
        <f t="shared" si="154"/>
        <v>30249.809382730818</v>
      </c>
      <c r="BN166" s="4">
        <f t="shared" si="155"/>
        <v>1209.9923753092328</v>
      </c>
      <c r="BO166" s="4">
        <f t="shared" si="156"/>
        <v>1209.9923753092328</v>
      </c>
      <c r="BP166" s="4">
        <f t="shared" si="157"/>
        <v>68.485568442502583</v>
      </c>
      <c r="BQ166" s="4">
        <f t="shared" si="158"/>
        <v>33240.426537545121</v>
      </c>
      <c r="BR166" s="4">
        <f t="shared" si="159"/>
        <v>10686.797131820756</v>
      </c>
      <c r="BS166" s="4">
        <f t="shared" si="160"/>
        <v>411.03065891618462</v>
      </c>
      <c r="BT166" s="4">
        <f t="shared" si="161"/>
        <v>31961.948593793382</v>
      </c>
      <c r="BU166" s="4">
        <f t="shared" si="162"/>
        <v>31961.948593793382</v>
      </c>
      <c r="BV166" s="7">
        <f t="shared" si="163"/>
        <v>95885.845781380151</v>
      </c>
      <c r="BW166" s="7">
        <f t="shared" si="164"/>
        <v>137473.56944791076</v>
      </c>
    </row>
    <row r="167" spans="1:75" x14ac:dyDescent="0.3">
      <c r="A167" s="3">
        <f t="shared" si="110"/>
        <v>163</v>
      </c>
      <c r="B167" t="str">
        <f>INDEX(Employees!$A:$A,A167+1)</f>
        <v>E163</v>
      </c>
      <c r="C167" t="str">
        <f>INDEX(Employees!$A:$Z,MATCH(B167,Employees!$A:$A,0),MATCH("category",Employees!$1:$1,0))</f>
        <v>Customer Support</v>
      </c>
      <c r="D167" t="str">
        <f>INDEX(Employees!$A:$Z,MATCH(B167,Employees!$A:$A,0),MATCH("gender",Employees!$1:$1,0))</f>
        <v>F</v>
      </c>
      <c r="E167" s="3">
        <f>INDEX(Employees!$A:$Z,MATCH(B167,Employees!$A:$A,0),MATCH("grade",Employees!$1:$1,0))</f>
        <v>5</v>
      </c>
      <c r="F167" s="3">
        <f>INDEX(Employees!$A:$Z,MATCH(B167,Employees!$A:$A,0),MATCH("rating",Employees!$1:$1,0))</f>
        <v>5</v>
      </c>
      <c r="G167" s="22">
        <f>INDEX(Employees!$A:$Z,MATCH(B167,Employees!$A:$A,0),MATCH("hire_date",Employees!$1:$1,0))</f>
        <v>43227</v>
      </c>
      <c r="H167" s="22">
        <f>INDEX(Employees!$A:$Z,MATCH(B167,Employees!$A:$A,0),MATCH("last_change_date",Employees!$1:$1,0))</f>
        <v>46113</v>
      </c>
      <c r="I167" s="4">
        <f>INDEX(Employees!$A:$Z,MATCH(B167,Employees!$A:$A,0),MATCH("base_salary",Employees!$1:$1,0))</f>
        <v>41073.199999999997</v>
      </c>
      <c r="J167" s="5">
        <f>INDEX(Employees!$A:$Z,MATCH(B167,Employees!$A:$A,0),MATCH("bonus_pct",Employees!$1:$1,0))/100</f>
        <v>0.05</v>
      </c>
      <c r="K167" s="7">
        <f>INDEX(Employees!$A:$Z,MATCH(B167,Employees!$A:$A,0),MATCH("fte",Employees!$1:$1,0))</f>
        <v>0.5</v>
      </c>
      <c r="L167" s="3">
        <f>IF(ISNA(MATCH(C167&amp;"|"&amp;E167,Bands!$F:$F,0)),0,1)</f>
        <v>1</v>
      </c>
      <c r="M167" s="4">
        <f>INDEX(Bands!$C:$C,MATCH(C167&amp;"|"&amp;E167,Bands!$F:$F,0))</f>
        <v>34500</v>
      </c>
      <c r="N167" s="4">
        <f>INDEX(Bands!$D:$D,MATCH(C167&amp;"|"&amp;E167,Bands!$F:$F,0))</f>
        <v>39700</v>
      </c>
      <c r="O167" s="4">
        <f>INDEX(Bands!$E:$E,MATCH(C167&amp;"|"&amp;E167,Bands!$F:$F,0))</f>
        <v>44900</v>
      </c>
      <c r="P167" s="7">
        <f t="shared" si="111"/>
        <v>8.9007529089664619</v>
      </c>
      <c r="Q167" s="4">
        <f t="shared" si="112"/>
        <v>43126.86</v>
      </c>
      <c r="R167" s="7">
        <f t="shared" si="113"/>
        <v>25</v>
      </c>
      <c r="S167" s="7">
        <f t="shared" si="114"/>
        <v>79.223402346474927</v>
      </c>
      <c r="T167" s="7">
        <f t="shared" si="115"/>
        <v>44.503764544832308</v>
      </c>
      <c r="U167" s="7">
        <f t="shared" si="116"/>
        <v>215634.3</v>
      </c>
      <c r="V167" s="7">
        <f t="shared" si="117"/>
        <v>383861.52459958935</v>
      </c>
      <c r="W167" s="4">
        <f t="shared" si="118"/>
        <v>43126.86</v>
      </c>
      <c r="X167" s="3">
        <f t="shared" si="119"/>
        <v>21</v>
      </c>
      <c r="Y167" s="4">
        <f>INDEX(Categories!$AH:$AH,MATCH(C167,Categories!$A:$A,0))</f>
        <v>37853.452052499997</v>
      </c>
      <c r="Z167" s="3">
        <f>IF(AND(D167="F",Q167&lt;Y167,INDEX(Categories!$AI:$AI,MATCH(C167,Categories!$A:$A,0))&gt;0),1,0)</f>
        <v>0</v>
      </c>
      <c r="AA167" s="4">
        <f t="shared" si="120"/>
        <v>0</v>
      </c>
      <c r="AB167" s="4">
        <f>IF(Z167=1,INDEX(Categories!$AI:$AI,MATCH(C167,Categories!$A:$A,0))*AA167/INDEX(Categories!$AJ:$AJ,MATCH(C167,Categories!$A:$A,0)),0)</f>
        <v>0</v>
      </c>
      <c r="AC167" s="4">
        <f t="shared" si="121"/>
        <v>0</v>
      </c>
      <c r="AD167" s="4">
        <f t="shared" si="122"/>
        <v>41073.199999999997</v>
      </c>
      <c r="AE167" s="3">
        <f t="shared" si="123"/>
        <v>0</v>
      </c>
      <c r="AF167" s="3">
        <f t="shared" si="124"/>
        <v>106</v>
      </c>
      <c r="AG167" s="3">
        <f t="shared" si="125"/>
        <v>12</v>
      </c>
      <c r="AH167" s="3">
        <f t="shared" si="126"/>
        <v>1</v>
      </c>
      <c r="AI167" s="5">
        <f t="shared" si="127"/>
        <v>1.0345894206549118</v>
      </c>
      <c r="AJ167" s="3">
        <f>MATCH(AI167,Inputs!$B$31:$B$34,1)</f>
        <v>3</v>
      </c>
      <c r="AK167" s="5">
        <f>INDEX(Inputs!$C$21:$C$25,MATCH(F167,Inputs!$A$21:$A$25,0))</f>
        <v>1.1000000000000001</v>
      </c>
      <c r="AL167" s="5">
        <f>INDEX(Inputs!$D$21:$D$25,MATCH(F167,Inputs!$A$21:$A$25,0))</f>
        <v>0.02</v>
      </c>
      <c r="AM167" s="4">
        <f t="shared" si="128"/>
        <v>43670</v>
      </c>
      <c r="AN167" s="4">
        <f t="shared" si="129"/>
        <v>2596.8000000000029</v>
      </c>
      <c r="AO167" s="3">
        <f t="shared" si="130"/>
        <v>1</v>
      </c>
      <c r="AP167" s="4">
        <f t="shared" si="131"/>
        <v>12321.96</v>
      </c>
      <c r="AQ167" s="4">
        <f t="shared" si="132"/>
        <v>821.46399999999994</v>
      </c>
      <c r="AR167" s="4">
        <f t="shared" si="133"/>
        <v>2596.8000000000029</v>
      </c>
      <c r="AS167" s="3">
        <f t="shared" si="134"/>
        <v>0</v>
      </c>
      <c r="AT167" s="4">
        <f t="shared" si="135"/>
        <v>2596.8000000000029</v>
      </c>
      <c r="AU167" s="4">
        <f t="shared" si="136"/>
        <v>3826.8000000000029</v>
      </c>
      <c r="AV167" s="4">
        <f t="shared" si="137"/>
        <v>2596.8000000000029</v>
      </c>
      <c r="AW167" s="4">
        <f t="shared" si="138"/>
        <v>2596.8000000000029</v>
      </c>
      <c r="AX167" s="5">
        <f t="shared" si="139"/>
        <v>6.322370791659776E-2</v>
      </c>
      <c r="AY167" s="4">
        <f t="shared" si="140"/>
        <v>43670</v>
      </c>
      <c r="AZ167" s="3">
        <f t="shared" si="141"/>
        <v>0</v>
      </c>
      <c r="BA167" s="4">
        <f t="shared" si="142"/>
        <v>21563.43</v>
      </c>
      <c r="BB167" s="4">
        <f t="shared" si="143"/>
        <v>6932.6427450000001</v>
      </c>
      <c r="BC167" s="4">
        <f t="shared" si="144"/>
        <v>21563.43</v>
      </c>
      <c r="BD167" s="4">
        <f t="shared" si="145"/>
        <v>6932.6427450000001</v>
      </c>
      <c r="BE167" s="4">
        <f t="shared" si="146"/>
        <v>22926.75</v>
      </c>
      <c r="BF167" s="4">
        <f t="shared" si="147"/>
        <v>7370.9501250000003</v>
      </c>
      <c r="BG167" s="4">
        <f t="shared" si="148"/>
        <v>0</v>
      </c>
      <c r="BH167" s="4">
        <f t="shared" si="149"/>
        <v>0</v>
      </c>
      <c r="BI167" s="4">
        <f t="shared" si="150"/>
        <v>0</v>
      </c>
      <c r="BJ167" s="4">
        <f t="shared" si="151"/>
        <v>1298.4000000000015</v>
      </c>
      <c r="BK167" s="4">
        <f t="shared" si="152"/>
        <v>64.920000000000073</v>
      </c>
      <c r="BL167" s="4">
        <f t="shared" si="153"/>
        <v>438.30738000000019</v>
      </c>
      <c r="BM167" s="4">
        <f t="shared" si="154"/>
        <v>20536.599999999999</v>
      </c>
      <c r="BN167" s="4">
        <f t="shared" si="155"/>
        <v>1642.9279999999999</v>
      </c>
      <c r="BO167" s="4">
        <f t="shared" si="156"/>
        <v>821.46399999999994</v>
      </c>
      <c r="BP167" s="4">
        <f t="shared" si="157"/>
        <v>41.0732</v>
      </c>
      <c r="BQ167" s="4">
        <f t="shared" si="158"/>
        <v>22425.967199999999</v>
      </c>
      <c r="BR167" s="4">
        <f t="shared" si="159"/>
        <v>7209.9484548</v>
      </c>
      <c r="BS167" s="4">
        <f t="shared" si="160"/>
        <v>277.30570979999993</v>
      </c>
      <c r="BT167" s="4">
        <f t="shared" si="161"/>
        <v>43126.86</v>
      </c>
      <c r="BU167" s="4">
        <f t="shared" si="162"/>
        <v>45853.5</v>
      </c>
      <c r="BV167" s="7">
        <f t="shared" si="163"/>
        <v>229267.5</v>
      </c>
      <c r="BW167" s="7">
        <f t="shared" si="164"/>
        <v>408130.67351129366</v>
      </c>
    </row>
    <row r="168" spans="1:75" x14ac:dyDescent="0.3">
      <c r="A168" s="3">
        <f t="shared" si="110"/>
        <v>164</v>
      </c>
      <c r="B168" t="str">
        <f>INDEX(Employees!$A:$A,A168+1)</f>
        <v>E164</v>
      </c>
      <c r="C168" t="str">
        <f>INDEX(Employees!$A:$Z,MATCH(B168,Employees!$A:$A,0),MATCH("category",Employees!$1:$1,0))</f>
        <v>Customer Support</v>
      </c>
      <c r="D168" t="str">
        <f>INDEX(Employees!$A:$Z,MATCH(B168,Employees!$A:$A,0),MATCH("gender",Employees!$1:$1,0))</f>
        <v>M</v>
      </c>
      <c r="E168" s="3">
        <f>INDEX(Employees!$A:$Z,MATCH(B168,Employees!$A:$A,0),MATCH("grade",Employees!$1:$1,0))</f>
        <v>3</v>
      </c>
      <c r="F168" s="3">
        <f>INDEX(Employees!$A:$Z,MATCH(B168,Employees!$A:$A,0),MATCH("rating",Employees!$1:$1,0))</f>
        <v>4</v>
      </c>
      <c r="G168" s="22">
        <f>INDEX(Employees!$A:$Z,MATCH(B168,Employees!$A:$A,0),MATCH("hire_date",Employees!$1:$1,0))</f>
        <v>45967</v>
      </c>
      <c r="H168" s="22">
        <f>INDEX(Employees!$A:$Z,MATCH(B168,Employees!$A:$A,0),MATCH("last_change_date",Employees!$1:$1,0))</f>
        <v>46113</v>
      </c>
      <c r="I168" s="4">
        <f>INDEX(Employees!$A:$Z,MATCH(B168,Employees!$A:$A,0),MATCH("base_salary",Employees!$1:$1,0))</f>
        <v>22587.34</v>
      </c>
      <c r="J168" s="5">
        <f>INDEX(Employees!$A:$Z,MATCH(B168,Employees!$A:$A,0),MATCH("bonus_pct",Employees!$1:$1,0))/100</f>
        <v>4.9699999999999994E-2</v>
      </c>
      <c r="K168" s="7">
        <f>INDEX(Employees!$A:$Z,MATCH(B168,Employees!$A:$A,0),MATCH("fte",Employees!$1:$1,0))</f>
        <v>1</v>
      </c>
      <c r="L168" s="3">
        <f>IF(ISNA(MATCH(C168&amp;"|"&amp;E168,Bands!$F:$F,0)),0,1)</f>
        <v>1</v>
      </c>
      <c r="M168" s="4">
        <f>INDEX(Bands!$C:$C,MATCH(C168&amp;"|"&amp;E168,Bands!$F:$F,0))</f>
        <v>25700</v>
      </c>
      <c r="N168" s="4">
        <f>INDEX(Bands!$D:$D,MATCH(C168&amp;"|"&amp;E168,Bands!$F:$F,0))</f>
        <v>29500</v>
      </c>
      <c r="O168" s="4">
        <f>INDEX(Bands!$E:$E,MATCH(C168&amp;"|"&amp;E168,Bands!$F:$F,0))</f>
        <v>33400</v>
      </c>
      <c r="P168" s="7">
        <f t="shared" si="111"/>
        <v>1.3990417522245038</v>
      </c>
      <c r="Q168" s="4">
        <f t="shared" si="112"/>
        <v>23709.930798000001</v>
      </c>
      <c r="R168" s="7">
        <f t="shared" si="113"/>
        <v>9</v>
      </c>
      <c r="S168" s="7">
        <f t="shared" si="114"/>
        <v>1.9573178244674099</v>
      </c>
      <c r="T168" s="7">
        <f t="shared" si="115"/>
        <v>4.1971252566735116</v>
      </c>
      <c r="U168" s="7">
        <f t="shared" si="116"/>
        <v>71129.792394000004</v>
      </c>
      <c r="V168" s="7">
        <f t="shared" si="117"/>
        <v>33171.183128755649</v>
      </c>
      <c r="W168" s="4">
        <f t="shared" si="118"/>
        <v>23709.93</v>
      </c>
      <c r="X168" s="3">
        <f t="shared" si="119"/>
        <v>1</v>
      </c>
      <c r="Y168" s="4">
        <f>INDEX(Categories!$AH:$AH,MATCH(C168,Categories!$A:$A,0))</f>
        <v>37853.452052499997</v>
      </c>
      <c r="Z168" s="3">
        <f>IF(AND(D168="F",Q168&lt;Y168,INDEX(Categories!$AI:$AI,MATCH(C168,Categories!$A:$A,0))&gt;0),1,0)</f>
        <v>0</v>
      </c>
      <c r="AA168" s="4">
        <f t="shared" si="120"/>
        <v>0</v>
      </c>
      <c r="AB168" s="4">
        <f>IF(Z168=1,INDEX(Categories!$AI:$AI,MATCH(C168,Categories!$A:$A,0))*AA168/INDEX(Categories!$AJ:$AJ,MATCH(C168,Categories!$A:$A,0)),0)</f>
        <v>0</v>
      </c>
      <c r="AC168" s="4">
        <f t="shared" si="121"/>
        <v>0</v>
      </c>
      <c r="AD168" s="4">
        <f t="shared" si="122"/>
        <v>22587.34</v>
      </c>
      <c r="AE168" s="3">
        <f t="shared" si="123"/>
        <v>0</v>
      </c>
      <c r="AF168" s="3">
        <f t="shared" si="124"/>
        <v>16</v>
      </c>
      <c r="AG168" s="3">
        <f t="shared" si="125"/>
        <v>12</v>
      </c>
      <c r="AH168" s="3">
        <f t="shared" si="126"/>
        <v>1</v>
      </c>
      <c r="AI168" s="5">
        <f t="shared" si="127"/>
        <v>0.7656725423728814</v>
      </c>
      <c r="AJ168" s="3">
        <f>MATCH(AI168,Inputs!$B$31:$B$34,1)</f>
        <v>1</v>
      </c>
      <c r="AK168" s="5">
        <f>INDEX(Inputs!$C$21:$C$25,MATCH(F168,Inputs!$A$21:$A$25,0))</f>
        <v>1.05</v>
      </c>
      <c r="AL168" s="5">
        <f>INDEX(Inputs!$D$21:$D$25,MATCH(F168,Inputs!$A$21:$A$25,0))</f>
        <v>0.01</v>
      </c>
      <c r="AM168" s="4">
        <f t="shared" si="128"/>
        <v>30975</v>
      </c>
      <c r="AN168" s="4">
        <f t="shared" si="129"/>
        <v>8387.66</v>
      </c>
      <c r="AO168" s="3">
        <f t="shared" si="130"/>
        <v>1</v>
      </c>
      <c r="AP168" s="4">
        <f t="shared" si="131"/>
        <v>6776.2020000000002</v>
      </c>
      <c r="AQ168" s="4">
        <f t="shared" si="132"/>
        <v>225.8734</v>
      </c>
      <c r="AR168" s="4">
        <f t="shared" si="133"/>
        <v>6776.2020000000002</v>
      </c>
      <c r="AS168" s="3">
        <f t="shared" si="134"/>
        <v>0</v>
      </c>
      <c r="AT168" s="4">
        <f t="shared" si="135"/>
        <v>6776.2020000000002</v>
      </c>
      <c r="AU168" s="4">
        <f t="shared" si="136"/>
        <v>10812.66</v>
      </c>
      <c r="AV168" s="4">
        <f t="shared" si="137"/>
        <v>6776.2020000000002</v>
      </c>
      <c r="AW168" s="4">
        <f t="shared" si="138"/>
        <v>6776.2020000000002</v>
      </c>
      <c r="AX168" s="5">
        <f t="shared" si="139"/>
        <v>0.3</v>
      </c>
      <c r="AY168" s="4">
        <f t="shared" si="140"/>
        <v>29363.542000000001</v>
      </c>
      <c r="AZ168" s="3">
        <f t="shared" si="141"/>
        <v>0</v>
      </c>
      <c r="BA168" s="4">
        <f t="shared" si="142"/>
        <v>23709.930798000001</v>
      </c>
      <c r="BB168" s="4">
        <f t="shared" si="143"/>
        <v>7622.7427515570007</v>
      </c>
      <c r="BC168" s="4">
        <f t="shared" si="144"/>
        <v>23709.930798000001</v>
      </c>
      <c r="BD168" s="4">
        <f t="shared" si="145"/>
        <v>7622.7427515570007</v>
      </c>
      <c r="BE168" s="4">
        <f t="shared" si="146"/>
        <v>30822.910037400005</v>
      </c>
      <c r="BF168" s="4">
        <f t="shared" si="147"/>
        <v>9909.565577024101</v>
      </c>
      <c r="BG168" s="4">
        <f t="shared" si="148"/>
        <v>0</v>
      </c>
      <c r="BH168" s="4">
        <f t="shared" si="149"/>
        <v>0</v>
      </c>
      <c r="BI168" s="4">
        <f t="shared" si="150"/>
        <v>0</v>
      </c>
      <c r="BJ168" s="4">
        <f t="shared" si="151"/>
        <v>6776.2020000000002</v>
      </c>
      <c r="BK168" s="4">
        <f t="shared" si="152"/>
        <v>336.77723939999998</v>
      </c>
      <c r="BL168" s="4">
        <f t="shared" si="153"/>
        <v>2286.8228254671003</v>
      </c>
      <c r="BM168" s="4">
        <f t="shared" si="154"/>
        <v>22587.34</v>
      </c>
      <c r="BN168" s="4">
        <f t="shared" si="155"/>
        <v>903.49360000000001</v>
      </c>
      <c r="BO168" s="4">
        <f t="shared" si="156"/>
        <v>903.49360000000001</v>
      </c>
      <c r="BP168" s="4">
        <f t="shared" si="157"/>
        <v>44.903631919999995</v>
      </c>
      <c r="BQ168" s="4">
        <f t="shared" si="158"/>
        <v>24658.328029920005</v>
      </c>
      <c r="BR168" s="4">
        <f t="shared" si="159"/>
        <v>7927.6524616192819</v>
      </c>
      <c r="BS168" s="4">
        <f t="shared" si="160"/>
        <v>304.90971006228119</v>
      </c>
      <c r="BT168" s="4">
        <f t="shared" si="161"/>
        <v>23709.930798000001</v>
      </c>
      <c r="BU168" s="4">
        <f t="shared" si="162"/>
        <v>30822.910037400005</v>
      </c>
      <c r="BV168" s="7">
        <f t="shared" si="163"/>
        <v>92468.730112200021</v>
      </c>
      <c r="BW168" s="7">
        <f t="shared" si="164"/>
        <v>43122.538067382346</v>
      </c>
    </row>
    <row r="169" spans="1:75" x14ac:dyDescent="0.3">
      <c r="A169" s="3">
        <f t="shared" si="110"/>
        <v>165</v>
      </c>
      <c r="B169" t="str">
        <f>INDEX(Employees!$A:$A,A169+1)</f>
        <v>E165</v>
      </c>
      <c r="C169" t="str">
        <f>INDEX(Employees!$A:$Z,MATCH(B169,Employees!$A:$A,0),MATCH("category",Employees!$1:$1,0))</f>
        <v>Customer Support</v>
      </c>
      <c r="D169" t="str">
        <f>INDEX(Employees!$A:$Z,MATCH(B169,Employees!$A:$A,0),MATCH("gender",Employees!$1:$1,0))</f>
        <v>F</v>
      </c>
      <c r="E169" s="3">
        <f>INDEX(Employees!$A:$Z,MATCH(B169,Employees!$A:$A,0),MATCH("grade",Employees!$1:$1,0))</f>
        <v>3</v>
      </c>
      <c r="F169" s="3">
        <f>INDEX(Employees!$A:$Z,MATCH(B169,Employees!$A:$A,0),MATCH("rating",Employees!$1:$1,0))</f>
        <v>2</v>
      </c>
      <c r="G169" s="22">
        <f>INDEX(Employees!$A:$Z,MATCH(B169,Employees!$A:$A,0),MATCH("hire_date",Employees!$1:$1,0))</f>
        <v>44213</v>
      </c>
      <c r="H169" s="22">
        <f>INDEX(Employees!$A:$Z,MATCH(B169,Employees!$A:$A,0),MATCH("last_change_date",Employees!$1:$1,0))</f>
        <v>46292</v>
      </c>
      <c r="I169" s="4">
        <f>INDEX(Employees!$A:$Z,MATCH(B169,Employees!$A:$A,0),MATCH("base_salary",Employees!$1:$1,0))</f>
        <v>32061.13</v>
      </c>
      <c r="J169" s="5">
        <f>INDEX(Employees!$A:$Z,MATCH(B169,Employees!$A:$A,0),MATCH("bonus_pct",Employees!$1:$1,0))/100</f>
        <v>4.6100000000000002E-2</v>
      </c>
      <c r="K169" s="7">
        <f>INDEX(Employees!$A:$Z,MATCH(B169,Employees!$A:$A,0),MATCH("fte",Employees!$1:$1,0))</f>
        <v>1</v>
      </c>
      <c r="L169" s="3">
        <f>IF(ISNA(MATCH(C169&amp;"|"&amp;E169,Bands!$F:$F,0)),0,1)</f>
        <v>1</v>
      </c>
      <c r="M169" s="4">
        <f>INDEX(Bands!$C:$C,MATCH(C169&amp;"|"&amp;E169,Bands!$F:$F,0))</f>
        <v>25700</v>
      </c>
      <c r="N169" s="4">
        <f>INDEX(Bands!$D:$D,MATCH(C169&amp;"|"&amp;E169,Bands!$F:$F,0))</f>
        <v>29500</v>
      </c>
      <c r="O169" s="4">
        <f>INDEX(Bands!$E:$E,MATCH(C169&amp;"|"&amp;E169,Bands!$F:$F,0))</f>
        <v>33400</v>
      </c>
      <c r="P169" s="7">
        <f t="shared" si="111"/>
        <v>6.2012320328542092</v>
      </c>
      <c r="Q169" s="4">
        <f t="shared" si="112"/>
        <v>33539.148093000003</v>
      </c>
      <c r="R169" s="7">
        <f t="shared" si="113"/>
        <v>9</v>
      </c>
      <c r="S169" s="7">
        <f t="shared" si="114"/>
        <v>38.455278725297148</v>
      </c>
      <c r="T169" s="7">
        <f t="shared" si="115"/>
        <v>18.603696098562629</v>
      </c>
      <c r="U169" s="7">
        <f t="shared" si="116"/>
        <v>100617.44427900002</v>
      </c>
      <c r="V169" s="7">
        <f t="shared" si="117"/>
        <v>207984.03950895279</v>
      </c>
      <c r="W169" s="4">
        <f t="shared" si="118"/>
        <v>33539.15</v>
      </c>
      <c r="X169" s="3">
        <f t="shared" si="119"/>
        <v>10</v>
      </c>
      <c r="Y169" s="4">
        <f>INDEX(Categories!$AH:$AH,MATCH(C169,Categories!$A:$A,0))</f>
        <v>37853.452052499997</v>
      </c>
      <c r="Z169" s="3">
        <f>IF(AND(D169="F",Q169&lt;Y169,INDEX(Categories!$AI:$AI,MATCH(C169,Categories!$A:$A,0))&gt;0),1,0)</f>
        <v>1</v>
      </c>
      <c r="AA169" s="4">
        <f t="shared" si="120"/>
        <v>4314.3039594999937</v>
      </c>
      <c r="AB169" s="4">
        <f>IF(Z169=1,INDEX(Categories!$AI:$AI,MATCH(C169,Categories!$A:$A,0))*AA169/INDEX(Categories!$AJ:$AJ,MATCH(C169,Categories!$A:$A,0)),0)</f>
        <v>1028.1799146684818</v>
      </c>
      <c r="AC169" s="4">
        <f t="shared" si="121"/>
        <v>982.86962495792159</v>
      </c>
      <c r="AD169" s="4">
        <f t="shared" si="122"/>
        <v>33043.99962495792</v>
      </c>
      <c r="AE169" s="3">
        <f t="shared" si="123"/>
        <v>0</v>
      </c>
      <c r="AF169" s="3">
        <f t="shared" si="124"/>
        <v>74</v>
      </c>
      <c r="AG169" s="3">
        <f t="shared" si="125"/>
        <v>6</v>
      </c>
      <c r="AH169" s="3">
        <f t="shared" si="126"/>
        <v>1</v>
      </c>
      <c r="AI169" s="5">
        <f t="shared" si="127"/>
        <v>1.1201355805070481</v>
      </c>
      <c r="AJ169" s="3">
        <f>MATCH(AI169,Inputs!$B$31:$B$34,1)</f>
        <v>4</v>
      </c>
      <c r="AK169" s="5">
        <f>INDEX(Inputs!$C$21:$C$25,MATCH(F169,Inputs!$A$21:$A$25,0))</f>
        <v>0.95</v>
      </c>
      <c r="AL169" s="5">
        <f>INDEX(Inputs!$D$21:$D$25,MATCH(F169,Inputs!$A$21:$A$25,0))</f>
        <v>0</v>
      </c>
      <c r="AM169" s="4">
        <f t="shared" si="128"/>
        <v>28025</v>
      </c>
      <c r="AN169" s="4">
        <f t="shared" si="129"/>
        <v>0</v>
      </c>
      <c r="AO169" s="3">
        <f t="shared" si="130"/>
        <v>1</v>
      </c>
      <c r="AP169" s="4">
        <f t="shared" si="131"/>
        <v>9913.1998874873752</v>
      </c>
      <c r="AQ169" s="4">
        <f t="shared" si="132"/>
        <v>0</v>
      </c>
      <c r="AR169" s="4">
        <f t="shared" si="133"/>
        <v>0</v>
      </c>
      <c r="AS169" s="3">
        <f t="shared" si="134"/>
        <v>0</v>
      </c>
      <c r="AT169" s="4">
        <f t="shared" si="135"/>
        <v>0</v>
      </c>
      <c r="AU169" s="4">
        <f t="shared" si="136"/>
        <v>356.00037504208012</v>
      </c>
      <c r="AV169" s="4">
        <f t="shared" si="137"/>
        <v>0</v>
      </c>
      <c r="AW169" s="4">
        <f t="shared" si="138"/>
        <v>0</v>
      </c>
      <c r="AX169" s="5">
        <f t="shared" si="139"/>
        <v>0</v>
      </c>
      <c r="AY169" s="4">
        <f t="shared" si="140"/>
        <v>33043.99962495792</v>
      </c>
      <c r="AZ169" s="3">
        <f t="shared" si="141"/>
        <v>0</v>
      </c>
      <c r="BA169" s="4">
        <f t="shared" si="142"/>
        <v>33539.148093000003</v>
      </c>
      <c r="BB169" s="4">
        <f t="shared" si="143"/>
        <v>10782.836111899502</v>
      </c>
      <c r="BC169" s="4">
        <f t="shared" si="144"/>
        <v>34567.328007668482</v>
      </c>
      <c r="BD169" s="4">
        <f t="shared" si="145"/>
        <v>11113.395954465417</v>
      </c>
      <c r="BE169" s="4">
        <f t="shared" si="146"/>
        <v>34567.328007668482</v>
      </c>
      <c r="BF169" s="4">
        <f t="shared" si="147"/>
        <v>11113.395954465417</v>
      </c>
      <c r="BG169" s="4">
        <f t="shared" si="148"/>
        <v>982.86962495792159</v>
      </c>
      <c r="BH169" s="4">
        <f t="shared" si="149"/>
        <v>45.310289710560184</v>
      </c>
      <c r="BI169" s="4">
        <f t="shared" si="150"/>
        <v>330.55984256591546</v>
      </c>
      <c r="BJ169" s="4">
        <f t="shared" si="151"/>
        <v>0</v>
      </c>
      <c r="BK169" s="4">
        <f t="shared" si="152"/>
        <v>0</v>
      </c>
      <c r="BL169" s="4">
        <f t="shared" si="153"/>
        <v>0</v>
      </c>
      <c r="BM169" s="4">
        <f t="shared" si="154"/>
        <v>33043.99962495792</v>
      </c>
      <c r="BN169" s="4">
        <f t="shared" si="155"/>
        <v>1321.7599849983169</v>
      </c>
      <c r="BO169" s="4">
        <f t="shared" si="156"/>
        <v>1321.7599849983169</v>
      </c>
      <c r="BP169" s="4">
        <f t="shared" si="157"/>
        <v>60.933135308422415</v>
      </c>
      <c r="BQ169" s="4">
        <f t="shared" si="158"/>
        <v>35950.021127975218</v>
      </c>
      <c r="BR169" s="4">
        <f t="shared" si="159"/>
        <v>11557.931792644033</v>
      </c>
      <c r="BS169" s="4">
        <f t="shared" si="160"/>
        <v>444.53583817861545</v>
      </c>
      <c r="BT169" s="4">
        <f t="shared" si="161"/>
        <v>34567.328007668482</v>
      </c>
      <c r="BU169" s="4">
        <f t="shared" si="162"/>
        <v>34567.328007668482</v>
      </c>
      <c r="BV169" s="7">
        <f t="shared" si="163"/>
        <v>103701.98402300544</v>
      </c>
      <c r="BW169" s="7">
        <f t="shared" si="164"/>
        <v>214360.02173133226</v>
      </c>
    </row>
    <row r="170" spans="1:75" x14ac:dyDescent="0.3">
      <c r="A170" s="3">
        <f t="shared" si="110"/>
        <v>166</v>
      </c>
      <c r="B170" t="str">
        <f>INDEX(Employees!$A:$A,A170+1)</f>
        <v>E166</v>
      </c>
      <c r="C170" t="str">
        <f>INDEX(Employees!$A:$Z,MATCH(B170,Employees!$A:$A,0),MATCH("category",Employees!$1:$1,0))</f>
        <v>Customer Support</v>
      </c>
      <c r="D170" t="str">
        <f>INDEX(Employees!$A:$Z,MATCH(B170,Employees!$A:$A,0),MATCH("gender",Employees!$1:$1,0))</f>
        <v>M</v>
      </c>
      <c r="E170" s="3">
        <f>INDEX(Employees!$A:$Z,MATCH(B170,Employees!$A:$A,0),MATCH("grade",Employees!$1:$1,0))</f>
        <v>6</v>
      </c>
      <c r="F170" s="3">
        <f>INDEX(Employees!$A:$Z,MATCH(B170,Employees!$A:$A,0),MATCH("rating",Employees!$1:$1,0))</f>
        <v>3</v>
      </c>
      <c r="G170" s="22">
        <f>INDEX(Employees!$A:$Z,MATCH(B170,Employees!$A:$A,0),MATCH("hire_date",Employees!$1:$1,0))</f>
        <v>41364</v>
      </c>
      <c r="H170" s="22">
        <f>INDEX(Employees!$A:$Z,MATCH(B170,Employees!$A:$A,0),MATCH("last_change_date",Employees!$1:$1,0))</f>
        <v>46113</v>
      </c>
      <c r="I170" s="4">
        <f>INDEX(Employees!$A:$Z,MATCH(B170,Employees!$A:$A,0),MATCH("base_salary",Employees!$1:$1,0))</f>
        <v>50938.91</v>
      </c>
      <c r="J170" s="5">
        <f>INDEX(Employees!$A:$Z,MATCH(B170,Employees!$A:$A,0),MATCH("bonus_pct",Employees!$1:$1,0))/100</f>
        <v>4.8499999999999995E-2</v>
      </c>
      <c r="K170" s="7">
        <f>INDEX(Employees!$A:$Z,MATCH(B170,Employees!$A:$A,0),MATCH("fte",Employees!$1:$1,0))</f>
        <v>1</v>
      </c>
      <c r="L170" s="3">
        <f>IF(ISNA(MATCH(C170&amp;"|"&amp;E170,Bands!$F:$F,0)),0,1)</f>
        <v>1</v>
      </c>
      <c r="M170" s="4">
        <f>INDEX(Bands!$C:$C,MATCH(C170&amp;"|"&amp;E170,Bands!$F:$F,0))</f>
        <v>38300</v>
      </c>
      <c r="N170" s="4">
        <f>INDEX(Bands!$D:$D,MATCH(C170&amp;"|"&amp;E170,Bands!$F:$F,0))</f>
        <v>46000</v>
      </c>
      <c r="O170" s="4">
        <f>INDEX(Bands!$E:$E,MATCH(C170&amp;"|"&amp;E170,Bands!$F:$F,0))</f>
        <v>53600</v>
      </c>
      <c r="P170" s="7">
        <f t="shared" si="111"/>
        <v>14.001368925393566</v>
      </c>
      <c r="Q170" s="4">
        <f t="shared" si="112"/>
        <v>53409.447135000002</v>
      </c>
      <c r="R170" s="7">
        <f t="shared" si="113"/>
        <v>36</v>
      </c>
      <c r="S170" s="7">
        <f t="shared" si="114"/>
        <v>196.03833178497658</v>
      </c>
      <c r="T170" s="7">
        <f t="shared" si="115"/>
        <v>84.008213552361397</v>
      </c>
      <c r="U170" s="7">
        <f t="shared" si="116"/>
        <v>320456.68281000003</v>
      </c>
      <c r="V170" s="7">
        <f t="shared" si="117"/>
        <v>747805.37343843945</v>
      </c>
      <c r="W170" s="4">
        <f t="shared" si="118"/>
        <v>53409.45</v>
      </c>
      <c r="X170" s="3">
        <f t="shared" si="119"/>
        <v>30</v>
      </c>
      <c r="Y170" s="4">
        <f>INDEX(Categories!$AH:$AH,MATCH(C170,Categories!$A:$A,0))</f>
        <v>37853.452052499997</v>
      </c>
      <c r="Z170" s="3">
        <f>IF(AND(D170="F",Q170&lt;Y170,INDEX(Categories!$AI:$AI,MATCH(C170,Categories!$A:$A,0))&gt;0),1,0)</f>
        <v>0</v>
      </c>
      <c r="AA170" s="4">
        <f t="shared" si="120"/>
        <v>0</v>
      </c>
      <c r="AB170" s="4">
        <f>IF(Z170=1,INDEX(Categories!$AI:$AI,MATCH(C170,Categories!$A:$A,0))*AA170/INDEX(Categories!$AJ:$AJ,MATCH(C170,Categories!$A:$A,0)),0)</f>
        <v>0</v>
      </c>
      <c r="AC170" s="4">
        <f t="shared" si="121"/>
        <v>0</v>
      </c>
      <c r="AD170" s="4">
        <f t="shared" si="122"/>
        <v>50938.91</v>
      </c>
      <c r="AE170" s="3">
        <f t="shared" si="123"/>
        <v>0</v>
      </c>
      <c r="AF170" s="3">
        <f t="shared" si="124"/>
        <v>168</v>
      </c>
      <c r="AG170" s="3">
        <f t="shared" si="125"/>
        <v>12</v>
      </c>
      <c r="AH170" s="3">
        <f t="shared" si="126"/>
        <v>1</v>
      </c>
      <c r="AI170" s="5">
        <f t="shared" si="127"/>
        <v>1.1073676086956523</v>
      </c>
      <c r="AJ170" s="3">
        <f>MATCH(AI170,Inputs!$B$31:$B$34,1)</f>
        <v>4</v>
      </c>
      <c r="AK170" s="5">
        <f>INDEX(Inputs!$C$21:$C$25,MATCH(F170,Inputs!$A$21:$A$25,0))</f>
        <v>1</v>
      </c>
      <c r="AL170" s="5">
        <f>INDEX(Inputs!$D$21:$D$25,MATCH(F170,Inputs!$A$21:$A$25,0))</f>
        <v>0</v>
      </c>
      <c r="AM170" s="4">
        <f t="shared" si="128"/>
        <v>46000</v>
      </c>
      <c r="AN170" s="4">
        <f t="shared" si="129"/>
        <v>0</v>
      </c>
      <c r="AO170" s="3">
        <f t="shared" si="130"/>
        <v>1</v>
      </c>
      <c r="AP170" s="4">
        <f t="shared" si="131"/>
        <v>15281.673000000001</v>
      </c>
      <c r="AQ170" s="4">
        <f t="shared" si="132"/>
        <v>0</v>
      </c>
      <c r="AR170" s="4">
        <f t="shared" si="133"/>
        <v>0</v>
      </c>
      <c r="AS170" s="3">
        <f t="shared" si="134"/>
        <v>0</v>
      </c>
      <c r="AT170" s="4">
        <f t="shared" si="135"/>
        <v>0</v>
      </c>
      <c r="AU170" s="4">
        <f t="shared" si="136"/>
        <v>2661.0899999999965</v>
      </c>
      <c r="AV170" s="4">
        <f t="shared" si="137"/>
        <v>0</v>
      </c>
      <c r="AW170" s="4">
        <f t="shared" si="138"/>
        <v>0</v>
      </c>
      <c r="AX170" s="5">
        <f t="shared" si="139"/>
        <v>0</v>
      </c>
      <c r="AY170" s="4">
        <f t="shared" si="140"/>
        <v>50938.91</v>
      </c>
      <c r="AZ170" s="3">
        <f t="shared" si="141"/>
        <v>0</v>
      </c>
      <c r="BA170" s="4">
        <f t="shared" si="142"/>
        <v>53409.447135000002</v>
      </c>
      <c r="BB170" s="4">
        <f t="shared" si="143"/>
        <v>17171.1372539025</v>
      </c>
      <c r="BC170" s="4">
        <f t="shared" si="144"/>
        <v>53409.447135000002</v>
      </c>
      <c r="BD170" s="4">
        <f t="shared" si="145"/>
        <v>17171.1372539025</v>
      </c>
      <c r="BE170" s="4">
        <f t="shared" si="146"/>
        <v>53409.447135000002</v>
      </c>
      <c r="BF170" s="4">
        <f t="shared" si="147"/>
        <v>17171.1372539025</v>
      </c>
      <c r="BG170" s="4">
        <f t="shared" si="148"/>
        <v>0</v>
      </c>
      <c r="BH170" s="4">
        <f t="shared" si="149"/>
        <v>0</v>
      </c>
      <c r="BI170" s="4">
        <f t="shared" si="150"/>
        <v>0</v>
      </c>
      <c r="BJ170" s="4">
        <f t="shared" si="151"/>
        <v>0</v>
      </c>
      <c r="BK170" s="4">
        <f t="shared" si="152"/>
        <v>0</v>
      </c>
      <c r="BL170" s="4">
        <f t="shared" si="153"/>
        <v>0</v>
      </c>
      <c r="BM170" s="4">
        <f t="shared" si="154"/>
        <v>50938.91</v>
      </c>
      <c r="BN170" s="4">
        <f t="shared" si="155"/>
        <v>2037.5564000000002</v>
      </c>
      <c r="BO170" s="4">
        <f t="shared" si="156"/>
        <v>2037.5564000000002</v>
      </c>
      <c r="BP170" s="4">
        <f t="shared" si="157"/>
        <v>98.8214854</v>
      </c>
      <c r="BQ170" s="4">
        <f t="shared" si="158"/>
        <v>55545.825020400007</v>
      </c>
      <c r="BR170" s="4">
        <f t="shared" si="159"/>
        <v>17857.982744058601</v>
      </c>
      <c r="BS170" s="4">
        <f t="shared" si="160"/>
        <v>686.84549015610173</v>
      </c>
      <c r="BT170" s="4">
        <f t="shared" si="161"/>
        <v>53409.447135000002</v>
      </c>
      <c r="BU170" s="4">
        <f t="shared" si="162"/>
        <v>53409.447135000002</v>
      </c>
      <c r="BV170" s="7">
        <f t="shared" si="163"/>
        <v>320456.68281000003</v>
      </c>
      <c r="BW170" s="7">
        <f t="shared" si="164"/>
        <v>747805.37343843945</v>
      </c>
    </row>
    <row r="171" spans="1:75" x14ac:dyDescent="0.3">
      <c r="A171" s="3">
        <f t="shared" si="110"/>
        <v>167</v>
      </c>
      <c r="B171" t="str">
        <f>INDEX(Employees!$A:$A,A171+1)</f>
        <v>E167</v>
      </c>
      <c r="C171" t="str">
        <f>INDEX(Employees!$A:$Z,MATCH(B171,Employees!$A:$A,0),MATCH("category",Employees!$1:$1,0))</f>
        <v>Customer Support</v>
      </c>
      <c r="D171" t="str">
        <f>INDEX(Employees!$A:$Z,MATCH(B171,Employees!$A:$A,0),MATCH("gender",Employees!$1:$1,0))</f>
        <v>M</v>
      </c>
      <c r="E171" s="3">
        <f>INDEX(Employees!$A:$Z,MATCH(B171,Employees!$A:$A,0),MATCH("grade",Employees!$1:$1,0))</f>
        <v>5</v>
      </c>
      <c r="F171" s="3">
        <f>INDEX(Employees!$A:$Z,MATCH(B171,Employees!$A:$A,0),MATCH("rating",Employees!$1:$1,0))</f>
        <v>3</v>
      </c>
      <c r="G171" s="22">
        <f>INDEX(Employees!$A:$Z,MATCH(B171,Employees!$A:$A,0),MATCH("hire_date",Employees!$1:$1,0))</f>
        <v>43227</v>
      </c>
      <c r="H171" s="22">
        <f>INDEX(Employees!$A:$Z,MATCH(B171,Employees!$A:$A,0),MATCH("last_change_date",Employees!$1:$1,0))</f>
        <v>46113</v>
      </c>
      <c r="I171" s="4">
        <f>INDEX(Employees!$A:$Z,MATCH(B171,Employees!$A:$A,0),MATCH("base_salary",Employees!$1:$1,0))</f>
        <v>43593.85</v>
      </c>
      <c r="J171" s="5">
        <f>INDEX(Employees!$A:$Z,MATCH(B171,Employees!$A:$A,0),MATCH("bonus_pct",Employees!$1:$1,0))/100</f>
        <v>4.4199999999999996E-2</v>
      </c>
      <c r="K171" s="7">
        <f>INDEX(Employees!$A:$Z,MATCH(B171,Employees!$A:$A,0),MATCH("fte",Employees!$1:$1,0))</f>
        <v>1</v>
      </c>
      <c r="L171" s="3">
        <f>IF(ISNA(MATCH(C171&amp;"|"&amp;E171,Bands!$F:$F,0)),0,1)</f>
        <v>1</v>
      </c>
      <c r="M171" s="4">
        <f>INDEX(Bands!$C:$C,MATCH(C171&amp;"|"&amp;E171,Bands!$F:$F,0))</f>
        <v>34500</v>
      </c>
      <c r="N171" s="4">
        <f>INDEX(Bands!$D:$D,MATCH(C171&amp;"|"&amp;E171,Bands!$F:$F,0))</f>
        <v>39700</v>
      </c>
      <c r="O171" s="4">
        <f>INDEX(Bands!$E:$E,MATCH(C171&amp;"|"&amp;E171,Bands!$F:$F,0))</f>
        <v>44900</v>
      </c>
      <c r="P171" s="7">
        <f t="shared" si="111"/>
        <v>8.9007529089664619</v>
      </c>
      <c r="Q171" s="4">
        <f t="shared" si="112"/>
        <v>45520.698169999996</v>
      </c>
      <c r="R171" s="7">
        <f t="shared" si="113"/>
        <v>25</v>
      </c>
      <c r="S171" s="7">
        <f t="shared" si="114"/>
        <v>79.223402346474927</v>
      </c>
      <c r="T171" s="7">
        <f t="shared" si="115"/>
        <v>44.503764544832308</v>
      </c>
      <c r="U171" s="7">
        <f t="shared" si="116"/>
        <v>227603.49084999997</v>
      </c>
      <c r="V171" s="7">
        <f t="shared" si="117"/>
        <v>405168.48665481177</v>
      </c>
      <c r="W171" s="4">
        <f t="shared" si="118"/>
        <v>45520.7</v>
      </c>
      <c r="X171" s="3">
        <f t="shared" si="119"/>
        <v>23</v>
      </c>
      <c r="Y171" s="4">
        <f>INDEX(Categories!$AH:$AH,MATCH(C171,Categories!$A:$A,0))</f>
        <v>37853.452052499997</v>
      </c>
      <c r="Z171" s="3">
        <f>IF(AND(D171="F",Q171&lt;Y171,INDEX(Categories!$AI:$AI,MATCH(C171,Categories!$A:$A,0))&gt;0),1,0)</f>
        <v>0</v>
      </c>
      <c r="AA171" s="4">
        <f t="shared" si="120"/>
        <v>0</v>
      </c>
      <c r="AB171" s="4">
        <f>IF(Z171=1,INDEX(Categories!$AI:$AI,MATCH(C171,Categories!$A:$A,0))*AA171/INDEX(Categories!$AJ:$AJ,MATCH(C171,Categories!$A:$A,0)),0)</f>
        <v>0</v>
      </c>
      <c r="AC171" s="4">
        <f t="shared" si="121"/>
        <v>0</v>
      </c>
      <c r="AD171" s="4">
        <f t="shared" si="122"/>
        <v>43593.85</v>
      </c>
      <c r="AE171" s="3">
        <f t="shared" si="123"/>
        <v>0</v>
      </c>
      <c r="AF171" s="3">
        <f t="shared" si="124"/>
        <v>106</v>
      </c>
      <c r="AG171" s="3">
        <f t="shared" si="125"/>
        <v>12</v>
      </c>
      <c r="AH171" s="3">
        <f t="shared" si="126"/>
        <v>1</v>
      </c>
      <c r="AI171" s="5">
        <f t="shared" si="127"/>
        <v>1.0980818639798489</v>
      </c>
      <c r="AJ171" s="3">
        <f>MATCH(AI171,Inputs!$B$31:$B$34,1)</f>
        <v>3</v>
      </c>
      <c r="AK171" s="5">
        <f>INDEX(Inputs!$C$21:$C$25,MATCH(F171,Inputs!$A$21:$A$25,0))</f>
        <v>1</v>
      </c>
      <c r="AL171" s="5">
        <f>INDEX(Inputs!$D$21:$D$25,MATCH(F171,Inputs!$A$21:$A$25,0))</f>
        <v>0</v>
      </c>
      <c r="AM171" s="4">
        <f t="shared" si="128"/>
        <v>39700</v>
      </c>
      <c r="AN171" s="4">
        <f t="shared" si="129"/>
        <v>0</v>
      </c>
      <c r="AO171" s="3">
        <f t="shared" si="130"/>
        <v>1</v>
      </c>
      <c r="AP171" s="4">
        <f t="shared" si="131"/>
        <v>13078.154999999999</v>
      </c>
      <c r="AQ171" s="4">
        <f t="shared" si="132"/>
        <v>0</v>
      </c>
      <c r="AR171" s="4">
        <f t="shared" si="133"/>
        <v>0</v>
      </c>
      <c r="AS171" s="3">
        <f t="shared" si="134"/>
        <v>0</v>
      </c>
      <c r="AT171" s="4">
        <f t="shared" si="135"/>
        <v>0</v>
      </c>
      <c r="AU171" s="4">
        <f t="shared" si="136"/>
        <v>1306.1500000000015</v>
      </c>
      <c r="AV171" s="4">
        <f t="shared" si="137"/>
        <v>0</v>
      </c>
      <c r="AW171" s="4">
        <f t="shared" si="138"/>
        <v>0</v>
      </c>
      <c r="AX171" s="5">
        <f t="shared" si="139"/>
        <v>0</v>
      </c>
      <c r="AY171" s="4">
        <f t="shared" si="140"/>
        <v>43593.85</v>
      </c>
      <c r="AZ171" s="3">
        <f t="shared" si="141"/>
        <v>0</v>
      </c>
      <c r="BA171" s="4">
        <f t="shared" si="142"/>
        <v>45520.698169999996</v>
      </c>
      <c r="BB171" s="4">
        <f t="shared" si="143"/>
        <v>14634.904461655</v>
      </c>
      <c r="BC171" s="4">
        <f t="shared" si="144"/>
        <v>45520.698169999996</v>
      </c>
      <c r="BD171" s="4">
        <f t="shared" si="145"/>
        <v>14634.904461655</v>
      </c>
      <c r="BE171" s="4">
        <f t="shared" si="146"/>
        <v>45520.698169999996</v>
      </c>
      <c r="BF171" s="4">
        <f t="shared" si="147"/>
        <v>14634.904461655</v>
      </c>
      <c r="BG171" s="4">
        <f t="shared" si="148"/>
        <v>0</v>
      </c>
      <c r="BH171" s="4">
        <f t="shared" si="149"/>
        <v>0</v>
      </c>
      <c r="BI171" s="4">
        <f t="shared" si="150"/>
        <v>0</v>
      </c>
      <c r="BJ171" s="4">
        <f t="shared" si="151"/>
        <v>0</v>
      </c>
      <c r="BK171" s="4">
        <f t="shared" si="152"/>
        <v>0</v>
      </c>
      <c r="BL171" s="4">
        <f t="shared" si="153"/>
        <v>0</v>
      </c>
      <c r="BM171" s="4">
        <f t="shared" si="154"/>
        <v>43593.85</v>
      </c>
      <c r="BN171" s="4">
        <f t="shared" si="155"/>
        <v>1743.7539999999999</v>
      </c>
      <c r="BO171" s="4">
        <f t="shared" si="156"/>
        <v>1743.7539999999999</v>
      </c>
      <c r="BP171" s="4">
        <f t="shared" si="157"/>
        <v>77.073926799999995</v>
      </c>
      <c r="BQ171" s="4">
        <f t="shared" si="158"/>
        <v>47341.5260968</v>
      </c>
      <c r="BR171" s="4">
        <f t="shared" si="159"/>
        <v>15220.300640121201</v>
      </c>
      <c r="BS171" s="4">
        <f t="shared" si="160"/>
        <v>585.39617846620058</v>
      </c>
      <c r="BT171" s="4">
        <f t="shared" si="161"/>
        <v>45520.698169999996</v>
      </c>
      <c r="BU171" s="4">
        <f t="shared" si="162"/>
        <v>45520.698169999996</v>
      </c>
      <c r="BV171" s="7">
        <f t="shared" si="163"/>
        <v>227603.49084999997</v>
      </c>
      <c r="BW171" s="7">
        <f t="shared" si="164"/>
        <v>405168.48665481177</v>
      </c>
    </row>
    <row r="172" spans="1:75" x14ac:dyDescent="0.3">
      <c r="A172" s="3">
        <f t="shared" si="110"/>
        <v>168</v>
      </c>
      <c r="B172" t="str">
        <f>INDEX(Employees!$A:$A,A172+1)</f>
        <v>E168</v>
      </c>
      <c r="C172" t="str">
        <f>INDEX(Employees!$A:$Z,MATCH(B172,Employees!$A:$A,0),MATCH("category",Employees!$1:$1,0))</f>
        <v>Customer Support</v>
      </c>
      <c r="D172" t="str">
        <f>INDEX(Employees!$A:$Z,MATCH(B172,Employees!$A:$A,0),MATCH("gender",Employees!$1:$1,0))</f>
        <v>F</v>
      </c>
      <c r="E172" s="3">
        <f>INDEX(Employees!$A:$Z,MATCH(B172,Employees!$A:$A,0),MATCH("grade",Employees!$1:$1,0))</f>
        <v>6</v>
      </c>
      <c r="F172" s="3">
        <f>INDEX(Employees!$A:$Z,MATCH(B172,Employees!$A:$A,0),MATCH("rating",Employees!$1:$1,0))</f>
        <v>5</v>
      </c>
      <c r="G172" s="22">
        <f>INDEX(Employees!$A:$Z,MATCH(B172,Employees!$A:$A,0),MATCH("hire_date",Employees!$1:$1,0))</f>
        <v>43629</v>
      </c>
      <c r="H172" s="22">
        <f>INDEX(Employees!$A:$Z,MATCH(B172,Employees!$A:$A,0),MATCH("last_change_date",Employees!$1:$1,0))</f>
        <v>46113</v>
      </c>
      <c r="I172" s="4">
        <f>INDEX(Employees!$A:$Z,MATCH(B172,Employees!$A:$A,0),MATCH("base_salary",Employees!$1:$1,0))</f>
        <v>44143.53</v>
      </c>
      <c r="J172" s="5">
        <f>INDEX(Employees!$A:$Z,MATCH(B172,Employees!$A:$A,0),MATCH("bonus_pct",Employees!$1:$1,0))/100</f>
        <v>4.4999999999999998E-2</v>
      </c>
      <c r="K172" s="7">
        <f>INDEX(Employees!$A:$Z,MATCH(B172,Employees!$A:$A,0),MATCH("fte",Employees!$1:$1,0))</f>
        <v>1</v>
      </c>
      <c r="L172" s="3">
        <f>IF(ISNA(MATCH(C172&amp;"|"&amp;E172,Bands!$F:$F,0)),0,1)</f>
        <v>1</v>
      </c>
      <c r="M172" s="4">
        <f>INDEX(Bands!$C:$C,MATCH(C172&amp;"|"&amp;E172,Bands!$F:$F,0))</f>
        <v>38300</v>
      </c>
      <c r="N172" s="4">
        <f>INDEX(Bands!$D:$D,MATCH(C172&amp;"|"&amp;E172,Bands!$F:$F,0))</f>
        <v>46000</v>
      </c>
      <c r="O172" s="4">
        <f>INDEX(Bands!$E:$E,MATCH(C172&amp;"|"&amp;E172,Bands!$F:$F,0))</f>
        <v>53600</v>
      </c>
      <c r="P172" s="7">
        <f t="shared" si="111"/>
        <v>7.8001368925393564</v>
      </c>
      <c r="Q172" s="4">
        <f t="shared" si="112"/>
        <v>46129.988849999994</v>
      </c>
      <c r="R172" s="7">
        <f t="shared" si="113"/>
        <v>36</v>
      </c>
      <c r="S172" s="7">
        <f t="shared" si="114"/>
        <v>60.842135542353525</v>
      </c>
      <c r="T172" s="7">
        <f t="shared" si="115"/>
        <v>46.800821355236138</v>
      </c>
      <c r="U172" s="7">
        <f t="shared" si="116"/>
        <v>276779.93309999997</v>
      </c>
      <c r="V172" s="7">
        <f t="shared" si="117"/>
        <v>359820.22788131412</v>
      </c>
      <c r="W172" s="4">
        <f t="shared" si="118"/>
        <v>46129.99</v>
      </c>
      <c r="X172" s="3">
        <f t="shared" si="119"/>
        <v>25</v>
      </c>
      <c r="Y172" s="4">
        <f>INDEX(Categories!$AH:$AH,MATCH(C172,Categories!$A:$A,0))</f>
        <v>37853.452052499997</v>
      </c>
      <c r="Z172" s="3">
        <f>IF(AND(D172="F",Q172&lt;Y172,INDEX(Categories!$AI:$AI,MATCH(C172,Categories!$A:$A,0))&gt;0),1,0)</f>
        <v>0</v>
      </c>
      <c r="AA172" s="4">
        <f t="shared" si="120"/>
        <v>0</v>
      </c>
      <c r="AB172" s="4">
        <f>IF(Z172=1,INDEX(Categories!$AI:$AI,MATCH(C172,Categories!$A:$A,0))*AA172/INDEX(Categories!$AJ:$AJ,MATCH(C172,Categories!$A:$A,0)),0)</f>
        <v>0</v>
      </c>
      <c r="AC172" s="4">
        <f t="shared" si="121"/>
        <v>0</v>
      </c>
      <c r="AD172" s="4">
        <f t="shared" si="122"/>
        <v>44143.53</v>
      </c>
      <c r="AE172" s="3">
        <f t="shared" si="123"/>
        <v>0</v>
      </c>
      <c r="AF172" s="3">
        <f t="shared" si="124"/>
        <v>93</v>
      </c>
      <c r="AG172" s="3">
        <f t="shared" si="125"/>
        <v>12</v>
      </c>
      <c r="AH172" s="3">
        <f t="shared" si="126"/>
        <v>1</v>
      </c>
      <c r="AI172" s="5">
        <f t="shared" si="127"/>
        <v>0.95964195652173911</v>
      </c>
      <c r="AJ172" s="3">
        <f>MATCH(AI172,Inputs!$B$31:$B$34,1)</f>
        <v>2</v>
      </c>
      <c r="AK172" s="5">
        <f>INDEX(Inputs!$C$21:$C$25,MATCH(F172,Inputs!$A$21:$A$25,0))</f>
        <v>1.1000000000000001</v>
      </c>
      <c r="AL172" s="5">
        <f>INDEX(Inputs!$D$21:$D$25,MATCH(F172,Inputs!$A$21:$A$25,0))</f>
        <v>0.02</v>
      </c>
      <c r="AM172" s="4">
        <f t="shared" si="128"/>
        <v>50600.000000000007</v>
      </c>
      <c r="AN172" s="4">
        <f t="shared" si="129"/>
        <v>6456.4700000000084</v>
      </c>
      <c r="AO172" s="3">
        <f t="shared" si="130"/>
        <v>1</v>
      </c>
      <c r="AP172" s="4">
        <f t="shared" si="131"/>
        <v>13243.058999999999</v>
      </c>
      <c r="AQ172" s="4">
        <f t="shared" si="132"/>
        <v>882.87059999999997</v>
      </c>
      <c r="AR172" s="4">
        <f t="shared" si="133"/>
        <v>6456.4700000000084</v>
      </c>
      <c r="AS172" s="3">
        <f t="shared" si="134"/>
        <v>0</v>
      </c>
      <c r="AT172" s="4">
        <f t="shared" si="135"/>
        <v>6456.4700000000084</v>
      </c>
      <c r="AU172" s="4">
        <f t="shared" si="136"/>
        <v>9456.4700000000012</v>
      </c>
      <c r="AV172" s="4">
        <f t="shared" si="137"/>
        <v>6456.4700000000084</v>
      </c>
      <c r="AW172" s="4">
        <f t="shared" si="138"/>
        <v>6456.4700000000084</v>
      </c>
      <c r="AX172" s="5">
        <f t="shared" si="139"/>
        <v>0.14626084502077674</v>
      </c>
      <c r="AY172" s="4">
        <f t="shared" si="140"/>
        <v>50600.000000000007</v>
      </c>
      <c r="AZ172" s="3">
        <f t="shared" si="141"/>
        <v>0</v>
      </c>
      <c r="BA172" s="4">
        <f t="shared" si="142"/>
        <v>46129.988849999994</v>
      </c>
      <c r="BB172" s="4">
        <f t="shared" si="143"/>
        <v>14830.791415274998</v>
      </c>
      <c r="BC172" s="4">
        <f t="shared" si="144"/>
        <v>46129.988849999994</v>
      </c>
      <c r="BD172" s="4">
        <f t="shared" si="145"/>
        <v>14830.791415274998</v>
      </c>
      <c r="BE172" s="4">
        <f t="shared" si="146"/>
        <v>52877.000000000007</v>
      </c>
      <c r="BF172" s="4">
        <f t="shared" si="147"/>
        <v>16999.955500000004</v>
      </c>
      <c r="BG172" s="4">
        <f t="shared" si="148"/>
        <v>0</v>
      </c>
      <c r="BH172" s="4">
        <f t="shared" si="149"/>
        <v>0</v>
      </c>
      <c r="BI172" s="4">
        <f t="shared" si="150"/>
        <v>0</v>
      </c>
      <c r="BJ172" s="4">
        <f t="shared" si="151"/>
        <v>6456.4700000000084</v>
      </c>
      <c r="BK172" s="4">
        <f t="shared" si="152"/>
        <v>290.54115000000036</v>
      </c>
      <c r="BL172" s="4">
        <f t="shared" si="153"/>
        <v>2169.1640847250055</v>
      </c>
      <c r="BM172" s="4">
        <f t="shared" si="154"/>
        <v>44143.53</v>
      </c>
      <c r="BN172" s="4">
        <f t="shared" si="155"/>
        <v>1765.7411999999999</v>
      </c>
      <c r="BO172" s="4">
        <f t="shared" si="156"/>
        <v>1765.7411999999999</v>
      </c>
      <c r="BP172" s="4">
        <f t="shared" si="157"/>
        <v>79.458354</v>
      </c>
      <c r="BQ172" s="4">
        <f t="shared" si="158"/>
        <v>47975.188403999993</v>
      </c>
      <c r="BR172" s="4">
        <f t="shared" si="159"/>
        <v>15424.023071885998</v>
      </c>
      <c r="BS172" s="4">
        <f t="shared" si="160"/>
        <v>593.23165661100029</v>
      </c>
      <c r="BT172" s="4">
        <f t="shared" si="161"/>
        <v>46129.988849999994</v>
      </c>
      <c r="BU172" s="4">
        <f t="shared" si="162"/>
        <v>52877.000000000007</v>
      </c>
      <c r="BV172" s="7">
        <f t="shared" si="163"/>
        <v>317262.00000000006</v>
      </c>
      <c r="BW172" s="7">
        <f t="shared" si="164"/>
        <v>412447.8384668036</v>
      </c>
    </row>
    <row r="173" spans="1:75" x14ac:dyDescent="0.3">
      <c r="A173" s="3">
        <f t="shared" si="110"/>
        <v>169</v>
      </c>
      <c r="B173" t="str">
        <f>INDEX(Employees!$A:$A,A173+1)</f>
        <v>E169</v>
      </c>
      <c r="C173" t="str">
        <f>INDEX(Employees!$A:$Z,MATCH(B173,Employees!$A:$A,0),MATCH("category",Employees!$1:$1,0))</f>
        <v>Customer Support</v>
      </c>
      <c r="D173" t="str">
        <f>INDEX(Employees!$A:$Z,MATCH(B173,Employees!$A:$A,0),MATCH("gender",Employees!$1:$1,0))</f>
        <v>F</v>
      </c>
      <c r="E173" s="3">
        <f>INDEX(Employees!$A:$Z,MATCH(B173,Employees!$A:$A,0),MATCH("grade",Employees!$1:$1,0))</f>
        <v>4</v>
      </c>
      <c r="F173" s="3">
        <f>INDEX(Employees!$A:$Z,MATCH(B173,Employees!$A:$A,0),MATCH("rating",Employees!$1:$1,0))</f>
        <v>4</v>
      </c>
      <c r="G173" s="22">
        <f>INDEX(Employees!$A:$Z,MATCH(B173,Employees!$A:$A,0),MATCH("hire_date",Employees!$1:$1,0))</f>
        <v>44542</v>
      </c>
      <c r="H173" s="22">
        <f>INDEX(Employees!$A:$Z,MATCH(B173,Employees!$A:$A,0),MATCH("last_change_date",Employees!$1:$1,0))</f>
        <v>46269</v>
      </c>
      <c r="I173" s="4">
        <f>INDEX(Employees!$A:$Z,MATCH(B173,Employees!$A:$A,0),MATCH("base_salary",Employees!$1:$1,0))</f>
        <v>30996.080000000002</v>
      </c>
      <c r="J173" s="5">
        <f>INDEX(Employees!$A:$Z,MATCH(B173,Employees!$A:$A,0),MATCH("bonus_pct",Employees!$1:$1,0))/100</f>
        <v>4.3200000000000002E-2</v>
      </c>
      <c r="K173" s="7">
        <f>INDEX(Employees!$A:$Z,MATCH(B173,Employees!$A:$A,0),MATCH("fte",Employees!$1:$1,0))</f>
        <v>1</v>
      </c>
      <c r="L173" s="3">
        <f>IF(ISNA(MATCH(C173&amp;"|"&amp;E173,Bands!$F:$F,0)),0,1)</f>
        <v>1</v>
      </c>
      <c r="M173" s="4">
        <f>INDEX(Bands!$C:$C,MATCH(C173&amp;"|"&amp;E173,Bands!$F:$F,0))</f>
        <v>29800</v>
      </c>
      <c r="N173" s="4">
        <f>INDEX(Bands!$D:$D,MATCH(C173&amp;"|"&amp;E173,Bands!$F:$F,0))</f>
        <v>34300</v>
      </c>
      <c r="O173" s="4">
        <f>INDEX(Bands!$E:$E,MATCH(C173&amp;"|"&amp;E173,Bands!$F:$F,0))</f>
        <v>38700</v>
      </c>
      <c r="P173" s="7">
        <f t="shared" si="111"/>
        <v>5.3004791238877482</v>
      </c>
      <c r="Q173" s="4">
        <f t="shared" si="112"/>
        <v>32335.110655999997</v>
      </c>
      <c r="R173" s="7">
        <f t="shared" si="113"/>
        <v>16</v>
      </c>
      <c r="S173" s="7">
        <f t="shared" si="114"/>
        <v>28.095078942769831</v>
      </c>
      <c r="T173" s="7">
        <f t="shared" si="115"/>
        <v>21.201916495550993</v>
      </c>
      <c r="U173" s="7">
        <f t="shared" si="116"/>
        <v>129340.44262399999</v>
      </c>
      <c r="V173" s="7">
        <f t="shared" si="117"/>
        <v>171391.57900072826</v>
      </c>
      <c r="W173" s="4">
        <f t="shared" si="118"/>
        <v>32335.11</v>
      </c>
      <c r="X173" s="3">
        <f t="shared" si="119"/>
        <v>9</v>
      </c>
      <c r="Y173" s="4">
        <f>INDEX(Categories!$AH:$AH,MATCH(C173,Categories!$A:$A,0))</f>
        <v>37853.452052499997</v>
      </c>
      <c r="Z173" s="3">
        <f>IF(AND(D173="F",Q173&lt;Y173,INDEX(Categories!$AI:$AI,MATCH(C173,Categories!$A:$A,0))&gt;0),1,0)</f>
        <v>1</v>
      </c>
      <c r="AA173" s="4">
        <f t="shared" si="120"/>
        <v>5518.3413965</v>
      </c>
      <c r="AB173" s="4">
        <f>IF(Z173=1,INDEX(Categories!$AI:$AI,MATCH(C173,Categories!$A:$A,0))*AA173/INDEX(Categories!$AJ:$AJ,MATCH(C173,Categories!$A:$A,0)),0)</f>
        <v>1315.1247198684841</v>
      </c>
      <c r="AC173" s="4">
        <f t="shared" si="121"/>
        <v>1260.6640336162618</v>
      </c>
      <c r="AD173" s="4">
        <f t="shared" si="122"/>
        <v>32256.744033616262</v>
      </c>
      <c r="AE173" s="3">
        <f t="shared" si="123"/>
        <v>0</v>
      </c>
      <c r="AF173" s="3">
        <f t="shared" si="124"/>
        <v>63</v>
      </c>
      <c r="AG173" s="3">
        <f t="shared" si="125"/>
        <v>6</v>
      </c>
      <c r="AH173" s="3">
        <f t="shared" si="126"/>
        <v>1</v>
      </c>
      <c r="AI173" s="5">
        <f t="shared" si="127"/>
        <v>0.94042985520747113</v>
      </c>
      <c r="AJ173" s="3">
        <f>MATCH(AI173,Inputs!$B$31:$B$34,1)</f>
        <v>2</v>
      </c>
      <c r="AK173" s="5">
        <f>INDEX(Inputs!$C$21:$C$25,MATCH(F173,Inputs!$A$21:$A$25,0))</f>
        <v>1.05</v>
      </c>
      <c r="AL173" s="5">
        <f>INDEX(Inputs!$D$21:$D$25,MATCH(F173,Inputs!$A$21:$A$25,0))</f>
        <v>0.01</v>
      </c>
      <c r="AM173" s="4">
        <f t="shared" si="128"/>
        <v>36015</v>
      </c>
      <c r="AN173" s="4">
        <f t="shared" si="129"/>
        <v>3758.2559663837383</v>
      </c>
      <c r="AO173" s="3">
        <f t="shared" si="130"/>
        <v>1</v>
      </c>
      <c r="AP173" s="4">
        <f t="shared" si="131"/>
        <v>9677.0232100848789</v>
      </c>
      <c r="AQ173" s="4">
        <f t="shared" si="132"/>
        <v>322.56744033616263</v>
      </c>
      <c r="AR173" s="4">
        <f t="shared" si="133"/>
        <v>3758.2559663837383</v>
      </c>
      <c r="AS173" s="3">
        <f t="shared" si="134"/>
        <v>0</v>
      </c>
      <c r="AT173" s="4">
        <f t="shared" si="135"/>
        <v>3758.2559663837383</v>
      </c>
      <c r="AU173" s="4">
        <f t="shared" si="136"/>
        <v>6443.2559663837383</v>
      </c>
      <c r="AV173" s="4">
        <f t="shared" si="137"/>
        <v>3758.2559663837383</v>
      </c>
      <c r="AW173" s="4">
        <f t="shared" si="138"/>
        <v>3758.2559663837383</v>
      </c>
      <c r="AX173" s="5">
        <f t="shared" si="139"/>
        <v>0.1165107043186716</v>
      </c>
      <c r="AY173" s="4">
        <f t="shared" si="140"/>
        <v>36015</v>
      </c>
      <c r="AZ173" s="3">
        <f t="shared" si="141"/>
        <v>0</v>
      </c>
      <c r="BA173" s="4">
        <f t="shared" si="142"/>
        <v>32335.110655999997</v>
      </c>
      <c r="BB173" s="4">
        <f t="shared" si="143"/>
        <v>10395.738075903999</v>
      </c>
      <c r="BC173" s="4">
        <f t="shared" si="144"/>
        <v>33650.235375868484</v>
      </c>
      <c r="BD173" s="4">
        <f t="shared" si="145"/>
        <v>10818.550673341719</v>
      </c>
      <c r="BE173" s="4">
        <f t="shared" si="146"/>
        <v>37570.847999999998</v>
      </c>
      <c r="BF173" s="4">
        <f t="shared" si="147"/>
        <v>12079.027631999999</v>
      </c>
      <c r="BG173" s="4">
        <f t="shared" si="148"/>
        <v>1260.6640336162618</v>
      </c>
      <c r="BH173" s="4">
        <f t="shared" si="149"/>
        <v>54.460686252222516</v>
      </c>
      <c r="BI173" s="4">
        <f t="shared" si="150"/>
        <v>422.81259743771989</v>
      </c>
      <c r="BJ173" s="4">
        <f t="shared" si="151"/>
        <v>3758.2559663837383</v>
      </c>
      <c r="BK173" s="4">
        <f t="shared" si="152"/>
        <v>162.35665774777749</v>
      </c>
      <c r="BL173" s="4">
        <f t="shared" si="153"/>
        <v>1260.4769586582806</v>
      </c>
      <c r="BM173" s="4">
        <f t="shared" si="154"/>
        <v>32256.744033616262</v>
      </c>
      <c r="BN173" s="4">
        <f t="shared" si="155"/>
        <v>1290.2697613446505</v>
      </c>
      <c r="BO173" s="4">
        <f t="shared" si="156"/>
        <v>1290.2697613446505</v>
      </c>
      <c r="BP173" s="4">
        <f t="shared" si="157"/>
        <v>55.739653690088907</v>
      </c>
      <c r="BQ173" s="4">
        <f t="shared" si="158"/>
        <v>34996.24479090322</v>
      </c>
      <c r="BR173" s="4">
        <f t="shared" si="159"/>
        <v>11251.292700275386</v>
      </c>
      <c r="BS173" s="4">
        <f t="shared" si="160"/>
        <v>432.74202693366715</v>
      </c>
      <c r="BT173" s="4">
        <f t="shared" si="161"/>
        <v>33650.235375868484</v>
      </c>
      <c r="BU173" s="4">
        <f t="shared" si="162"/>
        <v>37570.847999999998</v>
      </c>
      <c r="BV173" s="7">
        <f t="shared" si="163"/>
        <v>150283.39199999999</v>
      </c>
      <c r="BW173" s="7">
        <f t="shared" si="164"/>
        <v>199143.49549075976</v>
      </c>
    </row>
    <row r="174" spans="1:75" x14ac:dyDescent="0.3">
      <c r="A174" s="3">
        <f t="shared" si="110"/>
        <v>170</v>
      </c>
      <c r="B174" t="str">
        <f>INDEX(Employees!$A:$A,A174+1)</f>
        <v>E170</v>
      </c>
      <c r="C174" t="str">
        <f>INDEX(Employees!$A:$Z,MATCH(B174,Employees!$A:$A,0),MATCH("category",Employees!$1:$1,0))</f>
        <v>Customer Support</v>
      </c>
      <c r="D174" t="str">
        <f>INDEX(Employees!$A:$Z,MATCH(B174,Employees!$A:$A,0),MATCH("gender",Employees!$1:$1,0))</f>
        <v>F</v>
      </c>
      <c r="E174" s="3">
        <f>INDEX(Employees!$A:$Z,MATCH(B174,Employees!$A:$A,0),MATCH("grade",Employees!$1:$1,0))</f>
        <v>4</v>
      </c>
      <c r="F174" s="3">
        <f>INDEX(Employees!$A:$Z,MATCH(B174,Employees!$A:$A,0),MATCH("rating",Employees!$1:$1,0))</f>
        <v>2</v>
      </c>
      <c r="G174" s="22">
        <f>INDEX(Employees!$A:$Z,MATCH(B174,Employees!$A:$A,0),MATCH("hire_date",Employees!$1:$1,0))</f>
        <v>45382</v>
      </c>
      <c r="H174" s="22">
        <f>INDEX(Employees!$A:$Z,MATCH(B174,Employees!$A:$A,0),MATCH("last_change_date",Employees!$1:$1,0))</f>
        <v>46113</v>
      </c>
      <c r="I174" s="4">
        <f>INDEX(Employees!$A:$Z,MATCH(B174,Employees!$A:$A,0),MATCH("base_salary",Employees!$1:$1,0))</f>
        <v>33963.9</v>
      </c>
      <c r="J174" s="5">
        <f>INDEX(Employees!$A:$Z,MATCH(B174,Employees!$A:$A,0),MATCH("bonus_pct",Employees!$1:$1,0))/100</f>
        <v>4.1599999999999998E-2</v>
      </c>
      <c r="K174" s="7">
        <f>INDEX(Employees!$A:$Z,MATCH(B174,Employees!$A:$A,0),MATCH("fte",Employees!$1:$1,0))</f>
        <v>0.5</v>
      </c>
      <c r="L174" s="3">
        <f>IF(ISNA(MATCH(C174&amp;"|"&amp;E174,Bands!$F:$F,0)),0,1)</f>
        <v>1</v>
      </c>
      <c r="M174" s="4">
        <f>INDEX(Bands!$C:$C,MATCH(C174&amp;"|"&amp;E174,Bands!$F:$F,0))</f>
        <v>29800</v>
      </c>
      <c r="N174" s="4">
        <f>INDEX(Bands!$D:$D,MATCH(C174&amp;"|"&amp;E174,Bands!$F:$F,0))</f>
        <v>34300</v>
      </c>
      <c r="O174" s="4">
        <f>INDEX(Bands!$E:$E,MATCH(C174&amp;"|"&amp;E174,Bands!$F:$F,0))</f>
        <v>38700</v>
      </c>
      <c r="P174" s="7">
        <f t="shared" si="111"/>
        <v>3.0006844626967832</v>
      </c>
      <c r="Q174" s="4">
        <f t="shared" si="112"/>
        <v>35376.798240000004</v>
      </c>
      <c r="R174" s="7">
        <f t="shared" si="113"/>
        <v>16</v>
      </c>
      <c r="S174" s="7">
        <f t="shared" si="114"/>
        <v>9.004107244669882</v>
      </c>
      <c r="T174" s="7">
        <f t="shared" si="115"/>
        <v>12.002737850787133</v>
      </c>
      <c r="U174" s="7">
        <f t="shared" si="116"/>
        <v>141507.19296000001</v>
      </c>
      <c r="V174" s="7">
        <f t="shared" si="117"/>
        <v>106154.60881872692</v>
      </c>
      <c r="W174" s="4">
        <f t="shared" si="118"/>
        <v>35376.800000000003</v>
      </c>
      <c r="X174" s="3">
        <f t="shared" si="119"/>
        <v>13</v>
      </c>
      <c r="Y174" s="4">
        <f>INDEX(Categories!$AH:$AH,MATCH(C174,Categories!$A:$A,0))</f>
        <v>37853.452052499997</v>
      </c>
      <c r="Z174" s="3">
        <f>IF(AND(D174="F",Q174&lt;Y174,INDEX(Categories!$AI:$AI,MATCH(C174,Categories!$A:$A,0))&gt;0),1,0)</f>
        <v>1</v>
      </c>
      <c r="AA174" s="4">
        <f t="shared" si="120"/>
        <v>2476.6538124999934</v>
      </c>
      <c r="AB174" s="4">
        <f>IF(Z174=1,INDEX(Categories!$AI:$AI,MATCH(C174,Categories!$A:$A,0))*AA174/INDEX(Categories!$AJ:$AJ,MATCH(C174,Categories!$A:$A,0)),0)</f>
        <v>590.23326346591818</v>
      </c>
      <c r="AC174" s="4">
        <f t="shared" si="121"/>
        <v>566.66019918002894</v>
      </c>
      <c r="AD174" s="4">
        <f t="shared" si="122"/>
        <v>34530.560199180029</v>
      </c>
      <c r="AE174" s="3">
        <f t="shared" si="123"/>
        <v>0</v>
      </c>
      <c r="AF174" s="3">
        <f t="shared" si="124"/>
        <v>36</v>
      </c>
      <c r="AG174" s="3">
        <f t="shared" si="125"/>
        <v>12</v>
      </c>
      <c r="AH174" s="3">
        <f t="shared" si="126"/>
        <v>1</v>
      </c>
      <c r="AI174" s="5">
        <f t="shared" si="127"/>
        <v>1.0067218716962107</v>
      </c>
      <c r="AJ174" s="3">
        <f>MATCH(AI174,Inputs!$B$31:$B$34,1)</f>
        <v>3</v>
      </c>
      <c r="AK174" s="5">
        <f>INDEX(Inputs!$C$21:$C$25,MATCH(F174,Inputs!$A$21:$A$25,0))</f>
        <v>0.95</v>
      </c>
      <c r="AL174" s="5">
        <f>INDEX(Inputs!$D$21:$D$25,MATCH(F174,Inputs!$A$21:$A$25,0))</f>
        <v>0</v>
      </c>
      <c r="AM174" s="4">
        <f t="shared" si="128"/>
        <v>32585</v>
      </c>
      <c r="AN174" s="4">
        <f t="shared" si="129"/>
        <v>0</v>
      </c>
      <c r="AO174" s="3">
        <f t="shared" si="130"/>
        <v>1</v>
      </c>
      <c r="AP174" s="4">
        <f t="shared" si="131"/>
        <v>10359.168059754009</v>
      </c>
      <c r="AQ174" s="4">
        <f t="shared" si="132"/>
        <v>0</v>
      </c>
      <c r="AR174" s="4">
        <f t="shared" si="133"/>
        <v>0</v>
      </c>
      <c r="AS174" s="3">
        <f t="shared" si="134"/>
        <v>0</v>
      </c>
      <c r="AT174" s="4">
        <f t="shared" si="135"/>
        <v>0</v>
      </c>
      <c r="AU174" s="4">
        <f t="shared" si="136"/>
        <v>4169.4398008199714</v>
      </c>
      <c r="AV174" s="4">
        <f t="shared" si="137"/>
        <v>0</v>
      </c>
      <c r="AW174" s="4">
        <f t="shared" si="138"/>
        <v>0</v>
      </c>
      <c r="AX174" s="5">
        <f t="shared" si="139"/>
        <v>0</v>
      </c>
      <c r="AY174" s="4">
        <f t="shared" si="140"/>
        <v>34530.560199180029</v>
      </c>
      <c r="AZ174" s="3">
        <f t="shared" si="141"/>
        <v>0</v>
      </c>
      <c r="BA174" s="4">
        <f t="shared" si="142"/>
        <v>17688.399120000002</v>
      </c>
      <c r="BB174" s="4">
        <f t="shared" si="143"/>
        <v>5686.8203170800007</v>
      </c>
      <c r="BC174" s="4">
        <f t="shared" si="144"/>
        <v>17983.515751732961</v>
      </c>
      <c r="BD174" s="4">
        <f t="shared" si="145"/>
        <v>5781.7003141821469</v>
      </c>
      <c r="BE174" s="4">
        <f t="shared" si="146"/>
        <v>17983.515751732961</v>
      </c>
      <c r="BF174" s="4">
        <f t="shared" si="147"/>
        <v>5781.7003141821469</v>
      </c>
      <c r="BG174" s="4">
        <f t="shared" si="148"/>
        <v>283.33009959001447</v>
      </c>
      <c r="BH174" s="4">
        <f t="shared" si="149"/>
        <v>11.786532142944601</v>
      </c>
      <c r="BI174" s="4">
        <f t="shared" si="150"/>
        <v>94.879997102146262</v>
      </c>
      <c r="BJ174" s="4">
        <f t="shared" si="151"/>
        <v>0</v>
      </c>
      <c r="BK174" s="4">
        <f t="shared" si="152"/>
        <v>0</v>
      </c>
      <c r="BL174" s="4">
        <f t="shared" si="153"/>
        <v>0</v>
      </c>
      <c r="BM174" s="4">
        <f t="shared" si="154"/>
        <v>17265.280099590014</v>
      </c>
      <c r="BN174" s="4">
        <f t="shared" si="155"/>
        <v>1381.2224079672012</v>
      </c>
      <c r="BO174" s="4">
        <f t="shared" si="156"/>
        <v>690.6112039836006</v>
      </c>
      <c r="BP174" s="4">
        <f t="shared" si="157"/>
        <v>28.729426085717783</v>
      </c>
      <c r="BQ174" s="4">
        <f t="shared" si="158"/>
        <v>18702.856381802278</v>
      </c>
      <c r="BR174" s="4">
        <f t="shared" si="159"/>
        <v>6012.968326749432</v>
      </c>
      <c r="BS174" s="4">
        <f t="shared" si="160"/>
        <v>231.26801256728504</v>
      </c>
      <c r="BT174" s="4">
        <f t="shared" si="161"/>
        <v>35967.031503465922</v>
      </c>
      <c r="BU174" s="4">
        <f t="shared" si="162"/>
        <v>35967.031503465922</v>
      </c>
      <c r="BV174" s="7">
        <f t="shared" si="163"/>
        <v>143868.12601386369</v>
      </c>
      <c r="BW174" s="7">
        <f t="shared" si="164"/>
        <v>107925.71260177591</v>
      </c>
    </row>
    <row r="175" spans="1:75" x14ac:dyDescent="0.3">
      <c r="A175" s="3">
        <f t="shared" si="110"/>
        <v>171</v>
      </c>
      <c r="B175" t="str">
        <f>INDEX(Employees!$A:$A,A175+1)</f>
        <v>E171</v>
      </c>
      <c r="C175" t="str">
        <f>INDEX(Employees!$A:$Z,MATCH(B175,Employees!$A:$A,0),MATCH("category",Employees!$1:$1,0))</f>
        <v>Customer Support</v>
      </c>
      <c r="D175" t="str">
        <f>INDEX(Employees!$A:$Z,MATCH(B175,Employees!$A:$A,0),MATCH("gender",Employees!$1:$1,0))</f>
        <v>F</v>
      </c>
      <c r="E175" s="3">
        <f>INDEX(Employees!$A:$Z,MATCH(B175,Employees!$A:$A,0),MATCH("grade",Employees!$1:$1,0))</f>
        <v>5</v>
      </c>
      <c r="F175" s="3">
        <f>INDEX(Employees!$A:$Z,MATCH(B175,Employees!$A:$A,0),MATCH("rating",Employees!$1:$1,0))</f>
        <v>4</v>
      </c>
      <c r="G175" s="22">
        <f>INDEX(Employees!$A:$Z,MATCH(B175,Employees!$A:$A,0),MATCH("hire_date",Employees!$1:$1,0))</f>
        <v>44506</v>
      </c>
      <c r="H175" s="22">
        <f>INDEX(Employees!$A:$Z,MATCH(B175,Employees!$A:$A,0),MATCH("last_change_date",Employees!$1:$1,0))</f>
        <v>46113</v>
      </c>
      <c r="I175" s="4">
        <f>INDEX(Employees!$A:$Z,MATCH(B175,Employees!$A:$A,0),MATCH("base_salary",Employees!$1:$1,0))</f>
        <v>39749.22</v>
      </c>
      <c r="J175" s="5">
        <f>INDEX(Employees!$A:$Z,MATCH(B175,Employees!$A:$A,0),MATCH("bonus_pct",Employees!$1:$1,0))/100</f>
        <v>4.4400000000000002E-2</v>
      </c>
      <c r="K175" s="7">
        <f>INDEX(Employees!$A:$Z,MATCH(B175,Employees!$A:$A,0),MATCH("fte",Employees!$1:$1,0))</f>
        <v>0.6</v>
      </c>
      <c r="L175" s="3">
        <f>IF(ISNA(MATCH(C175&amp;"|"&amp;E175,Bands!$F:$F,0)),0,1)</f>
        <v>1</v>
      </c>
      <c r="M175" s="4">
        <f>INDEX(Bands!$C:$C,MATCH(C175&amp;"|"&amp;E175,Bands!$F:$F,0))</f>
        <v>34500</v>
      </c>
      <c r="N175" s="4">
        <f>INDEX(Bands!$D:$D,MATCH(C175&amp;"|"&amp;E175,Bands!$F:$F,0))</f>
        <v>39700</v>
      </c>
      <c r="O175" s="4">
        <f>INDEX(Bands!$E:$E,MATCH(C175&amp;"|"&amp;E175,Bands!$F:$F,0))</f>
        <v>44900</v>
      </c>
      <c r="P175" s="7">
        <f t="shared" si="111"/>
        <v>5.3990417522245036</v>
      </c>
      <c r="Q175" s="4">
        <f t="shared" si="112"/>
        <v>41514.085368</v>
      </c>
      <c r="R175" s="7">
        <f t="shared" si="113"/>
        <v>25</v>
      </c>
      <c r="S175" s="7">
        <f t="shared" si="114"/>
        <v>29.149651842263438</v>
      </c>
      <c r="T175" s="7">
        <f t="shared" si="115"/>
        <v>26.99520876112252</v>
      </c>
      <c r="U175" s="7">
        <f t="shared" si="116"/>
        <v>207570.42684</v>
      </c>
      <c r="V175" s="7">
        <f t="shared" si="117"/>
        <v>224136.28020724433</v>
      </c>
      <c r="W175" s="4">
        <f t="shared" si="118"/>
        <v>41514.089999999997</v>
      </c>
      <c r="X175" s="3">
        <f t="shared" si="119"/>
        <v>20</v>
      </c>
      <c r="Y175" s="4">
        <f>INDEX(Categories!$AH:$AH,MATCH(C175,Categories!$A:$A,0))</f>
        <v>37853.452052499997</v>
      </c>
      <c r="Z175" s="3">
        <f>IF(AND(D175="F",Q175&lt;Y175,INDEX(Categories!$AI:$AI,MATCH(C175,Categories!$A:$A,0))&gt;0),1,0)</f>
        <v>0</v>
      </c>
      <c r="AA175" s="4">
        <f t="shared" si="120"/>
        <v>0</v>
      </c>
      <c r="AB175" s="4">
        <f>IF(Z175=1,INDEX(Categories!$AI:$AI,MATCH(C175,Categories!$A:$A,0))*AA175/INDEX(Categories!$AJ:$AJ,MATCH(C175,Categories!$A:$A,0)),0)</f>
        <v>0</v>
      </c>
      <c r="AC175" s="4">
        <f t="shared" si="121"/>
        <v>0</v>
      </c>
      <c r="AD175" s="4">
        <f t="shared" si="122"/>
        <v>39749.22</v>
      </c>
      <c r="AE175" s="3">
        <f t="shared" si="123"/>
        <v>0</v>
      </c>
      <c r="AF175" s="3">
        <f t="shared" si="124"/>
        <v>64</v>
      </c>
      <c r="AG175" s="3">
        <f t="shared" si="125"/>
        <v>12</v>
      </c>
      <c r="AH175" s="3">
        <f t="shared" si="126"/>
        <v>1</v>
      </c>
      <c r="AI175" s="5">
        <f t="shared" si="127"/>
        <v>1.001239798488665</v>
      </c>
      <c r="AJ175" s="3">
        <f>MATCH(AI175,Inputs!$B$31:$B$34,1)</f>
        <v>3</v>
      </c>
      <c r="AK175" s="5">
        <f>INDEX(Inputs!$C$21:$C$25,MATCH(F175,Inputs!$A$21:$A$25,0))</f>
        <v>1.05</v>
      </c>
      <c r="AL175" s="5">
        <f>INDEX(Inputs!$D$21:$D$25,MATCH(F175,Inputs!$A$21:$A$25,0))</f>
        <v>0.01</v>
      </c>
      <c r="AM175" s="4">
        <f t="shared" si="128"/>
        <v>41685</v>
      </c>
      <c r="AN175" s="4">
        <f t="shared" si="129"/>
        <v>1935.7799999999988</v>
      </c>
      <c r="AO175" s="3">
        <f t="shared" si="130"/>
        <v>1</v>
      </c>
      <c r="AP175" s="4">
        <f t="shared" si="131"/>
        <v>11924.766</v>
      </c>
      <c r="AQ175" s="4">
        <f t="shared" si="132"/>
        <v>397.49220000000003</v>
      </c>
      <c r="AR175" s="4">
        <f t="shared" si="133"/>
        <v>1935.7799999999988</v>
      </c>
      <c r="AS175" s="3">
        <f t="shared" si="134"/>
        <v>0</v>
      </c>
      <c r="AT175" s="4">
        <f t="shared" si="135"/>
        <v>1935.7799999999988</v>
      </c>
      <c r="AU175" s="4">
        <f t="shared" si="136"/>
        <v>5150.7799999999988</v>
      </c>
      <c r="AV175" s="4">
        <f t="shared" si="137"/>
        <v>1935.7799999999988</v>
      </c>
      <c r="AW175" s="4">
        <f t="shared" si="138"/>
        <v>1935.7799999999988</v>
      </c>
      <c r="AX175" s="5">
        <f t="shared" si="139"/>
        <v>4.8699823543707242E-2</v>
      </c>
      <c r="AY175" s="4">
        <f t="shared" si="140"/>
        <v>41685</v>
      </c>
      <c r="AZ175" s="3">
        <f t="shared" si="141"/>
        <v>0</v>
      </c>
      <c r="BA175" s="4">
        <f t="shared" si="142"/>
        <v>24908.451220799998</v>
      </c>
      <c r="BB175" s="4">
        <f t="shared" si="143"/>
        <v>8008.0670674871999</v>
      </c>
      <c r="BC175" s="4">
        <f t="shared" si="144"/>
        <v>24908.451220799998</v>
      </c>
      <c r="BD175" s="4">
        <f t="shared" si="145"/>
        <v>8008.0670674871999</v>
      </c>
      <c r="BE175" s="4">
        <f t="shared" si="146"/>
        <v>26121.488399999998</v>
      </c>
      <c r="BF175" s="4">
        <f t="shared" si="147"/>
        <v>8398.0585205999996</v>
      </c>
      <c r="BG175" s="4">
        <f t="shared" si="148"/>
        <v>0</v>
      </c>
      <c r="BH175" s="4">
        <f t="shared" si="149"/>
        <v>0</v>
      </c>
      <c r="BI175" s="4">
        <f t="shared" si="150"/>
        <v>0</v>
      </c>
      <c r="BJ175" s="4">
        <f t="shared" si="151"/>
        <v>1161.4679999999992</v>
      </c>
      <c r="BK175" s="4">
        <f t="shared" si="152"/>
        <v>51.569179199999965</v>
      </c>
      <c r="BL175" s="4">
        <f t="shared" si="153"/>
        <v>389.99145311279972</v>
      </c>
      <c r="BM175" s="4">
        <f t="shared" si="154"/>
        <v>23849.531999999999</v>
      </c>
      <c r="BN175" s="4">
        <f t="shared" si="155"/>
        <v>1589.9688000000001</v>
      </c>
      <c r="BO175" s="4">
        <f t="shared" si="156"/>
        <v>953.98127999999997</v>
      </c>
      <c r="BP175" s="4">
        <f t="shared" si="157"/>
        <v>42.356768832000007</v>
      </c>
      <c r="BQ175" s="4">
        <f t="shared" si="158"/>
        <v>25904.789269632001</v>
      </c>
      <c r="BR175" s="4">
        <f t="shared" si="159"/>
        <v>8328.3897501866886</v>
      </c>
      <c r="BS175" s="4">
        <f t="shared" si="160"/>
        <v>320.32268269948872</v>
      </c>
      <c r="BT175" s="4">
        <f t="shared" si="161"/>
        <v>41514.085368</v>
      </c>
      <c r="BU175" s="4">
        <f t="shared" si="162"/>
        <v>43535.813999999998</v>
      </c>
      <c r="BV175" s="7">
        <f t="shared" si="163"/>
        <v>217679.07</v>
      </c>
      <c r="BW175" s="7">
        <f t="shared" si="164"/>
        <v>235051.67750308008</v>
      </c>
    </row>
    <row r="176" spans="1:75" x14ac:dyDescent="0.3">
      <c r="A176" s="3">
        <f t="shared" si="110"/>
        <v>172</v>
      </c>
      <c r="B176" t="str">
        <f>INDEX(Employees!$A:$A,A176+1)</f>
        <v>E172</v>
      </c>
      <c r="C176" t="str">
        <f>INDEX(Employees!$A:$Z,MATCH(B176,Employees!$A:$A,0),MATCH("category",Employees!$1:$1,0))</f>
        <v>Customer Support</v>
      </c>
      <c r="D176" t="str">
        <f>INDEX(Employees!$A:$Z,MATCH(B176,Employees!$A:$A,0),MATCH("gender",Employees!$1:$1,0))</f>
        <v>M</v>
      </c>
      <c r="E176" s="3">
        <f>INDEX(Employees!$A:$Z,MATCH(B176,Employees!$A:$A,0),MATCH("grade",Employees!$1:$1,0))</f>
        <v>5</v>
      </c>
      <c r="F176" s="3">
        <f>INDEX(Employees!$A:$Z,MATCH(B176,Employees!$A:$A,0),MATCH("rating",Employees!$1:$1,0))</f>
        <v>3</v>
      </c>
      <c r="G176" s="22">
        <f>INDEX(Employees!$A:$Z,MATCH(B176,Employees!$A:$A,0),MATCH("hire_date",Employees!$1:$1,0))</f>
        <v>43958</v>
      </c>
      <c r="H176" s="22">
        <f>INDEX(Employees!$A:$Z,MATCH(B176,Employees!$A:$A,0),MATCH("last_change_date",Employees!$1:$1,0))</f>
        <v>46113</v>
      </c>
      <c r="I176" s="4">
        <f>INDEX(Employees!$A:$Z,MATCH(B176,Employees!$A:$A,0),MATCH("base_salary",Employees!$1:$1,0))</f>
        <v>44350.12</v>
      </c>
      <c r="J176" s="5">
        <f>INDEX(Employees!$A:$Z,MATCH(B176,Employees!$A:$A,0),MATCH("bonus_pct",Employees!$1:$1,0))/100</f>
        <v>6.0999999999999999E-2</v>
      </c>
      <c r="K176" s="7">
        <f>INDEX(Employees!$A:$Z,MATCH(B176,Employees!$A:$A,0),MATCH("fte",Employees!$1:$1,0))</f>
        <v>1</v>
      </c>
      <c r="L176" s="3">
        <f>IF(ISNA(MATCH(C176&amp;"|"&amp;E176,Bands!$F:$F,0)),0,1)</f>
        <v>1</v>
      </c>
      <c r="M176" s="4">
        <f>INDEX(Bands!$C:$C,MATCH(C176&amp;"|"&amp;E176,Bands!$F:$F,0))</f>
        <v>34500</v>
      </c>
      <c r="N176" s="4">
        <f>INDEX(Bands!$D:$D,MATCH(C176&amp;"|"&amp;E176,Bands!$F:$F,0))</f>
        <v>39700</v>
      </c>
      <c r="O176" s="4">
        <f>INDEX(Bands!$E:$E,MATCH(C176&amp;"|"&amp;E176,Bands!$F:$F,0))</f>
        <v>44900</v>
      </c>
      <c r="P176" s="7">
        <f t="shared" si="111"/>
        <v>6.8993839835728954</v>
      </c>
      <c r="Q176" s="4">
        <f t="shared" si="112"/>
        <v>47055.477319999998</v>
      </c>
      <c r="R176" s="7">
        <f t="shared" si="113"/>
        <v>25</v>
      </c>
      <c r="S176" s="7">
        <f t="shared" si="114"/>
        <v>47.601499352782191</v>
      </c>
      <c r="T176" s="7">
        <f t="shared" si="115"/>
        <v>34.496919917864474</v>
      </c>
      <c r="U176" s="7">
        <f t="shared" si="116"/>
        <v>235277.3866</v>
      </c>
      <c r="V176" s="7">
        <f t="shared" si="117"/>
        <v>324653.80656098563</v>
      </c>
      <c r="W176" s="4">
        <f t="shared" si="118"/>
        <v>47055.48</v>
      </c>
      <c r="X176" s="3">
        <f t="shared" si="119"/>
        <v>26</v>
      </c>
      <c r="Y176" s="4">
        <f>INDEX(Categories!$AH:$AH,MATCH(C176,Categories!$A:$A,0))</f>
        <v>37853.452052499997</v>
      </c>
      <c r="Z176" s="3">
        <f>IF(AND(D176="F",Q176&lt;Y176,INDEX(Categories!$AI:$AI,MATCH(C176,Categories!$A:$A,0))&gt;0),1,0)</f>
        <v>0</v>
      </c>
      <c r="AA176" s="4">
        <f t="shared" si="120"/>
        <v>0</v>
      </c>
      <c r="AB176" s="4">
        <f>IF(Z176=1,INDEX(Categories!$AI:$AI,MATCH(C176,Categories!$A:$A,0))*AA176/INDEX(Categories!$AJ:$AJ,MATCH(C176,Categories!$A:$A,0)),0)</f>
        <v>0</v>
      </c>
      <c r="AC176" s="4">
        <f t="shared" si="121"/>
        <v>0</v>
      </c>
      <c r="AD176" s="4">
        <f t="shared" si="122"/>
        <v>44350.12</v>
      </c>
      <c r="AE176" s="3">
        <f t="shared" si="123"/>
        <v>0</v>
      </c>
      <c r="AF176" s="3">
        <f t="shared" si="124"/>
        <v>82</v>
      </c>
      <c r="AG176" s="3">
        <f t="shared" si="125"/>
        <v>12</v>
      </c>
      <c r="AH176" s="3">
        <f t="shared" si="126"/>
        <v>1</v>
      </c>
      <c r="AI176" s="5">
        <f t="shared" si="127"/>
        <v>1.1171314861460957</v>
      </c>
      <c r="AJ176" s="3">
        <f>MATCH(AI176,Inputs!$B$31:$B$34,1)</f>
        <v>4</v>
      </c>
      <c r="AK176" s="5">
        <f>INDEX(Inputs!$C$21:$C$25,MATCH(F176,Inputs!$A$21:$A$25,0))</f>
        <v>1</v>
      </c>
      <c r="AL176" s="5">
        <f>INDEX(Inputs!$D$21:$D$25,MATCH(F176,Inputs!$A$21:$A$25,0))</f>
        <v>0</v>
      </c>
      <c r="AM176" s="4">
        <f t="shared" si="128"/>
        <v>39700</v>
      </c>
      <c r="AN176" s="4">
        <f t="shared" si="129"/>
        <v>0</v>
      </c>
      <c r="AO176" s="3">
        <f t="shared" si="130"/>
        <v>1</v>
      </c>
      <c r="AP176" s="4">
        <f t="shared" si="131"/>
        <v>13305.036</v>
      </c>
      <c r="AQ176" s="4">
        <f t="shared" si="132"/>
        <v>0</v>
      </c>
      <c r="AR176" s="4">
        <f t="shared" si="133"/>
        <v>0</v>
      </c>
      <c r="AS176" s="3">
        <f t="shared" si="134"/>
        <v>0</v>
      </c>
      <c r="AT176" s="4">
        <f t="shared" si="135"/>
        <v>0</v>
      </c>
      <c r="AU176" s="4">
        <f t="shared" si="136"/>
        <v>549.87999999999738</v>
      </c>
      <c r="AV176" s="4">
        <f t="shared" si="137"/>
        <v>0</v>
      </c>
      <c r="AW176" s="4">
        <f t="shared" si="138"/>
        <v>0</v>
      </c>
      <c r="AX176" s="5">
        <f t="shared" si="139"/>
        <v>0</v>
      </c>
      <c r="AY176" s="4">
        <f t="shared" si="140"/>
        <v>44350.12</v>
      </c>
      <c r="AZ176" s="3">
        <f t="shared" si="141"/>
        <v>0</v>
      </c>
      <c r="BA176" s="4">
        <f t="shared" si="142"/>
        <v>47055.477319999998</v>
      </c>
      <c r="BB176" s="4">
        <f t="shared" si="143"/>
        <v>15128.335958379999</v>
      </c>
      <c r="BC176" s="4">
        <f t="shared" si="144"/>
        <v>47055.477319999998</v>
      </c>
      <c r="BD176" s="4">
        <f t="shared" si="145"/>
        <v>15128.335958379999</v>
      </c>
      <c r="BE176" s="4">
        <f t="shared" si="146"/>
        <v>47055.477319999998</v>
      </c>
      <c r="BF176" s="4">
        <f t="shared" si="147"/>
        <v>15128.335958379999</v>
      </c>
      <c r="BG176" s="4">
        <f t="shared" si="148"/>
        <v>0</v>
      </c>
      <c r="BH176" s="4">
        <f t="shared" si="149"/>
        <v>0</v>
      </c>
      <c r="BI176" s="4">
        <f t="shared" si="150"/>
        <v>0</v>
      </c>
      <c r="BJ176" s="4">
        <f t="shared" si="151"/>
        <v>0</v>
      </c>
      <c r="BK176" s="4">
        <f t="shared" si="152"/>
        <v>0</v>
      </c>
      <c r="BL176" s="4">
        <f t="shared" si="153"/>
        <v>0</v>
      </c>
      <c r="BM176" s="4">
        <f t="shared" si="154"/>
        <v>44350.12</v>
      </c>
      <c r="BN176" s="4">
        <f t="shared" si="155"/>
        <v>1774.0048000000002</v>
      </c>
      <c r="BO176" s="4">
        <f t="shared" si="156"/>
        <v>1774.0048000000002</v>
      </c>
      <c r="BP176" s="4">
        <f t="shared" si="157"/>
        <v>108.21429280000001</v>
      </c>
      <c r="BQ176" s="4">
        <f t="shared" si="158"/>
        <v>48937.696412800004</v>
      </c>
      <c r="BR176" s="4">
        <f t="shared" si="159"/>
        <v>15733.469396715202</v>
      </c>
      <c r="BS176" s="4">
        <f t="shared" si="160"/>
        <v>605.1334383352023</v>
      </c>
      <c r="BT176" s="4">
        <f t="shared" si="161"/>
        <v>47055.477319999998</v>
      </c>
      <c r="BU176" s="4">
        <f t="shared" si="162"/>
        <v>47055.477319999998</v>
      </c>
      <c r="BV176" s="7">
        <f t="shared" si="163"/>
        <v>235277.3866</v>
      </c>
      <c r="BW176" s="7">
        <f t="shared" si="164"/>
        <v>324653.80656098563</v>
      </c>
    </row>
    <row r="177" spans="1:75" x14ac:dyDescent="0.3">
      <c r="A177" s="3">
        <f t="shared" si="110"/>
        <v>173</v>
      </c>
      <c r="B177" t="str">
        <f>INDEX(Employees!$A:$A,A177+1)</f>
        <v>E173</v>
      </c>
      <c r="C177" t="str">
        <f>INDEX(Employees!$A:$Z,MATCH(B177,Employees!$A:$A,0),MATCH("category",Employees!$1:$1,0))</f>
        <v>Customer Support</v>
      </c>
      <c r="D177" t="str">
        <f>INDEX(Employees!$A:$Z,MATCH(B177,Employees!$A:$A,0),MATCH("gender",Employees!$1:$1,0))</f>
        <v>F</v>
      </c>
      <c r="E177" s="3">
        <f>INDEX(Employees!$A:$Z,MATCH(B177,Employees!$A:$A,0),MATCH("grade",Employees!$1:$1,0))</f>
        <v>3</v>
      </c>
      <c r="F177" s="3">
        <f>INDEX(Employees!$A:$Z,MATCH(B177,Employees!$A:$A,0),MATCH("rating",Employees!$1:$1,0))</f>
        <v>3</v>
      </c>
      <c r="G177" s="22">
        <f>INDEX(Employees!$A:$Z,MATCH(B177,Employees!$A:$A,0),MATCH("hire_date",Employees!$1:$1,0))</f>
        <v>45200</v>
      </c>
      <c r="H177" s="22">
        <f>INDEX(Employees!$A:$Z,MATCH(B177,Employees!$A:$A,0),MATCH("last_change_date",Employees!$1:$1,0))</f>
        <v>46113</v>
      </c>
      <c r="I177" s="4">
        <f>INDEX(Employees!$A:$Z,MATCH(B177,Employees!$A:$A,0),MATCH("base_salary",Employees!$1:$1,0))</f>
        <v>23252.04</v>
      </c>
      <c r="J177" s="5">
        <f>INDEX(Employees!$A:$Z,MATCH(B177,Employees!$A:$A,0),MATCH("bonus_pct",Employees!$1:$1,0))/100</f>
        <v>4.6500000000000007E-2</v>
      </c>
      <c r="K177" s="7">
        <f>INDEX(Employees!$A:$Z,MATCH(B177,Employees!$A:$A,0),MATCH("fte",Employees!$1:$1,0))</f>
        <v>1</v>
      </c>
      <c r="L177" s="3">
        <f>IF(ISNA(MATCH(C177&amp;"|"&amp;E177,Bands!$F:$F,0)),0,1)</f>
        <v>1</v>
      </c>
      <c r="M177" s="4">
        <f>INDEX(Bands!$C:$C,MATCH(C177&amp;"|"&amp;E177,Bands!$F:$F,0))</f>
        <v>25700</v>
      </c>
      <c r="N177" s="4">
        <f>INDEX(Bands!$D:$D,MATCH(C177&amp;"|"&amp;E177,Bands!$F:$F,0))</f>
        <v>29500</v>
      </c>
      <c r="O177" s="4">
        <f>INDEX(Bands!$E:$E,MATCH(C177&amp;"|"&amp;E177,Bands!$F:$F,0))</f>
        <v>33400</v>
      </c>
      <c r="P177" s="7">
        <f t="shared" si="111"/>
        <v>3.4989733059548254</v>
      </c>
      <c r="Q177" s="4">
        <f t="shared" si="112"/>
        <v>24333.259860000002</v>
      </c>
      <c r="R177" s="7">
        <f t="shared" si="113"/>
        <v>9</v>
      </c>
      <c r="S177" s="7">
        <f t="shared" si="114"/>
        <v>12.24281419578444</v>
      </c>
      <c r="T177" s="7">
        <f t="shared" si="115"/>
        <v>10.496919917864476</v>
      </c>
      <c r="U177" s="7">
        <f t="shared" si="116"/>
        <v>72999.779580000002</v>
      </c>
      <c r="V177" s="7">
        <f t="shared" si="117"/>
        <v>85141.426697002054</v>
      </c>
      <c r="W177" s="4">
        <f t="shared" si="118"/>
        <v>24333.26</v>
      </c>
      <c r="X177" s="3">
        <f t="shared" si="119"/>
        <v>2</v>
      </c>
      <c r="Y177" s="4">
        <f>INDEX(Categories!$AH:$AH,MATCH(C177,Categories!$A:$A,0))</f>
        <v>37853.452052499997</v>
      </c>
      <c r="Z177" s="3">
        <f>IF(AND(D177="F",Q177&lt;Y177,INDEX(Categories!$AI:$AI,MATCH(C177,Categories!$A:$A,0))&gt;0),1,0)</f>
        <v>1</v>
      </c>
      <c r="AA177" s="4">
        <f t="shared" si="120"/>
        <v>13520.192192499995</v>
      </c>
      <c r="AB177" s="4">
        <f>IF(Z177=1,INDEX(Categories!$AI:$AI,MATCH(C177,Categories!$A:$A,0))*AA177/INDEX(Categories!$AJ:$AJ,MATCH(C177,Categories!$A:$A,0)),0)</f>
        <v>3222.1165187436627</v>
      </c>
      <c r="AC177" s="4">
        <f t="shared" si="121"/>
        <v>3078.9455506389513</v>
      </c>
      <c r="AD177" s="4">
        <f t="shared" si="122"/>
        <v>26330.98555063895</v>
      </c>
      <c r="AE177" s="3">
        <f t="shared" si="123"/>
        <v>0</v>
      </c>
      <c r="AF177" s="3">
        <f t="shared" si="124"/>
        <v>42</v>
      </c>
      <c r="AG177" s="3">
        <f t="shared" si="125"/>
        <v>12</v>
      </c>
      <c r="AH177" s="3">
        <f t="shared" si="126"/>
        <v>1</v>
      </c>
      <c r="AI177" s="5">
        <f t="shared" si="127"/>
        <v>0.89257578137759153</v>
      </c>
      <c r="AJ177" s="3">
        <f>MATCH(AI177,Inputs!$B$31:$B$34,1)</f>
        <v>1</v>
      </c>
      <c r="AK177" s="5">
        <f>INDEX(Inputs!$C$21:$C$25,MATCH(F177,Inputs!$A$21:$A$25,0))</f>
        <v>1</v>
      </c>
      <c r="AL177" s="5">
        <f>INDEX(Inputs!$D$21:$D$25,MATCH(F177,Inputs!$A$21:$A$25,0))</f>
        <v>0</v>
      </c>
      <c r="AM177" s="4">
        <f t="shared" si="128"/>
        <v>29500</v>
      </c>
      <c r="AN177" s="4">
        <f t="shared" si="129"/>
        <v>3169.0144493610496</v>
      </c>
      <c r="AO177" s="3">
        <f t="shared" si="130"/>
        <v>1</v>
      </c>
      <c r="AP177" s="4">
        <f t="shared" si="131"/>
        <v>7899.2956651916847</v>
      </c>
      <c r="AQ177" s="4">
        <f t="shared" si="132"/>
        <v>0</v>
      </c>
      <c r="AR177" s="4">
        <f t="shared" si="133"/>
        <v>3169.0144493610496</v>
      </c>
      <c r="AS177" s="3">
        <f t="shared" si="134"/>
        <v>0</v>
      </c>
      <c r="AT177" s="4">
        <f t="shared" si="135"/>
        <v>3169.0144493610496</v>
      </c>
      <c r="AU177" s="4">
        <f t="shared" si="136"/>
        <v>7069.0144493610496</v>
      </c>
      <c r="AV177" s="4">
        <f t="shared" si="137"/>
        <v>3169.0144493610496</v>
      </c>
      <c r="AW177" s="4">
        <f t="shared" si="138"/>
        <v>3169.0144493610496</v>
      </c>
      <c r="AX177" s="5">
        <f t="shared" si="139"/>
        <v>0.12035305109512508</v>
      </c>
      <c r="AY177" s="4">
        <f t="shared" si="140"/>
        <v>29500</v>
      </c>
      <c r="AZ177" s="3">
        <f t="shared" si="141"/>
        <v>0</v>
      </c>
      <c r="BA177" s="4">
        <f t="shared" si="142"/>
        <v>24333.259860000002</v>
      </c>
      <c r="BB177" s="4">
        <f t="shared" si="143"/>
        <v>7823.1430449900008</v>
      </c>
      <c r="BC177" s="4">
        <f t="shared" si="144"/>
        <v>27555.376378743662</v>
      </c>
      <c r="BD177" s="4">
        <f t="shared" si="145"/>
        <v>8859.0535057660873</v>
      </c>
      <c r="BE177" s="4">
        <f t="shared" si="146"/>
        <v>30871.75</v>
      </c>
      <c r="BF177" s="4">
        <f t="shared" si="147"/>
        <v>9925.2676250000004</v>
      </c>
      <c r="BG177" s="4">
        <f t="shared" si="148"/>
        <v>3078.9455506389513</v>
      </c>
      <c r="BH177" s="4">
        <f t="shared" si="149"/>
        <v>143.17096810471125</v>
      </c>
      <c r="BI177" s="4">
        <f t="shared" si="150"/>
        <v>1035.9104607760864</v>
      </c>
      <c r="BJ177" s="4">
        <f t="shared" si="151"/>
        <v>3169.0144493610496</v>
      </c>
      <c r="BK177" s="4">
        <f t="shared" si="152"/>
        <v>147.35917189528882</v>
      </c>
      <c r="BL177" s="4">
        <f t="shared" si="153"/>
        <v>1066.2141192339132</v>
      </c>
      <c r="BM177" s="4">
        <f t="shared" si="154"/>
        <v>26330.98555063895</v>
      </c>
      <c r="BN177" s="4">
        <f t="shared" si="155"/>
        <v>1053.239422025558</v>
      </c>
      <c r="BO177" s="4">
        <f t="shared" si="156"/>
        <v>1053.239422025558</v>
      </c>
      <c r="BP177" s="4">
        <f t="shared" si="157"/>
        <v>48.975633124188455</v>
      </c>
      <c r="BQ177" s="4">
        <f t="shared" si="158"/>
        <v>28657.591433893409</v>
      </c>
      <c r="BR177" s="4">
        <f t="shared" si="159"/>
        <v>9213.4156459967307</v>
      </c>
      <c r="BS177" s="4">
        <f t="shared" si="160"/>
        <v>354.36214023064349</v>
      </c>
      <c r="BT177" s="4">
        <f t="shared" si="161"/>
        <v>27555.376378743662</v>
      </c>
      <c r="BU177" s="4">
        <f t="shared" si="162"/>
        <v>30871.75</v>
      </c>
      <c r="BV177" s="7">
        <f t="shared" si="163"/>
        <v>92615.25</v>
      </c>
      <c r="BW177" s="7">
        <f t="shared" si="164"/>
        <v>108019.42915811088</v>
      </c>
    </row>
    <row r="178" spans="1:75" x14ac:dyDescent="0.3">
      <c r="A178" s="3">
        <f t="shared" si="110"/>
        <v>174</v>
      </c>
      <c r="B178" t="str">
        <f>INDEX(Employees!$A:$A,A178+1)</f>
        <v>E174</v>
      </c>
      <c r="C178" t="str">
        <f>INDEX(Employees!$A:$Z,MATCH(B178,Employees!$A:$A,0),MATCH("category",Employees!$1:$1,0))</f>
        <v>Customer Support</v>
      </c>
      <c r="D178" t="str">
        <f>INDEX(Employees!$A:$Z,MATCH(B178,Employees!$A:$A,0),MATCH("gender",Employees!$1:$1,0))</f>
        <v>F</v>
      </c>
      <c r="E178" s="3">
        <f>INDEX(Employees!$A:$Z,MATCH(B178,Employees!$A:$A,0),MATCH("grade",Employees!$1:$1,0))</f>
        <v>3</v>
      </c>
      <c r="F178" s="3">
        <f>INDEX(Employees!$A:$Z,MATCH(B178,Employees!$A:$A,0),MATCH("rating",Employees!$1:$1,0))</f>
        <v>2</v>
      </c>
      <c r="G178" s="22">
        <f>INDEX(Employees!$A:$Z,MATCH(B178,Employees!$A:$A,0),MATCH("hire_date",Employees!$1:$1,0))</f>
        <v>44213</v>
      </c>
      <c r="H178" s="22">
        <f>INDEX(Employees!$A:$Z,MATCH(B178,Employees!$A:$A,0),MATCH("last_change_date",Employees!$1:$1,0))</f>
        <v>46113</v>
      </c>
      <c r="I178" s="4">
        <f>INDEX(Employees!$A:$Z,MATCH(B178,Employees!$A:$A,0),MATCH("base_salary",Employees!$1:$1,0))</f>
        <v>30009.58</v>
      </c>
      <c r="J178" s="5">
        <f>INDEX(Employees!$A:$Z,MATCH(B178,Employees!$A:$A,0),MATCH("bonus_pct",Employees!$1:$1,0))/100</f>
        <v>5.9500000000000004E-2</v>
      </c>
      <c r="K178" s="7">
        <f>INDEX(Employees!$A:$Z,MATCH(B178,Employees!$A:$A,0),MATCH("fte",Employees!$1:$1,0))</f>
        <v>1</v>
      </c>
      <c r="L178" s="3">
        <f>IF(ISNA(MATCH(C178&amp;"|"&amp;E178,Bands!$F:$F,0)),0,1)</f>
        <v>1</v>
      </c>
      <c r="M178" s="4">
        <f>INDEX(Bands!$C:$C,MATCH(C178&amp;"|"&amp;E178,Bands!$F:$F,0))</f>
        <v>25700</v>
      </c>
      <c r="N178" s="4">
        <f>INDEX(Bands!$D:$D,MATCH(C178&amp;"|"&amp;E178,Bands!$F:$F,0))</f>
        <v>29500</v>
      </c>
      <c r="O178" s="4">
        <f>INDEX(Bands!$E:$E,MATCH(C178&amp;"|"&amp;E178,Bands!$F:$F,0))</f>
        <v>33400</v>
      </c>
      <c r="P178" s="7">
        <f t="shared" si="111"/>
        <v>6.2012320328542092</v>
      </c>
      <c r="Q178" s="4">
        <f t="shared" si="112"/>
        <v>31795.150010000005</v>
      </c>
      <c r="R178" s="7">
        <f t="shared" si="113"/>
        <v>9</v>
      </c>
      <c r="S178" s="7">
        <f t="shared" si="114"/>
        <v>38.455278725297148</v>
      </c>
      <c r="T178" s="7">
        <f t="shared" si="115"/>
        <v>18.603696098562629</v>
      </c>
      <c r="U178" s="7">
        <f t="shared" si="116"/>
        <v>95385.450030000007</v>
      </c>
      <c r="V178" s="7">
        <f t="shared" si="117"/>
        <v>197169.10273141685</v>
      </c>
      <c r="W178" s="4">
        <f t="shared" si="118"/>
        <v>31795.15</v>
      </c>
      <c r="X178" s="3">
        <f t="shared" si="119"/>
        <v>8</v>
      </c>
      <c r="Y178" s="4">
        <f>INDEX(Categories!$AH:$AH,MATCH(C178,Categories!$A:$A,0))</f>
        <v>37853.452052499997</v>
      </c>
      <c r="Z178" s="3">
        <f>IF(AND(D178="F",Q178&lt;Y178,INDEX(Categories!$AI:$AI,MATCH(C178,Categories!$A:$A,0))&gt;0),1,0)</f>
        <v>1</v>
      </c>
      <c r="AA178" s="4">
        <f t="shared" si="120"/>
        <v>6058.3020424999922</v>
      </c>
      <c r="AB178" s="4">
        <f>IF(Z178=1,INDEX(Categories!$AI:$AI,MATCH(C178,Categories!$A:$A,0))*AA178/INDEX(Categories!$AJ:$AJ,MATCH(C178,Categories!$A:$A,0)),0)</f>
        <v>1443.8075146229253</v>
      </c>
      <c r="AC178" s="4">
        <f t="shared" si="121"/>
        <v>1362.7253559442427</v>
      </c>
      <c r="AD178" s="4">
        <f t="shared" si="122"/>
        <v>31372.305355944245</v>
      </c>
      <c r="AE178" s="3">
        <f t="shared" si="123"/>
        <v>0</v>
      </c>
      <c r="AF178" s="3">
        <f t="shared" si="124"/>
        <v>74</v>
      </c>
      <c r="AG178" s="3">
        <f t="shared" si="125"/>
        <v>12</v>
      </c>
      <c r="AH178" s="3">
        <f t="shared" si="126"/>
        <v>1</v>
      </c>
      <c r="AI178" s="5">
        <f t="shared" si="127"/>
        <v>1.0634679781676015</v>
      </c>
      <c r="AJ178" s="3">
        <f>MATCH(AI178,Inputs!$B$31:$B$34,1)</f>
        <v>3</v>
      </c>
      <c r="AK178" s="5">
        <f>INDEX(Inputs!$C$21:$C$25,MATCH(F178,Inputs!$A$21:$A$25,0))</f>
        <v>0.95</v>
      </c>
      <c r="AL178" s="5">
        <f>INDEX(Inputs!$D$21:$D$25,MATCH(F178,Inputs!$A$21:$A$25,0))</f>
        <v>0</v>
      </c>
      <c r="AM178" s="4">
        <f t="shared" si="128"/>
        <v>28025</v>
      </c>
      <c r="AN178" s="4">
        <f t="shared" si="129"/>
        <v>0</v>
      </c>
      <c r="AO178" s="3">
        <f t="shared" si="130"/>
        <v>1</v>
      </c>
      <c r="AP178" s="4">
        <f t="shared" si="131"/>
        <v>9411.6916067832735</v>
      </c>
      <c r="AQ178" s="4">
        <f t="shared" si="132"/>
        <v>0</v>
      </c>
      <c r="AR178" s="4">
        <f t="shared" si="133"/>
        <v>0</v>
      </c>
      <c r="AS178" s="3">
        <f t="shared" si="134"/>
        <v>0</v>
      </c>
      <c r="AT178" s="4">
        <f t="shared" si="135"/>
        <v>0</v>
      </c>
      <c r="AU178" s="4">
        <f t="shared" si="136"/>
        <v>2027.6946440557549</v>
      </c>
      <c r="AV178" s="4">
        <f t="shared" si="137"/>
        <v>0</v>
      </c>
      <c r="AW178" s="4">
        <f t="shared" si="138"/>
        <v>0</v>
      </c>
      <c r="AX178" s="5">
        <f t="shared" si="139"/>
        <v>0</v>
      </c>
      <c r="AY178" s="4">
        <f t="shared" si="140"/>
        <v>31372.305355944245</v>
      </c>
      <c r="AZ178" s="3">
        <f t="shared" si="141"/>
        <v>0</v>
      </c>
      <c r="BA178" s="4">
        <f t="shared" si="142"/>
        <v>31795.150010000005</v>
      </c>
      <c r="BB178" s="4">
        <f t="shared" si="143"/>
        <v>10222.140728215001</v>
      </c>
      <c r="BC178" s="4">
        <f t="shared" si="144"/>
        <v>33238.957524622929</v>
      </c>
      <c r="BD178" s="4">
        <f t="shared" si="145"/>
        <v>10686.324844166273</v>
      </c>
      <c r="BE178" s="4">
        <f t="shared" si="146"/>
        <v>33238.957524622929</v>
      </c>
      <c r="BF178" s="4">
        <f t="shared" si="147"/>
        <v>10686.324844166273</v>
      </c>
      <c r="BG178" s="4">
        <f t="shared" si="148"/>
        <v>1362.7253559442427</v>
      </c>
      <c r="BH178" s="4">
        <f t="shared" si="149"/>
        <v>81.082158678682447</v>
      </c>
      <c r="BI178" s="4">
        <f t="shared" si="150"/>
        <v>464.18411595127145</v>
      </c>
      <c r="BJ178" s="4">
        <f t="shared" si="151"/>
        <v>0</v>
      </c>
      <c r="BK178" s="4">
        <f t="shared" si="152"/>
        <v>0</v>
      </c>
      <c r="BL178" s="4">
        <f t="shared" si="153"/>
        <v>0</v>
      </c>
      <c r="BM178" s="4">
        <f t="shared" si="154"/>
        <v>31372.305355944245</v>
      </c>
      <c r="BN178" s="4">
        <f t="shared" si="155"/>
        <v>1254.8922142377698</v>
      </c>
      <c r="BO178" s="4">
        <f t="shared" si="156"/>
        <v>1254.8922142377698</v>
      </c>
      <c r="BP178" s="4">
        <f t="shared" si="157"/>
        <v>74.666086747147318</v>
      </c>
      <c r="BQ178" s="4">
        <f t="shared" si="158"/>
        <v>34568.51582560785</v>
      </c>
      <c r="BR178" s="4">
        <f t="shared" si="159"/>
        <v>11113.777837932925</v>
      </c>
      <c r="BS178" s="4">
        <f t="shared" si="160"/>
        <v>427.45299376665207</v>
      </c>
      <c r="BT178" s="4">
        <f t="shared" si="161"/>
        <v>33238.957524622929</v>
      </c>
      <c r="BU178" s="4">
        <f t="shared" si="162"/>
        <v>33238.957524622929</v>
      </c>
      <c r="BV178" s="7">
        <f t="shared" si="163"/>
        <v>99716.872573868779</v>
      </c>
      <c r="BW178" s="7">
        <f t="shared" si="164"/>
        <v>206122.48814037215</v>
      </c>
    </row>
    <row r="179" spans="1:75" x14ac:dyDescent="0.3">
      <c r="A179" s="3">
        <f t="shared" si="110"/>
        <v>175</v>
      </c>
      <c r="B179" t="str">
        <f>INDEX(Employees!$A:$A,A179+1)</f>
        <v>E175</v>
      </c>
      <c r="C179" t="str">
        <f>INDEX(Employees!$A:$Z,MATCH(B179,Employees!$A:$A,0),MATCH("category",Employees!$1:$1,0))</f>
        <v>Customer Support</v>
      </c>
      <c r="D179" t="str">
        <f>INDEX(Employees!$A:$Z,MATCH(B179,Employees!$A:$A,0),MATCH("gender",Employees!$1:$1,0))</f>
        <v>F</v>
      </c>
      <c r="E179" s="3">
        <f>INDEX(Employees!$A:$Z,MATCH(B179,Employees!$A:$A,0),MATCH("grade",Employees!$1:$1,0))</f>
        <v>3</v>
      </c>
      <c r="F179" s="3">
        <f>INDEX(Employees!$A:$Z,MATCH(B179,Employees!$A:$A,0),MATCH("rating",Employees!$1:$1,0))</f>
        <v>5</v>
      </c>
      <c r="G179" s="22">
        <f>INDEX(Employees!$A:$Z,MATCH(B179,Employees!$A:$A,0),MATCH("hire_date",Employees!$1:$1,0))</f>
        <v>46317</v>
      </c>
      <c r="H179" s="22">
        <f>INDEX(Employees!$A:$Z,MATCH(B179,Employees!$A:$A,0),MATCH("last_change_date",Employees!$1:$1,0))</f>
        <v>46317</v>
      </c>
      <c r="I179" s="4">
        <f>INDEX(Employees!$A:$Z,MATCH(B179,Employees!$A:$A,0),MATCH("base_salary",Employees!$1:$1,0))</f>
        <v>29153.919999999998</v>
      </c>
      <c r="J179" s="5">
        <f>INDEX(Employees!$A:$Z,MATCH(B179,Employees!$A:$A,0),MATCH("bonus_pct",Employees!$1:$1,0))/100</f>
        <v>5.96E-2</v>
      </c>
      <c r="K179" s="7">
        <f>INDEX(Employees!$A:$Z,MATCH(B179,Employees!$A:$A,0),MATCH("fte",Employees!$1:$1,0))</f>
        <v>1</v>
      </c>
      <c r="L179" s="3">
        <f>IF(ISNA(MATCH(C179&amp;"|"&amp;E179,Bands!$F:$F,0)),0,1)</f>
        <v>1</v>
      </c>
      <c r="M179" s="4">
        <f>INDEX(Bands!$C:$C,MATCH(C179&amp;"|"&amp;E179,Bands!$F:$F,0))</f>
        <v>25700</v>
      </c>
      <c r="N179" s="4">
        <f>INDEX(Bands!$D:$D,MATCH(C179&amp;"|"&amp;E179,Bands!$F:$F,0))</f>
        <v>29500</v>
      </c>
      <c r="O179" s="4">
        <f>INDEX(Bands!$E:$E,MATCH(C179&amp;"|"&amp;E179,Bands!$F:$F,0))</f>
        <v>33400</v>
      </c>
      <c r="P179" s="7">
        <f t="shared" si="111"/>
        <v>0.44079397672826831</v>
      </c>
      <c r="Q179" s="4">
        <f t="shared" si="112"/>
        <v>30891.493632000002</v>
      </c>
      <c r="R179" s="7">
        <f t="shared" si="113"/>
        <v>9</v>
      </c>
      <c r="S179" s="7">
        <f t="shared" si="114"/>
        <v>0.19429932991992113</v>
      </c>
      <c r="T179" s="7">
        <f t="shared" si="115"/>
        <v>1.322381930184805</v>
      </c>
      <c r="U179" s="7">
        <f t="shared" si="116"/>
        <v>92674.480896000008</v>
      </c>
      <c r="V179" s="7">
        <f t="shared" si="117"/>
        <v>13616.784325125258</v>
      </c>
      <c r="W179" s="4">
        <f t="shared" si="118"/>
        <v>30891.49</v>
      </c>
      <c r="X179" s="3">
        <f t="shared" si="119"/>
        <v>6</v>
      </c>
      <c r="Y179" s="4">
        <f>INDEX(Categories!$AH:$AH,MATCH(C179,Categories!$A:$A,0))</f>
        <v>37853.452052499997</v>
      </c>
      <c r="Z179" s="3">
        <f>IF(AND(D179="F",Q179&lt;Y179,INDEX(Categories!$AI:$AI,MATCH(C179,Categories!$A:$A,0))&gt;0),1,0)</f>
        <v>1</v>
      </c>
      <c r="AA179" s="4">
        <f t="shared" si="120"/>
        <v>6961.9584204999956</v>
      </c>
      <c r="AB179" s="4">
        <f>IF(Z179=1,INDEX(Categories!$AI:$AI,MATCH(C179,Categories!$A:$A,0))*AA179/INDEX(Categories!$AJ:$AJ,MATCH(C179,Categories!$A:$A,0)),0)</f>
        <v>1659.165854309625</v>
      </c>
      <c r="AC179" s="4">
        <f t="shared" si="121"/>
        <v>1565.8416896089325</v>
      </c>
      <c r="AD179" s="4">
        <f t="shared" si="122"/>
        <v>30719.761689608931</v>
      </c>
      <c r="AE179" s="3">
        <f t="shared" si="123"/>
        <v>0</v>
      </c>
      <c r="AF179" s="3">
        <f t="shared" si="124"/>
        <v>5</v>
      </c>
      <c r="AG179" s="3">
        <f t="shared" si="125"/>
        <v>5</v>
      </c>
      <c r="AH179" s="3">
        <f t="shared" si="126"/>
        <v>0</v>
      </c>
      <c r="AI179" s="5">
        <f t="shared" si="127"/>
        <v>1.0413478538850485</v>
      </c>
      <c r="AJ179" s="3">
        <f>MATCH(AI179,Inputs!$B$31:$B$34,1)</f>
        <v>3</v>
      </c>
      <c r="AK179" s="5">
        <f>INDEX(Inputs!$C$21:$C$25,MATCH(F179,Inputs!$A$21:$A$25,0))</f>
        <v>1.1000000000000001</v>
      </c>
      <c r="AL179" s="5">
        <f>INDEX(Inputs!$D$21:$D$25,MATCH(F179,Inputs!$A$21:$A$25,0))</f>
        <v>0.02</v>
      </c>
      <c r="AM179" s="4">
        <f t="shared" si="128"/>
        <v>32450.000000000004</v>
      </c>
      <c r="AN179" s="4">
        <f t="shared" si="129"/>
        <v>1730.2383103910724</v>
      </c>
      <c r="AO179" s="3">
        <f t="shared" si="130"/>
        <v>1</v>
      </c>
      <c r="AP179" s="4">
        <f t="shared" si="131"/>
        <v>9215.9285068826794</v>
      </c>
      <c r="AQ179" s="4">
        <f t="shared" si="132"/>
        <v>614.3952337921786</v>
      </c>
      <c r="AR179" s="4">
        <f t="shared" si="133"/>
        <v>1730.2383103910724</v>
      </c>
      <c r="AS179" s="3">
        <f t="shared" si="134"/>
        <v>0</v>
      </c>
      <c r="AT179" s="4">
        <f t="shared" si="135"/>
        <v>1730.2383103910724</v>
      </c>
      <c r="AU179" s="4">
        <f t="shared" si="136"/>
        <v>2680.2383103910688</v>
      </c>
      <c r="AV179" s="4">
        <f t="shared" si="137"/>
        <v>1730.2383103910724</v>
      </c>
      <c r="AW179" s="4">
        <f t="shared" si="138"/>
        <v>0</v>
      </c>
      <c r="AX179" s="5">
        <f t="shared" si="139"/>
        <v>0</v>
      </c>
      <c r="AY179" s="4">
        <f t="shared" si="140"/>
        <v>30719.761689608931</v>
      </c>
      <c r="AZ179" s="3">
        <f t="shared" si="141"/>
        <v>0</v>
      </c>
      <c r="BA179" s="4">
        <f t="shared" si="142"/>
        <v>30891.493632000002</v>
      </c>
      <c r="BB179" s="4">
        <f t="shared" si="143"/>
        <v>9931.6152026880009</v>
      </c>
      <c r="BC179" s="4">
        <f t="shared" si="144"/>
        <v>32550.659486309625</v>
      </c>
      <c r="BD179" s="4">
        <f t="shared" si="145"/>
        <v>10465.037024848545</v>
      </c>
      <c r="BE179" s="4">
        <f t="shared" si="146"/>
        <v>32550.659486309625</v>
      </c>
      <c r="BF179" s="4">
        <f t="shared" si="147"/>
        <v>10465.037024848545</v>
      </c>
      <c r="BG179" s="4">
        <f t="shared" si="148"/>
        <v>1565.8416896089325</v>
      </c>
      <c r="BH179" s="4">
        <f t="shared" si="149"/>
        <v>93.324164700692378</v>
      </c>
      <c r="BI179" s="4">
        <f t="shared" si="150"/>
        <v>533.42182216054425</v>
      </c>
      <c r="BJ179" s="4">
        <f t="shared" si="151"/>
        <v>0</v>
      </c>
      <c r="BK179" s="4">
        <f t="shared" si="152"/>
        <v>0</v>
      </c>
      <c r="BL179" s="4">
        <f t="shared" si="153"/>
        <v>0</v>
      </c>
      <c r="BM179" s="4">
        <f t="shared" si="154"/>
        <v>0</v>
      </c>
      <c r="BN179" s="4">
        <f t="shared" si="155"/>
        <v>0</v>
      </c>
      <c r="BO179" s="4">
        <f t="shared" si="156"/>
        <v>0</v>
      </c>
      <c r="BP179" s="4">
        <f t="shared" si="157"/>
        <v>0</v>
      </c>
      <c r="BQ179" s="4">
        <f t="shared" si="158"/>
        <v>32550.659486309625</v>
      </c>
      <c r="BR179" s="4">
        <f t="shared" si="159"/>
        <v>10465.037024848545</v>
      </c>
      <c r="BS179" s="4">
        <f t="shared" si="160"/>
        <v>0</v>
      </c>
      <c r="BT179" s="4">
        <f t="shared" si="161"/>
        <v>32550.659486309625</v>
      </c>
      <c r="BU179" s="4">
        <f t="shared" si="162"/>
        <v>32550.659486309625</v>
      </c>
      <c r="BV179" s="7">
        <f t="shared" si="163"/>
        <v>97651.978458928876</v>
      </c>
      <c r="BW179" s="7">
        <f t="shared" si="164"/>
        <v>14348.134640098151</v>
      </c>
    </row>
    <row r="180" spans="1:75" x14ac:dyDescent="0.3">
      <c r="A180" s="3">
        <f t="shared" si="110"/>
        <v>176</v>
      </c>
      <c r="B180" t="str">
        <f>INDEX(Employees!$A:$A,A180+1)</f>
        <v>E176</v>
      </c>
      <c r="C180" t="str">
        <f>INDEX(Employees!$A:$Z,MATCH(B180,Employees!$A:$A,0),MATCH("category",Employees!$1:$1,0))</f>
        <v>Customer Support</v>
      </c>
      <c r="D180" t="str">
        <f>INDEX(Employees!$A:$Z,MATCH(B180,Employees!$A:$A,0),MATCH("gender",Employees!$1:$1,0))</f>
        <v>F</v>
      </c>
      <c r="E180" s="3">
        <f>INDEX(Employees!$A:$Z,MATCH(B180,Employees!$A:$A,0),MATCH("grade",Employees!$1:$1,0))</f>
        <v>3</v>
      </c>
      <c r="F180" s="3">
        <f>INDEX(Employees!$A:$Z,MATCH(B180,Employees!$A:$A,0),MATCH("rating",Employees!$1:$1,0))</f>
        <v>3</v>
      </c>
      <c r="G180" s="22">
        <f>INDEX(Employees!$A:$Z,MATCH(B180,Employees!$A:$A,0),MATCH("hire_date",Employees!$1:$1,0))</f>
        <v>44396</v>
      </c>
      <c r="H180" s="22">
        <f>INDEX(Employees!$A:$Z,MATCH(B180,Employees!$A:$A,0),MATCH("last_change_date",Employees!$1:$1,0))</f>
        <v>46113</v>
      </c>
      <c r="I180" s="4">
        <f>INDEX(Employees!$A:$Z,MATCH(B180,Employees!$A:$A,0),MATCH("base_salary",Employees!$1:$1,0))</f>
        <v>31813.68</v>
      </c>
      <c r="J180" s="5">
        <f>INDEX(Employees!$A:$Z,MATCH(B180,Employees!$A:$A,0),MATCH("bonus_pct",Employees!$1:$1,0))/100</f>
        <v>5.4699999999999999E-2</v>
      </c>
      <c r="K180" s="7">
        <f>INDEX(Employees!$A:$Z,MATCH(B180,Employees!$A:$A,0),MATCH("fte",Employees!$1:$1,0))</f>
        <v>1</v>
      </c>
      <c r="L180" s="3">
        <f>IF(ISNA(MATCH(C180&amp;"|"&amp;E180,Bands!$F:$F,0)),0,1)</f>
        <v>1</v>
      </c>
      <c r="M180" s="4">
        <f>INDEX(Bands!$C:$C,MATCH(C180&amp;"|"&amp;E180,Bands!$F:$F,0))</f>
        <v>25700</v>
      </c>
      <c r="N180" s="4">
        <f>INDEX(Bands!$D:$D,MATCH(C180&amp;"|"&amp;E180,Bands!$F:$F,0))</f>
        <v>29500</v>
      </c>
      <c r="O180" s="4">
        <f>INDEX(Bands!$E:$E,MATCH(C180&amp;"|"&amp;E180,Bands!$F:$F,0))</f>
        <v>33400</v>
      </c>
      <c r="P180" s="7">
        <f t="shared" si="111"/>
        <v>5.7002053388090346</v>
      </c>
      <c r="Q180" s="4">
        <f t="shared" si="112"/>
        <v>33553.888295999997</v>
      </c>
      <c r="R180" s="7">
        <f t="shared" si="113"/>
        <v>9</v>
      </c>
      <c r="S180" s="7">
        <f t="shared" si="114"/>
        <v>32.492340904587017</v>
      </c>
      <c r="T180" s="7">
        <f t="shared" si="115"/>
        <v>17.100616016427104</v>
      </c>
      <c r="U180" s="7">
        <f t="shared" si="116"/>
        <v>100661.664888</v>
      </c>
      <c r="V180" s="7">
        <f t="shared" si="117"/>
        <v>191264.05320266116</v>
      </c>
      <c r="W180" s="4">
        <f t="shared" si="118"/>
        <v>33553.89</v>
      </c>
      <c r="X180" s="3">
        <f t="shared" si="119"/>
        <v>11</v>
      </c>
      <c r="Y180" s="4">
        <f>INDEX(Categories!$AH:$AH,MATCH(C180,Categories!$A:$A,0))</f>
        <v>37853.452052499997</v>
      </c>
      <c r="Z180" s="3">
        <f>IF(AND(D180="F",Q180&lt;Y180,INDEX(Categories!$AI:$AI,MATCH(C180,Categories!$A:$A,0))&gt;0),1,0)</f>
        <v>1</v>
      </c>
      <c r="AA180" s="4">
        <f t="shared" si="120"/>
        <v>4299.5637564999997</v>
      </c>
      <c r="AB180" s="4">
        <f>IF(Z180=1,INDEX(Categories!$AI:$AI,MATCH(C180,Categories!$A:$A,0))*AA180/INDEX(Categories!$AJ:$AJ,MATCH(C180,Categories!$A:$A,0)),0)</f>
        <v>1024.6670465894126</v>
      </c>
      <c r="AC180" s="4">
        <f t="shared" si="121"/>
        <v>971.5246483259815</v>
      </c>
      <c r="AD180" s="4">
        <f t="shared" si="122"/>
        <v>32785.204648325984</v>
      </c>
      <c r="AE180" s="3">
        <f t="shared" si="123"/>
        <v>0</v>
      </c>
      <c r="AF180" s="3">
        <f t="shared" si="124"/>
        <v>68</v>
      </c>
      <c r="AG180" s="3">
        <f t="shared" si="125"/>
        <v>12</v>
      </c>
      <c r="AH180" s="3">
        <f t="shared" si="126"/>
        <v>1</v>
      </c>
      <c r="AI180" s="5">
        <f t="shared" si="127"/>
        <v>1.111362869434779</v>
      </c>
      <c r="AJ180" s="3">
        <f>MATCH(AI180,Inputs!$B$31:$B$34,1)</f>
        <v>4</v>
      </c>
      <c r="AK180" s="5">
        <f>INDEX(Inputs!$C$21:$C$25,MATCH(F180,Inputs!$A$21:$A$25,0))</f>
        <v>1</v>
      </c>
      <c r="AL180" s="5">
        <f>INDEX(Inputs!$D$21:$D$25,MATCH(F180,Inputs!$A$21:$A$25,0))</f>
        <v>0</v>
      </c>
      <c r="AM180" s="4">
        <f t="shared" si="128"/>
        <v>29500</v>
      </c>
      <c r="AN180" s="4">
        <f t="shared" si="129"/>
        <v>0</v>
      </c>
      <c r="AO180" s="3">
        <f t="shared" si="130"/>
        <v>1</v>
      </c>
      <c r="AP180" s="4">
        <f t="shared" si="131"/>
        <v>9835.561394497794</v>
      </c>
      <c r="AQ180" s="4">
        <f t="shared" si="132"/>
        <v>0</v>
      </c>
      <c r="AR180" s="4">
        <f t="shared" si="133"/>
        <v>0</v>
      </c>
      <c r="AS180" s="3">
        <f t="shared" si="134"/>
        <v>0</v>
      </c>
      <c r="AT180" s="4">
        <f t="shared" si="135"/>
        <v>0</v>
      </c>
      <c r="AU180" s="4">
        <f t="shared" si="136"/>
        <v>614.79535167401627</v>
      </c>
      <c r="AV180" s="4">
        <f t="shared" si="137"/>
        <v>0</v>
      </c>
      <c r="AW180" s="4">
        <f t="shared" si="138"/>
        <v>0</v>
      </c>
      <c r="AX180" s="5">
        <f t="shared" si="139"/>
        <v>0</v>
      </c>
      <c r="AY180" s="4">
        <f t="shared" si="140"/>
        <v>32785.204648325984</v>
      </c>
      <c r="AZ180" s="3">
        <f t="shared" si="141"/>
        <v>0</v>
      </c>
      <c r="BA180" s="4">
        <f t="shared" si="142"/>
        <v>33553.888295999997</v>
      </c>
      <c r="BB180" s="4">
        <f t="shared" si="143"/>
        <v>10787.575087163999</v>
      </c>
      <c r="BC180" s="4">
        <f t="shared" si="144"/>
        <v>34578.555342589418</v>
      </c>
      <c r="BD180" s="4">
        <f t="shared" si="145"/>
        <v>11117.005542642499</v>
      </c>
      <c r="BE180" s="4">
        <f t="shared" si="146"/>
        <v>34578.555342589418</v>
      </c>
      <c r="BF180" s="4">
        <f t="shared" si="147"/>
        <v>11117.005542642499</v>
      </c>
      <c r="BG180" s="4">
        <f t="shared" si="148"/>
        <v>971.5246483259815</v>
      </c>
      <c r="BH180" s="4">
        <f t="shared" si="149"/>
        <v>53.14239826343119</v>
      </c>
      <c r="BI180" s="4">
        <f t="shared" si="150"/>
        <v>329.43045547849943</v>
      </c>
      <c r="BJ180" s="4">
        <f t="shared" si="151"/>
        <v>0</v>
      </c>
      <c r="BK180" s="4">
        <f t="shared" si="152"/>
        <v>0</v>
      </c>
      <c r="BL180" s="4">
        <f t="shared" si="153"/>
        <v>0</v>
      </c>
      <c r="BM180" s="4">
        <f t="shared" si="154"/>
        <v>32785.204648325984</v>
      </c>
      <c r="BN180" s="4">
        <f t="shared" si="155"/>
        <v>1311.4081859330395</v>
      </c>
      <c r="BO180" s="4">
        <f t="shared" si="156"/>
        <v>1311.4081859330395</v>
      </c>
      <c r="BP180" s="4">
        <f t="shared" si="157"/>
        <v>71.734027770537253</v>
      </c>
      <c r="BQ180" s="4">
        <f t="shared" si="158"/>
        <v>35961.697556292995</v>
      </c>
      <c r="BR180" s="4">
        <f t="shared" si="159"/>
        <v>11561.685764348198</v>
      </c>
      <c r="BS180" s="4">
        <f t="shared" si="160"/>
        <v>444.6802217056993</v>
      </c>
      <c r="BT180" s="4">
        <f t="shared" si="161"/>
        <v>34578.555342589418</v>
      </c>
      <c r="BU180" s="4">
        <f t="shared" si="162"/>
        <v>34578.555342589418</v>
      </c>
      <c r="BV180" s="7">
        <f t="shared" si="163"/>
        <v>103735.66602776825</v>
      </c>
      <c r="BW180" s="7">
        <f t="shared" si="164"/>
        <v>197104.86577213186</v>
      </c>
    </row>
    <row r="181" spans="1:75" x14ac:dyDescent="0.3">
      <c r="A181" s="3">
        <f t="shared" si="110"/>
        <v>177</v>
      </c>
      <c r="B181" t="str">
        <f>INDEX(Employees!$A:$A,A181+1)</f>
        <v>E177</v>
      </c>
      <c r="C181" t="str">
        <f>INDEX(Employees!$A:$Z,MATCH(B181,Employees!$A:$A,0),MATCH("category",Employees!$1:$1,0))</f>
        <v>Customer Support</v>
      </c>
      <c r="D181" t="str">
        <f>INDEX(Employees!$A:$Z,MATCH(B181,Employees!$A:$A,0),MATCH("gender",Employees!$1:$1,0))</f>
        <v>M</v>
      </c>
      <c r="E181" s="3">
        <f>INDEX(Employees!$A:$Z,MATCH(B181,Employees!$A:$A,0),MATCH("grade",Employees!$1:$1,0))</f>
        <v>6</v>
      </c>
      <c r="F181" s="3">
        <f>INDEX(Employees!$A:$Z,MATCH(B181,Employees!$A:$A,0),MATCH("rating",Employees!$1:$1,0))</f>
        <v>3</v>
      </c>
      <c r="G181" s="22">
        <f>INDEX(Employees!$A:$Z,MATCH(B181,Employees!$A:$A,0),MATCH("hire_date",Employees!$1:$1,0))</f>
        <v>42862</v>
      </c>
      <c r="H181" s="22">
        <f>INDEX(Employees!$A:$Z,MATCH(B181,Employees!$A:$A,0),MATCH("last_change_date",Employees!$1:$1,0))</f>
        <v>46113</v>
      </c>
      <c r="I181" s="4">
        <f>INDEX(Employees!$A:$Z,MATCH(B181,Employees!$A:$A,0),MATCH("base_salary",Employees!$1:$1,0))</f>
        <v>46145.18</v>
      </c>
      <c r="J181" s="5">
        <f>INDEX(Employees!$A:$Z,MATCH(B181,Employees!$A:$A,0),MATCH("bonus_pct",Employees!$1:$1,0))/100</f>
        <v>5.3099999999999994E-2</v>
      </c>
      <c r="K181" s="7">
        <f>INDEX(Employees!$A:$Z,MATCH(B181,Employees!$A:$A,0),MATCH("fte",Employees!$1:$1,0))</f>
        <v>1</v>
      </c>
      <c r="L181" s="3">
        <f>IF(ISNA(MATCH(C181&amp;"|"&amp;E181,Bands!$F:$F,0)),0,1)</f>
        <v>1</v>
      </c>
      <c r="M181" s="4">
        <f>INDEX(Bands!$C:$C,MATCH(C181&amp;"|"&amp;E181,Bands!$F:$F,0))</f>
        <v>38300</v>
      </c>
      <c r="N181" s="4">
        <f>INDEX(Bands!$D:$D,MATCH(C181&amp;"|"&amp;E181,Bands!$F:$F,0))</f>
        <v>46000</v>
      </c>
      <c r="O181" s="4">
        <f>INDEX(Bands!$E:$E,MATCH(C181&amp;"|"&amp;E181,Bands!$F:$F,0))</f>
        <v>53600</v>
      </c>
      <c r="P181" s="7">
        <f t="shared" si="111"/>
        <v>9.9000684462696782</v>
      </c>
      <c r="Q181" s="4">
        <f t="shared" si="112"/>
        <v>48595.489057999999</v>
      </c>
      <c r="R181" s="7">
        <f t="shared" si="113"/>
        <v>36</v>
      </c>
      <c r="S181" s="7">
        <f t="shared" si="114"/>
        <v>98.011355240824514</v>
      </c>
      <c r="T181" s="7">
        <f t="shared" si="115"/>
        <v>59.400410677618069</v>
      </c>
      <c r="U181" s="7">
        <f t="shared" si="116"/>
        <v>291572.93434799998</v>
      </c>
      <c r="V181" s="7">
        <f t="shared" si="117"/>
        <v>481098.66785414919</v>
      </c>
      <c r="W181" s="4">
        <f t="shared" si="118"/>
        <v>48595.49</v>
      </c>
      <c r="X181" s="3">
        <f t="shared" si="119"/>
        <v>27</v>
      </c>
      <c r="Y181" s="4">
        <f>INDEX(Categories!$AH:$AH,MATCH(C181,Categories!$A:$A,0))</f>
        <v>37853.452052499997</v>
      </c>
      <c r="Z181" s="3">
        <f>IF(AND(D181="F",Q181&lt;Y181,INDEX(Categories!$AI:$AI,MATCH(C181,Categories!$A:$A,0))&gt;0),1,0)</f>
        <v>0</v>
      </c>
      <c r="AA181" s="4">
        <f t="shared" si="120"/>
        <v>0</v>
      </c>
      <c r="AB181" s="4">
        <f>IF(Z181=1,INDEX(Categories!$AI:$AI,MATCH(C181,Categories!$A:$A,0))*AA181/INDEX(Categories!$AJ:$AJ,MATCH(C181,Categories!$A:$A,0)),0)</f>
        <v>0</v>
      </c>
      <c r="AC181" s="4">
        <f t="shared" si="121"/>
        <v>0</v>
      </c>
      <c r="AD181" s="4">
        <f t="shared" si="122"/>
        <v>46145.18</v>
      </c>
      <c r="AE181" s="3">
        <f t="shared" si="123"/>
        <v>0</v>
      </c>
      <c r="AF181" s="3">
        <f t="shared" si="124"/>
        <v>118</v>
      </c>
      <c r="AG181" s="3">
        <f t="shared" si="125"/>
        <v>12</v>
      </c>
      <c r="AH181" s="3">
        <f t="shared" si="126"/>
        <v>1</v>
      </c>
      <c r="AI181" s="5">
        <f t="shared" si="127"/>
        <v>1.0031560869565217</v>
      </c>
      <c r="AJ181" s="3">
        <f>MATCH(AI181,Inputs!$B$31:$B$34,1)</f>
        <v>3</v>
      </c>
      <c r="AK181" s="5">
        <f>INDEX(Inputs!$C$21:$C$25,MATCH(F181,Inputs!$A$21:$A$25,0))</f>
        <v>1</v>
      </c>
      <c r="AL181" s="5">
        <f>INDEX(Inputs!$D$21:$D$25,MATCH(F181,Inputs!$A$21:$A$25,0))</f>
        <v>0</v>
      </c>
      <c r="AM181" s="4">
        <f t="shared" si="128"/>
        <v>46000</v>
      </c>
      <c r="AN181" s="4">
        <f t="shared" si="129"/>
        <v>0</v>
      </c>
      <c r="AO181" s="3">
        <f t="shared" si="130"/>
        <v>1</v>
      </c>
      <c r="AP181" s="4">
        <f t="shared" si="131"/>
        <v>13843.554</v>
      </c>
      <c r="AQ181" s="4">
        <f t="shared" si="132"/>
        <v>0</v>
      </c>
      <c r="AR181" s="4">
        <f t="shared" si="133"/>
        <v>0</v>
      </c>
      <c r="AS181" s="3">
        <f t="shared" si="134"/>
        <v>0</v>
      </c>
      <c r="AT181" s="4">
        <f t="shared" si="135"/>
        <v>0</v>
      </c>
      <c r="AU181" s="4">
        <f t="shared" si="136"/>
        <v>7454.82</v>
      </c>
      <c r="AV181" s="4">
        <f t="shared" si="137"/>
        <v>0</v>
      </c>
      <c r="AW181" s="4">
        <f t="shared" si="138"/>
        <v>0</v>
      </c>
      <c r="AX181" s="5">
        <f t="shared" si="139"/>
        <v>0</v>
      </c>
      <c r="AY181" s="4">
        <f t="shared" si="140"/>
        <v>46145.18</v>
      </c>
      <c r="AZ181" s="3">
        <f t="shared" si="141"/>
        <v>0</v>
      </c>
      <c r="BA181" s="4">
        <f t="shared" si="142"/>
        <v>48595.489057999999</v>
      </c>
      <c r="BB181" s="4">
        <f t="shared" si="143"/>
        <v>15623.449732147001</v>
      </c>
      <c r="BC181" s="4">
        <f t="shared" si="144"/>
        <v>48595.489057999999</v>
      </c>
      <c r="BD181" s="4">
        <f t="shared" si="145"/>
        <v>15623.449732147001</v>
      </c>
      <c r="BE181" s="4">
        <f t="shared" si="146"/>
        <v>48595.489057999999</v>
      </c>
      <c r="BF181" s="4">
        <f t="shared" si="147"/>
        <v>15623.449732147001</v>
      </c>
      <c r="BG181" s="4">
        <f t="shared" si="148"/>
        <v>0</v>
      </c>
      <c r="BH181" s="4">
        <f t="shared" si="149"/>
        <v>0</v>
      </c>
      <c r="BI181" s="4">
        <f t="shared" si="150"/>
        <v>0</v>
      </c>
      <c r="BJ181" s="4">
        <f t="shared" si="151"/>
        <v>0</v>
      </c>
      <c r="BK181" s="4">
        <f t="shared" si="152"/>
        <v>0</v>
      </c>
      <c r="BL181" s="4">
        <f t="shared" si="153"/>
        <v>0</v>
      </c>
      <c r="BM181" s="4">
        <f t="shared" si="154"/>
        <v>46145.18</v>
      </c>
      <c r="BN181" s="4">
        <f t="shared" si="155"/>
        <v>1845.8072</v>
      </c>
      <c r="BO181" s="4">
        <f t="shared" si="156"/>
        <v>1845.8072</v>
      </c>
      <c r="BP181" s="4">
        <f t="shared" si="157"/>
        <v>98.012362319999994</v>
      </c>
      <c r="BQ181" s="4">
        <f t="shared" si="158"/>
        <v>50539.30862032</v>
      </c>
      <c r="BR181" s="4">
        <f t="shared" si="159"/>
        <v>16248.38772143288</v>
      </c>
      <c r="BS181" s="4">
        <f t="shared" si="160"/>
        <v>624.93798928587967</v>
      </c>
      <c r="BT181" s="4">
        <f t="shared" si="161"/>
        <v>48595.489057999999</v>
      </c>
      <c r="BU181" s="4">
        <f t="shared" si="162"/>
        <v>48595.489057999999</v>
      </c>
      <c r="BV181" s="7">
        <f t="shared" si="163"/>
        <v>291572.93434799998</v>
      </c>
      <c r="BW181" s="7">
        <f t="shared" si="164"/>
        <v>481098.66785414919</v>
      </c>
    </row>
    <row r="182" spans="1:75" x14ac:dyDescent="0.3">
      <c r="A182" s="3">
        <f t="shared" si="110"/>
        <v>178</v>
      </c>
      <c r="B182" t="str">
        <f>INDEX(Employees!$A:$A,A182+1)</f>
        <v>E178</v>
      </c>
      <c r="C182" t="str">
        <f>INDEX(Employees!$A:$Z,MATCH(B182,Employees!$A:$A,0),MATCH("category",Employees!$1:$1,0))</f>
        <v>Customer Support</v>
      </c>
      <c r="D182" t="str">
        <f>INDEX(Employees!$A:$Z,MATCH(B182,Employees!$A:$A,0),MATCH("gender",Employees!$1:$1,0))</f>
        <v>M</v>
      </c>
      <c r="E182" s="3">
        <f>INDEX(Employees!$A:$Z,MATCH(B182,Employees!$A:$A,0),MATCH("grade",Employees!$1:$1,0))</f>
        <v>4</v>
      </c>
      <c r="F182" s="3">
        <f>INDEX(Employees!$A:$Z,MATCH(B182,Employees!$A:$A,0),MATCH("rating",Employees!$1:$1,0))</f>
        <v>3</v>
      </c>
      <c r="G182" s="22">
        <f>INDEX(Employees!$A:$Z,MATCH(B182,Employees!$A:$A,0),MATCH("hire_date",Employees!$1:$1,0))</f>
        <v>44579</v>
      </c>
      <c r="H182" s="22">
        <f>INDEX(Employees!$A:$Z,MATCH(B182,Employees!$A:$A,0),MATCH("last_change_date",Employees!$1:$1,0))</f>
        <v>46113</v>
      </c>
      <c r="I182" s="4">
        <f>INDEX(Employees!$A:$Z,MATCH(B182,Employees!$A:$A,0),MATCH("base_salary",Employees!$1:$1,0))</f>
        <v>37896.58</v>
      </c>
      <c r="J182" s="5">
        <f>INDEX(Employees!$A:$Z,MATCH(B182,Employees!$A:$A,0),MATCH("bonus_pct",Employees!$1:$1,0))/100</f>
        <v>5.3399999999999996E-2</v>
      </c>
      <c r="K182" s="7">
        <f>INDEX(Employees!$A:$Z,MATCH(B182,Employees!$A:$A,0),MATCH("fte",Employees!$1:$1,0))</f>
        <v>1</v>
      </c>
      <c r="L182" s="3">
        <f>IF(ISNA(MATCH(C182&amp;"|"&amp;E182,Bands!$F:$F,0)),0,1)</f>
        <v>1</v>
      </c>
      <c r="M182" s="4">
        <f>INDEX(Bands!$C:$C,MATCH(C182&amp;"|"&amp;E182,Bands!$F:$F,0))</f>
        <v>29800</v>
      </c>
      <c r="N182" s="4">
        <f>INDEX(Bands!$D:$D,MATCH(C182&amp;"|"&amp;E182,Bands!$F:$F,0))</f>
        <v>34300</v>
      </c>
      <c r="O182" s="4">
        <f>INDEX(Bands!$E:$E,MATCH(C182&amp;"|"&amp;E182,Bands!$F:$F,0))</f>
        <v>38700</v>
      </c>
      <c r="P182" s="7">
        <f t="shared" si="111"/>
        <v>5.1991786447638599</v>
      </c>
      <c r="Q182" s="4">
        <f t="shared" si="112"/>
        <v>39920.257372</v>
      </c>
      <c r="R182" s="7">
        <f t="shared" si="113"/>
        <v>16</v>
      </c>
      <c r="S182" s="7">
        <f t="shared" si="114"/>
        <v>27.031458580168568</v>
      </c>
      <c r="T182" s="7">
        <f t="shared" si="115"/>
        <v>20.79671457905544</v>
      </c>
      <c r="U182" s="7">
        <f t="shared" si="116"/>
        <v>159681.029488</v>
      </c>
      <c r="V182" s="7">
        <f t="shared" si="117"/>
        <v>207552.54962197944</v>
      </c>
      <c r="W182" s="4">
        <f t="shared" si="118"/>
        <v>39920.26</v>
      </c>
      <c r="X182" s="3">
        <f t="shared" si="119"/>
        <v>17</v>
      </c>
      <c r="Y182" s="4">
        <f>INDEX(Categories!$AH:$AH,MATCH(C182,Categories!$A:$A,0))</f>
        <v>37853.452052499997</v>
      </c>
      <c r="Z182" s="3">
        <f>IF(AND(D182="F",Q182&lt;Y182,INDEX(Categories!$AI:$AI,MATCH(C182,Categories!$A:$A,0))&gt;0),1,0)</f>
        <v>0</v>
      </c>
      <c r="AA182" s="4">
        <f t="shared" si="120"/>
        <v>0</v>
      </c>
      <c r="AB182" s="4">
        <f>IF(Z182=1,INDEX(Categories!$AI:$AI,MATCH(C182,Categories!$A:$A,0))*AA182/INDEX(Categories!$AJ:$AJ,MATCH(C182,Categories!$A:$A,0)),0)</f>
        <v>0</v>
      </c>
      <c r="AC182" s="4">
        <f t="shared" si="121"/>
        <v>0</v>
      </c>
      <c r="AD182" s="4">
        <f t="shared" si="122"/>
        <v>37896.58</v>
      </c>
      <c r="AE182" s="3">
        <f t="shared" si="123"/>
        <v>0</v>
      </c>
      <c r="AF182" s="3">
        <f t="shared" si="124"/>
        <v>62</v>
      </c>
      <c r="AG182" s="3">
        <f t="shared" si="125"/>
        <v>12</v>
      </c>
      <c r="AH182" s="3">
        <f t="shared" si="126"/>
        <v>1</v>
      </c>
      <c r="AI182" s="5">
        <f t="shared" si="127"/>
        <v>1.1048565597667639</v>
      </c>
      <c r="AJ182" s="3">
        <f>MATCH(AI182,Inputs!$B$31:$B$34,1)</f>
        <v>4</v>
      </c>
      <c r="AK182" s="5">
        <f>INDEX(Inputs!$C$21:$C$25,MATCH(F182,Inputs!$A$21:$A$25,0))</f>
        <v>1</v>
      </c>
      <c r="AL182" s="5">
        <f>INDEX(Inputs!$D$21:$D$25,MATCH(F182,Inputs!$A$21:$A$25,0))</f>
        <v>0</v>
      </c>
      <c r="AM182" s="4">
        <f t="shared" si="128"/>
        <v>34300</v>
      </c>
      <c r="AN182" s="4">
        <f t="shared" si="129"/>
        <v>0</v>
      </c>
      <c r="AO182" s="3">
        <f t="shared" si="130"/>
        <v>1</v>
      </c>
      <c r="AP182" s="4">
        <f t="shared" si="131"/>
        <v>11368.974</v>
      </c>
      <c r="AQ182" s="4">
        <f t="shared" si="132"/>
        <v>0</v>
      </c>
      <c r="AR182" s="4">
        <f t="shared" si="133"/>
        <v>0</v>
      </c>
      <c r="AS182" s="3">
        <f t="shared" si="134"/>
        <v>0</v>
      </c>
      <c r="AT182" s="4">
        <f t="shared" si="135"/>
        <v>0</v>
      </c>
      <c r="AU182" s="4">
        <f t="shared" si="136"/>
        <v>803.41999999999825</v>
      </c>
      <c r="AV182" s="4">
        <f t="shared" si="137"/>
        <v>0</v>
      </c>
      <c r="AW182" s="4">
        <f t="shared" si="138"/>
        <v>0</v>
      </c>
      <c r="AX182" s="5">
        <f t="shared" si="139"/>
        <v>0</v>
      </c>
      <c r="AY182" s="4">
        <f t="shared" si="140"/>
        <v>37896.58</v>
      </c>
      <c r="AZ182" s="3">
        <f t="shared" si="141"/>
        <v>0</v>
      </c>
      <c r="BA182" s="4">
        <f t="shared" si="142"/>
        <v>39920.257372</v>
      </c>
      <c r="BB182" s="4">
        <f t="shared" si="143"/>
        <v>12834.362745098</v>
      </c>
      <c r="BC182" s="4">
        <f t="shared" si="144"/>
        <v>39920.257372</v>
      </c>
      <c r="BD182" s="4">
        <f t="shared" si="145"/>
        <v>12834.362745098</v>
      </c>
      <c r="BE182" s="4">
        <f t="shared" si="146"/>
        <v>39920.257372</v>
      </c>
      <c r="BF182" s="4">
        <f t="shared" si="147"/>
        <v>12834.362745098</v>
      </c>
      <c r="BG182" s="4">
        <f t="shared" si="148"/>
        <v>0</v>
      </c>
      <c r="BH182" s="4">
        <f t="shared" si="149"/>
        <v>0</v>
      </c>
      <c r="BI182" s="4">
        <f t="shared" si="150"/>
        <v>0</v>
      </c>
      <c r="BJ182" s="4">
        <f t="shared" si="151"/>
        <v>0</v>
      </c>
      <c r="BK182" s="4">
        <f t="shared" si="152"/>
        <v>0</v>
      </c>
      <c r="BL182" s="4">
        <f t="shared" si="153"/>
        <v>0</v>
      </c>
      <c r="BM182" s="4">
        <f t="shared" si="154"/>
        <v>37896.58</v>
      </c>
      <c r="BN182" s="4">
        <f t="shared" si="155"/>
        <v>1515.8632</v>
      </c>
      <c r="BO182" s="4">
        <f t="shared" si="156"/>
        <v>1515.8632</v>
      </c>
      <c r="BP182" s="4">
        <f t="shared" si="157"/>
        <v>80.947094879999995</v>
      </c>
      <c r="BQ182" s="4">
        <f t="shared" si="158"/>
        <v>41517.067666880001</v>
      </c>
      <c r="BR182" s="4">
        <f t="shared" si="159"/>
        <v>13347.73725490192</v>
      </c>
      <c r="BS182" s="4">
        <f t="shared" si="160"/>
        <v>513.37450980391986</v>
      </c>
      <c r="BT182" s="4">
        <f t="shared" si="161"/>
        <v>39920.257372</v>
      </c>
      <c r="BU182" s="4">
        <f t="shared" si="162"/>
        <v>39920.257372</v>
      </c>
      <c r="BV182" s="7">
        <f t="shared" si="163"/>
        <v>159681.029488</v>
      </c>
      <c r="BW182" s="7">
        <f t="shared" si="164"/>
        <v>207552.54962197944</v>
      </c>
    </row>
    <row r="183" spans="1:75" x14ac:dyDescent="0.3">
      <c r="A183" s="3">
        <f t="shared" si="110"/>
        <v>179</v>
      </c>
      <c r="B183" t="str">
        <f>INDEX(Employees!$A:$A,A183+1)</f>
        <v>E179</v>
      </c>
      <c r="C183" t="str">
        <f>INDEX(Employees!$A:$Z,MATCH(B183,Employees!$A:$A,0),MATCH("category",Employees!$1:$1,0))</f>
        <v>Customer Support</v>
      </c>
      <c r="D183" t="str">
        <f>INDEX(Employees!$A:$Z,MATCH(B183,Employees!$A:$A,0),MATCH("gender",Employees!$1:$1,0))</f>
        <v>M</v>
      </c>
      <c r="E183" s="3">
        <f>INDEX(Employees!$A:$Z,MATCH(B183,Employees!$A:$A,0),MATCH("grade",Employees!$1:$1,0))</f>
        <v>5</v>
      </c>
      <c r="F183" s="3">
        <f>INDEX(Employees!$A:$Z,MATCH(B183,Employees!$A:$A,0),MATCH("rating",Employees!$1:$1,0))</f>
        <v>3</v>
      </c>
      <c r="G183" s="22">
        <f>INDEX(Employees!$A:$Z,MATCH(B183,Employees!$A:$A,0),MATCH("hire_date",Employees!$1:$1,0))</f>
        <v>43118</v>
      </c>
      <c r="H183" s="22">
        <f>INDEX(Employees!$A:$Z,MATCH(B183,Employees!$A:$A,0),MATCH("last_change_date",Employees!$1:$1,0))</f>
        <v>46113</v>
      </c>
      <c r="I183" s="4">
        <f>INDEX(Employees!$A:$Z,MATCH(B183,Employees!$A:$A,0),MATCH("base_salary",Employees!$1:$1,0))</f>
        <v>43405.73</v>
      </c>
      <c r="J183" s="5">
        <f>INDEX(Employees!$A:$Z,MATCH(B183,Employees!$A:$A,0),MATCH("bonus_pct",Employees!$1:$1,0))/100</f>
        <v>5.4400000000000004E-2</v>
      </c>
      <c r="K183" s="7">
        <f>INDEX(Employees!$A:$Z,MATCH(B183,Employees!$A:$A,0),MATCH("fte",Employees!$1:$1,0))</f>
        <v>1</v>
      </c>
      <c r="L183" s="3">
        <f>IF(ISNA(MATCH(C183&amp;"|"&amp;E183,Bands!$F:$F,0)),0,1)</f>
        <v>1</v>
      </c>
      <c r="M183" s="4">
        <f>INDEX(Bands!$C:$C,MATCH(C183&amp;"|"&amp;E183,Bands!$F:$F,0))</f>
        <v>34500</v>
      </c>
      <c r="N183" s="4">
        <f>INDEX(Bands!$D:$D,MATCH(C183&amp;"|"&amp;E183,Bands!$F:$F,0))</f>
        <v>39700</v>
      </c>
      <c r="O183" s="4">
        <f>INDEX(Bands!$E:$E,MATCH(C183&amp;"|"&amp;E183,Bands!$F:$F,0))</f>
        <v>44900</v>
      </c>
      <c r="P183" s="7">
        <f t="shared" si="111"/>
        <v>9.1991786447638599</v>
      </c>
      <c r="Q183" s="4">
        <f t="shared" si="112"/>
        <v>45767.001712000005</v>
      </c>
      <c r="R183" s="7">
        <f t="shared" si="113"/>
        <v>25</v>
      </c>
      <c r="S183" s="7">
        <f t="shared" si="114"/>
        <v>84.62488773827944</v>
      </c>
      <c r="T183" s="7">
        <f t="shared" si="115"/>
        <v>45.995893223819301</v>
      </c>
      <c r="U183" s="7">
        <f t="shared" si="116"/>
        <v>228835.00856000002</v>
      </c>
      <c r="V183" s="7">
        <f t="shared" si="117"/>
        <v>421018.82478390145</v>
      </c>
      <c r="W183" s="4">
        <f t="shared" si="118"/>
        <v>45767</v>
      </c>
      <c r="X183" s="3">
        <f t="shared" si="119"/>
        <v>24</v>
      </c>
      <c r="Y183" s="4">
        <f>INDEX(Categories!$AH:$AH,MATCH(C183,Categories!$A:$A,0))</f>
        <v>37853.452052499997</v>
      </c>
      <c r="Z183" s="3">
        <f>IF(AND(D183="F",Q183&lt;Y183,INDEX(Categories!$AI:$AI,MATCH(C183,Categories!$A:$A,0))&gt;0),1,0)</f>
        <v>0</v>
      </c>
      <c r="AA183" s="4">
        <f t="shared" si="120"/>
        <v>0</v>
      </c>
      <c r="AB183" s="4">
        <f>IF(Z183=1,INDEX(Categories!$AI:$AI,MATCH(C183,Categories!$A:$A,0))*AA183/INDEX(Categories!$AJ:$AJ,MATCH(C183,Categories!$A:$A,0)),0)</f>
        <v>0</v>
      </c>
      <c r="AC183" s="4">
        <f t="shared" si="121"/>
        <v>0</v>
      </c>
      <c r="AD183" s="4">
        <f t="shared" si="122"/>
        <v>43405.73</v>
      </c>
      <c r="AE183" s="3">
        <f t="shared" si="123"/>
        <v>0</v>
      </c>
      <c r="AF183" s="3">
        <f t="shared" si="124"/>
        <v>110</v>
      </c>
      <c r="AG183" s="3">
        <f t="shared" si="125"/>
        <v>12</v>
      </c>
      <c r="AH183" s="3">
        <f t="shared" si="126"/>
        <v>1</v>
      </c>
      <c r="AI183" s="5">
        <f t="shared" si="127"/>
        <v>1.0933433249370277</v>
      </c>
      <c r="AJ183" s="3">
        <f>MATCH(AI183,Inputs!$B$31:$B$34,1)</f>
        <v>3</v>
      </c>
      <c r="AK183" s="5">
        <f>INDEX(Inputs!$C$21:$C$25,MATCH(F183,Inputs!$A$21:$A$25,0))</f>
        <v>1</v>
      </c>
      <c r="AL183" s="5">
        <f>INDEX(Inputs!$D$21:$D$25,MATCH(F183,Inputs!$A$21:$A$25,0))</f>
        <v>0</v>
      </c>
      <c r="AM183" s="4">
        <f t="shared" si="128"/>
        <v>39700</v>
      </c>
      <c r="AN183" s="4">
        <f t="shared" si="129"/>
        <v>0</v>
      </c>
      <c r="AO183" s="3">
        <f t="shared" si="130"/>
        <v>1</v>
      </c>
      <c r="AP183" s="4">
        <f t="shared" si="131"/>
        <v>13021.719000000001</v>
      </c>
      <c r="AQ183" s="4">
        <f t="shared" si="132"/>
        <v>0</v>
      </c>
      <c r="AR183" s="4">
        <f t="shared" si="133"/>
        <v>0</v>
      </c>
      <c r="AS183" s="3">
        <f t="shared" si="134"/>
        <v>0</v>
      </c>
      <c r="AT183" s="4">
        <f t="shared" si="135"/>
        <v>0</v>
      </c>
      <c r="AU183" s="4">
        <f t="shared" si="136"/>
        <v>1494.2699999999968</v>
      </c>
      <c r="AV183" s="4">
        <f t="shared" si="137"/>
        <v>0</v>
      </c>
      <c r="AW183" s="4">
        <f t="shared" si="138"/>
        <v>0</v>
      </c>
      <c r="AX183" s="5">
        <f t="shared" si="139"/>
        <v>0</v>
      </c>
      <c r="AY183" s="4">
        <f t="shared" si="140"/>
        <v>43405.73</v>
      </c>
      <c r="AZ183" s="3">
        <f t="shared" si="141"/>
        <v>0</v>
      </c>
      <c r="BA183" s="4">
        <f t="shared" si="142"/>
        <v>45767.001712000005</v>
      </c>
      <c r="BB183" s="4">
        <f t="shared" si="143"/>
        <v>14714.091050408002</v>
      </c>
      <c r="BC183" s="4">
        <f t="shared" si="144"/>
        <v>45767.001712000005</v>
      </c>
      <c r="BD183" s="4">
        <f t="shared" si="145"/>
        <v>14714.091050408002</v>
      </c>
      <c r="BE183" s="4">
        <f t="shared" si="146"/>
        <v>45767.001712000005</v>
      </c>
      <c r="BF183" s="4">
        <f t="shared" si="147"/>
        <v>14714.091050408002</v>
      </c>
      <c r="BG183" s="4">
        <f t="shared" si="148"/>
        <v>0</v>
      </c>
      <c r="BH183" s="4">
        <f t="shared" si="149"/>
        <v>0</v>
      </c>
      <c r="BI183" s="4">
        <f t="shared" si="150"/>
        <v>0</v>
      </c>
      <c r="BJ183" s="4">
        <f t="shared" si="151"/>
        <v>0</v>
      </c>
      <c r="BK183" s="4">
        <f t="shared" si="152"/>
        <v>0</v>
      </c>
      <c r="BL183" s="4">
        <f t="shared" si="153"/>
        <v>0</v>
      </c>
      <c r="BM183" s="4">
        <f t="shared" si="154"/>
        <v>43405.73</v>
      </c>
      <c r="BN183" s="4">
        <f t="shared" si="155"/>
        <v>1736.2292000000002</v>
      </c>
      <c r="BO183" s="4">
        <f t="shared" si="156"/>
        <v>1736.2292000000002</v>
      </c>
      <c r="BP183" s="4">
        <f t="shared" si="157"/>
        <v>94.450868480000025</v>
      </c>
      <c r="BQ183" s="4">
        <f t="shared" si="158"/>
        <v>47597.681780480008</v>
      </c>
      <c r="BR183" s="4">
        <f t="shared" si="159"/>
        <v>15302.654692424323</v>
      </c>
      <c r="BS183" s="4">
        <f t="shared" si="160"/>
        <v>588.56364201632096</v>
      </c>
      <c r="BT183" s="4">
        <f t="shared" si="161"/>
        <v>45767.001712000005</v>
      </c>
      <c r="BU183" s="4">
        <f t="shared" si="162"/>
        <v>45767.001712000005</v>
      </c>
      <c r="BV183" s="7">
        <f t="shared" si="163"/>
        <v>228835.00856000002</v>
      </c>
      <c r="BW183" s="7">
        <f t="shared" si="164"/>
        <v>421018.82478390145</v>
      </c>
    </row>
    <row r="184" spans="1:75" x14ac:dyDescent="0.3">
      <c r="A184" s="3">
        <f t="shared" si="110"/>
        <v>180</v>
      </c>
      <c r="B184" t="str">
        <f>INDEX(Employees!$A:$A,A184+1)</f>
        <v>E180</v>
      </c>
      <c r="C184" t="str">
        <f>INDEX(Employees!$A:$Z,MATCH(B184,Employees!$A:$A,0),MATCH("category",Employees!$1:$1,0))</f>
        <v>Customer Support</v>
      </c>
      <c r="D184" t="str">
        <f>INDEX(Employees!$A:$Z,MATCH(B184,Employees!$A:$A,0),MATCH("gender",Employees!$1:$1,0))</f>
        <v>M</v>
      </c>
      <c r="E184" s="3">
        <f>INDEX(Employees!$A:$Z,MATCH(B184,Employees!$A:$A,0),MATCH("grade",Employees!$1:$1,0))</f>
        <v>4</v>
      </c>
      <c r="F184" s="3">
        <f>INDEX(Employees!$A:$Z,MATCH(B184,Employees!$A:$A,0),MATCH("rating",Employees!$1:$1,0))</f>
        <v>1</v>
      </c>
      <c r="G184" s="22">
        <f>INDEX(Employees!$A:$Z,MATCH(B184,Employees!$A:$A,0),MATCH("hire_date",Employees!$1:$1,0))</f>
        <v>45492</v>
      </c>
      <c r="H184" s="22">
        <f>INDEX(Employees!$A:$Z,MATCH(B184,Employees!$A:$A,0),MATCH("last_change_date",Employees!$1:$1,0))</f>
        <v>46113</v>
      </c>
      <c r="I184" s="4">
        <f>INDEX(Employees!$A:$Z,MATCH(B184,Employees!$A:$A,0),MATCH("base_salary",Employees!$1:$1,0))</f>
        <v>25699.63</v>
      </c>
      <c r="J184" s="5">
        <f>INDEX(Employees!$A:$Z,MATCH(B184,Employees!$A:$A,0),MATCH("bonus_pct",Employees!$1:$1,0))/100</f>
        <v>5.21E-2</v>
      </c>
      <c r="K184" s="7">
        <f>INDEX(Employees!$A:$Z,MATCH(B184,Employees!$A:$A,0),MATCH("fte",Employees!$1:$1,0))</f>
        <v>1</v>
      </c>
      <c r="L184" s="3">
        <f>IF(ISNA(MATCH(C184&amp;"|"&amp;E184,Bands!$F:$F,0)),0,1)</f>
        <v>1</v>
      </c>
      <c r="M184" s="4">
        <f>INDEX(Bands!$C:$C,MATCH(C184&amp;"|"&amp;E184,Bands!$F:$F,0))</f>
        <v>29800</v>
      </c>
      <c r="N184" s="4">
        <f>INDEX(Bands!$D:$D,MATCH(C184&amp;"|"&amp;E184,Bands!$F:$F,0))</f>
        <v>34300</v>
      </c>
      <c r="O184" s="4">
        <f>INDEX(Bands!$E:$E,MATCH(C184&amp;"|"&amp;E184,Bands!$F:$F,0))</f>
        <v>38700</v>
      </c>
      <c r="P184" s="7">
        <f t="shared" si="111"/>
        <v>2.6995208761122518</v>
      </c>
      <c r="Q184" s="4">
        <f t="shared" si="112"/>
        <v>27038.580723000003</v>
      </c>
      <c r="R184" s="7">
        <f t="shared" si="113"/>
        <v>16</v>
      </c>
      <c r="S184" s="7">
        <f t="shared" si="114"/>
        <v>7.2874129605658595</v>
      </c>
      <c r="T184" s="7">
        <f t="shared" si="115"/>
        <v>10.798083504449007</v>
      </c>
      <c r="U184" s="7">
        <f t="shared" si="116"/>
        <v>108154.32289200001</v>
      </c>
      <c r="V184" s="7">
        <f t="shared" si="117"/>
        <v>72991.21312218481</v>
      </c>
      <c r="W184" s="4">
        <f t="shared" si="118"/>
        <v>27038.58</v>
      </c>
      <c r="X184" s="3">
        <f t="shared" si="119"/>
        <v>3</v>
      </c>
      <c r="Y184" s="4">
        <f>INDEX(Categories!$AH:$AH,MATCH(C184,Categories!$A:$A,0))</f>
        <v>37853.452052499997</v>
      </c>
      <c r="Z184" s="3">
        <f>IF(AND(D184="F",Q184&lt;Y184,INDEX(Categories!$AI:$AI,MATCH(C184,Categories!$A:$A,0))&gt;0),1,0)</f>
        <v>0</v>
      </c>
      <c r="AA184" s="4">
        <f t="shared" si="120"/>
        <v>0</v>
      </c>
      <c r="AB184" s="4">
        <f>IF(Z184=1,INDEX(Categories!$AI:$AI,MATCH(C184,Categories!$A:$A,0))*AA184/INDEX(Categories!$AJ:$AJ,MATCH(C184,Categories!$A:$A,0)),0)</f>
        <v>0</v>
      </c>
      <c r="AC184" s="4">
        <f t="shared" si="121"/>
        <v>0</v>
      </c>
      <c r="AD184" s="4">
        <f t="shared" si="122"/>
        <v>25699.63</v>
      </c>
      <c r="AE184" s="3">
        <f t="shared" si="123"/>
        <v>0</v>
      </c>
      <c r="AF184" s="3">
        <f t="shared" si="124"/>
        <v>32</v>
      </c>
      <c r="AG184" s="3">
        <f t="shared" si="125"/>
        <v>12</v>
      </c>
      <c r="AH184" s="3">
        <f t="shared" si="126"/>
        <v>1</v>
      </c>
      <c r="AI184" s="5">
        <f t="shared" si="127"/>
        <v>0.7492603498542274</v>
      </c>
      <c r="AJ184" s="3">
        <f>MATCH(AI184,Inputs!$B$31:$B$34,1)</f>
        <v>1</v>
      </c>
      <c r="AK184" s="5">
        <f>INDEX(Inputs!$C$21:$C$25,MATCH(F184,Inputs!$A$21:$A$25,0))</f>
        <v>0</v>
      </c>
      <c r="AL184" s="5">
        <f>INDEX(Inputs!$D$21:$D$25,MATCH(F184,Inputs!$A$21:$A$25,0))</f>
        <v>0</v>
      </c>
      <c r="AM184" s="4">
        <f t="shared" si="128"/>
        <v>0</v>
      </c>
      <c r="AN184" s="4">
        <f t="shared" si="129"/>
        <v>0</v>
      </c>
      <c r="AO184" s="3">
        <f t="shared" si="130"/>
        <v>1</v>
      </c>
      <c r="AP184" s="4">
        <f t="shared" si="131"/>
        <v>7709.8890000000001</v>
      </c>
      <c r="AQ184" s="4">
        <f t="shared" si="132"/>
        <v>0</v>
      </c>
      <c r="AR184" s="4">
        <f t="shared" si="133"/>
        <v>0</v>
      </c>
      <c r="AS184" s="3">
        <f t="shared" si="134"/>
        <v>0</v>
      </c>
      <c r="AT184" s="4">
        <f t="shared" si="135"/>
        <v>0</v>
      </c>
      <c r="AU184" s="4">
        <f t="shared" si="136"/>
        <v>13000.369999999999</v>
      </c>
      <c r="AV184" s="4">
        <f t="shared" si="137"/>
        <v>0</v>
      </c>
      <c r="AW184" s="4">
        <f t="shared" si="138"/>
        <v>0</v>
      </c>
      <c r="AX184" s="5">
        <f t="shared" si="139"/>
        <v>0</v>
      </c>
      <c r="AY184" s="4">
        <f t="shared" si="140"/>
        <v>25699.63</v>
      </c>
      <c r="AZ184" s="3">
        <f t="shared" si="141"/>
        <v>1</v>
      </c>
      <c r="BA184" s="4">
        <f t="shared" si="142"/>
        <v>27038.580723000003</v>
      </c>
      <c r="BB184" s="4">
        <f t="shared" si="143"/>
        <v>8692.9037024445006</v>
      </c>
      <c r="BC184" s="4">
        <f t="shared" si="144"/>
        <v>27038.580723000003</v>
      </c>
      <c r="BD184" s="4">
        <f t="shared" si="145"/>
        <v>8692.9037024445006</v>
      </c>
      <c r="BE184" s="4">
        <f t="shared" si="146"/>
        <v>27038.580723000003</v>
      </c>
      <c r="BF184" s="4">
        <f t="shared" si="147"/>
        <v>8692.9037024445006</v>
      </c>
      <c r="BG184" s="4">
        <f t="shared" si="148"/>
        <v>0</v>
      </c>
      <c r="BH184" s="4">
        <f t="shared" si="149"/>
        <v>0</v>
      </c>
      <c r="BI184" s="4">
        <f t="shared" si="150"/>
        <v>0</v>
      </c>
      <c r="BJ184" s="4">
        <f t="shared" si="151"/>
        <v>0</v>
      </c>
      <c r="BK184" s="4">
        <f t="shared" si="152"/>
        <v>0</v>
      </c>
      <c r="BL184" s="4">
        <f t="shared" si="153"/>
        <v>0</v>
      </c>
      <c r="BM184" s="4">
        <f t="shared" si="154"/>
        <v>25699.63</v>
      </c>
      <c r="BN184" s="4">
        <f t="shared" si="155"/>
        <v>1027.9852000000001</v>
      </c>
      <c r="BO184" s="4">
        <f t="shared" si="156"/>
        <v>1027.9852000000001</v>
      </c>
      <c r="BP184" s="4">
        <f t="shared" si="157"/>
        <v>53.558028920000005</v>
      </c>
      <c r="BQ184" s="4">
        <f t="shared" si="158"/>
        <v>28120.123951920003</v>
      </c>
      <c r="BR184" s="4">
        <f t="shared" si="159"/>
        <v>9040.6198505422817</v>
      </c>
      <c r="BS184" s="4">
        <f t="shared" si="160"/>
        <v>347.71614809778112</v>
      </c>
      <c r="BT184" s="4">
        <f t="shared" si="161"/>
        <v>27038.580723000003</v>
      </c>
      <c r="BU184" s="4">
        <f t="shared" si="162"/>
        <v>27038.580723000003</v>
      </c>
      <c r="BV184" s="7">
        <f t="shared" si="163"/>
        <v>108154.32289200001</v>
      </c>
      <c r="BW184" s="7">
        <f t="shared" si="164"/>
        <v>72991.21312218481</v>
      </c>
    </row>
    <row r="185" spans="1:75" x14ac:dyDescent="0.3">
      <c r="A185" s="3">
        <f t="shared" si="110"/>
        <v>181</v>
      </c>
      <c r="B185" t="str">
        <f>INDEX(Employees!$A:$A,A185+1)</f>
        <v>E181</v>
      </c>
      <c r="C185" t="str">
        <f>INDEX(Employees!$A:$Z,MATCH(B185,Employees!$A:$A,0),MATCH("category",Employees!$1:$1,0))</f>
        <v>Customer Support</v>
      </c>
      <c r="D185" t="str">
        <f>INDEX(Employees!$A:$Z,MATCH(B185,Employees!$A:$A,0),MATCH("gender",Employees!$1:$1,0))</f>
        <v>M</v>
      </c>
      <c r="E185" s="3">
        <f>INDEX(Employees!$A:$Z,MATCH(B185,Employees!$A:$A,0),MATCH("grade",Employees!$1:$1,0))</f>
        <v>5</v>
      </c>
      <c r="F185" s="3">
        <f>INDEX(Employees!$A:$Z,MATCH(B185,Employees!$A:$A,0),MATCH("rating",Employees!$1:$1,0))</f>
        <v>3</v>
      </c>
      <c r="G185" s="22">
        <f>INDEX(Employees!$A:$Z,MATCH(B185,Employees!$A:$A,0),MATCH("hire_date",Employees!$1:$1,0))</f>
        <v>44177</v>
      </c>
      <c r="H185" s="22">
        <f>INDEX(Employees!$A:$Z,MATCH(B185,Employees!$A:$A,0),MATCH("last_change_date",Employees!$1:$1,0))</f>
        <v>46113</v>
      </c>
      <c r="I185" s="4">
        <f>INDEX(Employees!$A:$Z,MATCH(B185,Employees!$A:$A,0),MATCH("base_salary",Employees!$1:$1,0))</f>
        <v>41657.29</v>
      </c>
      <c r="J185" s="5">
        <f>INDEX(Employees!$A:$Z,MATCH(B185,Employees!$A:$A,0),MATCH("bonus_pct",Employees!$1:$1,0))/100</f>
        <v>4.4900000000000002E-2</v>
      </c>
      <c r="K185" s="7">
        <f>INDEX(Employees!$A:$Z,MATCH(B185,Employees!$A:$A,0),MATCH("fte",Employees!$1:$1,0))</f>
        <v>1</v>
      </c>
      <c r="L185" s="3">
        <f>IF(ISNA(MATCH(C185&amp;"|"&amp;E185,Bands!$F:$F,0)),0,1)</f>
        <v>1</v>
      </c>
      <c r="M185" s="4">
        <f>INDEX(Bands!$C:$C,MATCH(C185&amp;"|"&amp;E185,Bands!$F:$F,0))</f>
        <v>34500</v>
      </c>
      <c r="N185" s="4">
        <f>INDEX(Bands!$D:$D,MATCH(C185&amp;"|"&amp;E185,Bands!$F:$F,0))</f>
        <v>39700</v>
      </c>
      <c r="O185" s="4">
        <f>INDEX(Bands!$E:$E,MATCH(C185&amp;"|"&amp;E185,Bands!$F:$F,0))</f>
        <v>44900</v>
      </c>
      <c r="P185" s="7">
        <f t="shared" si="111"/>
        <v>6.2997946611909654</v>
      </c>
      <c r="Q185" s="4">
        <f t="shared" si="112"/>
        <v>43527.702320999997</v>
      </c>
      <c r="R185" s="7">
        <f t="shared" si="113"/>
        <v>25</v>
      </c>
      <c r="S185" s="7">
        <f t="shared" si="114"/>
        <v>39.687412773170188</v>
      </c>
      <c r="T185" s="7">
        <f t="shared" si="115"/>
        <v>31.498973305954827</v>
      </c>
      <c r="U185" s="7">
        <f t="shared" si="116"/>
        <v>217638.51160499998</v>
      </c>
      <c r="V185" s="7">
        <f t="shared" si="117"/>
        <v>274215.58669574535</v>
      </c>
      <c r="W185" s="4">
        <f t="shared" si="118"/>
        <v>43527.7</v>
      </c>
      <c r="X185" s="3">
        <f t="shared" si="119"/>
        <v>22</v>
      </c>
      <c r="Y185" s="4">
        <f>INDEX(Categories!$AH:$AH,MATCH(C185,Categories!$A:$A,0))</f>
        <v>37853.452052499997</v>
      </c>
      <c r="Z185" s="3">
        <f>IF(AND(D185="F",Q185&lt;Y185,INDEX(Categories!$AI:$AI,MATCH(C185,Categories!$A:$A,0))&gt;0),1,0)</f>
        <v>0</v>
      </c>
      <c r="AA185" s="4">
        <f t="shared" si="120"/>
        <v>0</v>
      </c>
      <c r="AB185" s="4">
        <f>IF(Z185=1,INDEX(Categories!$AI:$AI,MATCH(C185,Categories!$A:$A,0))*AA185/INDEX(Categories!$AJ:$AJ,MATCH(C185,Categories!$A:$A,0)),0)</f>
        <v>0</v>
      </c>
      <c r="AC185" s="4">
        <f t="shared" si="121"/>
        <v>0</v>
      </c>
      <c r="AD185" s="4">
        <f t="shared" si="122"/>
        <v>41657.29</v>
      </c>
      <c r="AE185" s="3">
        <f t="shared" si="123"/>
        <v>0</v>
      </c>
      <c r="AF185" s="3">
        <f t="shared" si="124"/>
        <v>75</v>
      </c>
      <c r="AG185" s="3">
        <f t="shared" si="125"/>
        <v>12</v>
      </c>
      <c r="AH185" s="3">
        <f t="shared" si="126"/>
        <v>1</v>
      </c>
      <c r="AI185" s="5">
        <f t="shared" si="127"/>
        <v>1.0493020151133501</v>
      </c>
      <c r="AJ185" s="3">
        <f>MATCH(AI185,Inputs!$B$31:$B$34,1)</f>
        <v>3</v>
      </c>
      <c r="AK185" s="5">
        <f>INDEX(Inputs!$C$21:$C$25,MATCH(F185,Inputs!$A$21:$A$25,0))</f>
        <v>1</v>
      </c>
      <c r="AL185" s="5">
        <f>INDEX(Inputs!$D$21:$D$25,MATCH(F185,Inputs!$A$21:$A$25,0))</f>
        <v>0</v>
      </c>
      <c r="AM185" s="4">
        <f t="shared" si="128"/>
        <v>39700</v>
      </c>
      <c r="AN185" s="4">
        <f t="shared" si="129"/>
        <v>0</v>
      </c>
      <c r="AO185" s="3">
        <f t="shared" si="130"/>
        <v>1</v>
      </c>
      <c r="AP185" s="4">
        <f t="shared" si="131"/>
        <v>12497.187</v>
      </c>
      <c r="AQ185" s="4">
        <f t="shared" si="132"/>
        <v>0</v>
      </c>
      <c r="AR185" s="4">
        <f t="shared" si="133"/>
        <v>0</v>
      </c>
      <c r="AS185" s="3">
        <f t="shared" si="134"/>
        <v>0</v>
      </c>
      <c r="AT185" s="4">
        <f t="shared" si="135"/>
        <v>0</v>
      </c>
      <c r="AU185" s="4">
        <f t="shared" si="136"/>
        <v>3242.7099999999991</v>
      </c>
      <c r="AV185" s="4">
        <f t="shared" si="137"/>
        <v>0</v>
      </c>
      <c r="AW185" s="4">
        <f t="shared" si="138"/>
        <v>0</v>
      </c>
      <c r="AX185" s="5">
        <f t="shared" si="139"/>
        <v>0</v>
      </c>
      <c r="AY185" s="4">
        <f t="shared" si="140"/>
        <v>41657.29</v>
      </c>
      <c r="AZ185" s="3">
        <f t="shared" si="141"/>
        <v>0</v>
      </c>
      <c r="BA185" s="4">
        <f t="shared" si="142"/>
        <v>43527.702320999997</v>
      </c>
      <c r="BB185" s="4">
        <f t="shared" si="143"/>
        <v>13994.1562962015</v>
      </c>
      <c r="BC185" s="4">
        <f t="shared" si="144"/>
        <v>43527.702320999997</v>
      </c>
      <c r="BD185" s="4">
        <f t="shared" si="145"/>
        <v>13994.1562962015</v>
      </c>
      <c r="BE185" s="4">
        <f t="shared" si="146"/>
        <v>43527.702320999997</v>
      </c>
      <c r="BF185" s="4">
        <f t="shared" si="147"/>
        <v>13994.1562962015</v>
      </c>
      <c r="BG185" s="4">
        <f t="shared" si="148"/>
        <v>0</v>
      </c>
      <c r="BH185" s="4">
        <f t="shared" si="149"/>
        <v>0</v>
      </c>
      <c r="BI185" s="4">
        <f t="shared" si="150"/>
        <v>0</v>
      </c>
      <c r="BJ185" s="4">
        <f t="shared" si="151"/>
        <v>0</v>
      </c>
      <c r="BK185" s="4">
        <f t="shared" si="152"/>
        <v>0</v>
      </c>
      <c r="BL185" s="4">
        <f t="shared" si="153"/>
        <v>0</v>
      </c>
      <c r="BM185" s="4">
        <f t="shared" si="154"/>
        <v>41657.29</v>
      </c>
      <c r="BN185" s="4">
        <f t="shared" si="155"/>
        <v>1666.2916</v>
      </c>
      <c r="BO185" s="4">
        <f t="shared" si="156"/>
        <v>1666.2916</v>
      </c>
      <c r="BP185" s="4">
        <f t="shared" si="157"/>
        <v>74.816492840000009</v>
      </c>
      <c r="BQ185" s="4">
        <f t="shared" si="158"/>
        <v>45268.810413839994</v>
      </c>
      <c r="BR185" s="4">
        <f t="shared" si="159"/>
        <v>14553.922548049559</v>
      </c>
      <c r="BS185" s="4">
        <f t="shared" si="160"/>
        <v>559.76625184805926</v>
      </c>
      <c r="BT185" s="4">
        <f t="shared" si="161"/>
        <v>43527.702320999997</v>
      </c>
      <c r="BU185" s="4">
        <f t="shared" si="162"/>
        <v>43527.702320999997</v>
      </c>
      <c r="BV185" s="7">
        <f t="shared" si="163"/>
        <v>217638.51160499998</v>
      </c>
      <c r="BW185" s="7">
        <f t="shared" si="164"/>
        <v>274215.58669574535</v>
      </c>
    </row>
    <row r="186" spans="1:75" x14ac:dyDescent="0.3">
      <c r="A186" s="3">
        <f t="shared" si="110"/>
        <v>182</v>
      </c>
      <c r="B186" t="str">
        <f>INDEX(Employees!$A:$A,A186+1)</f>
        <v>E182</v>
      </c>
      <c r="C186" t="str">
        <f>INDEX(Employees!$A:$Z,MATCH(B186,Employees!$A:$A,0),MATCH("category",Employees!$1:$1,0))</f>
        <v>Customer Support</v>
      </c>
      <c r="D186" t="str">
        <f>INDEX(Employees!$A:$Z,MATCH(B186,Employees!$A:$A,0),MATCH("gender",Employees!$1:$1,0))</f>
        <v>M</v>
      </c>
      <c r="E186" s="3">
        <f>INDEX(Employees!$A:$Z,MATCH(B186,Employees!$A:$A,0),MATCH("grade",Employees!$1:$1,0))</f>
        <v>4</v>
      </c>
      <c r="F186" s="3">
        <f>INDEX(Employees!$A:$Z,MATCH(B186,Employees!$A:$A,0),MATCH("rating",Employees!$1:$1,0))</f>
        <v>2</v>
      </c>
      <c r="G186" s="22">
        <f>INDEX(Employees!$A:$Z,MATCH(B186,Employees!$A:$A,0),MATCH("hire_date",Employees!$1:$1,0))</f>
        <v>43775</v>
      </c>
      <c r="H186" s="22">
        <f>INDEX(Employees!$A:$Z,MATCH(B186,Employees!$A:$A,0),MATCH("last_change_date",Employees!$1:$1,0))</f>
        <v>46113</v>
      </c>
      <c r="I186" s="4">
        <f>INDEX(Employees!$A:$Z,MATCH(B186,Employees!$A:$A,0),MATCH("base_salary",Employees!$1:$1,0))</f>
        <v>36329.9</v>
      </c>
      <c r="J186" s="5">
        <f>INDEX(Employees!$A:$Z,MATCH(B186,Employees!$A:$A,0),MATCH("bonus_pct",Employees!$1:$1,0))/100</f>
        <v>4.7100000000000003E-2</v>
      </c>
      <c r="K186" s="7">
        <f>INDEX(Employees!$A:$Z,MATCH(B186,Employees!$A:$A,0),MATCH("fte",Employees!$1:$1,0))</f>
        <v>1</v>
      </c>
      <c r="L186" s="3">
        <f>IF(ISNA(MATCH(C186&amp;"|"&amp;E186,Bands!$F:$F,0)),0,1)</f>
        <v>1</v>
      </c>
      <c r="M186" s="4">
        <f>INDEX(Bands!$C:$C,MATCH(C186&amp;"|"&amp;E186,Bands!$F:$F,0))</f>
        <v>29800</v>
      </c>
      <c r="N186" s="4">
        <f>INDEX(Bands!$D:$D,MATCH(C186&amp;"|"&amp;E186,Bands!$F:$F,0))</f>
        <v>34300</v>
      </c>
      <c r="O186" s="4">
        <f>INDEX(Bands!$E:$E,MATCH(C186&amp;"|"&amp;E186,Bands!$F:$F,0))</f>
        <v>38700</v>
      </c>
      <c r="P186" s="7">
        <f t="shared" si="111"/>
        <v>7.40041067761807</v>
      </c>
      <c r="Q186" s="4">
        <f t="shared" si="112"/>
        <v>38041.038289999997</v>
      </c>
      <c r="R186" s="7">
        <f t="shared" si="113"/>
        <v>16</v>
      </c>
      <c r="S186" s="7">
        <f t="shared" si="114"/>
        <v>54.766078197403544</v>
      </c>
      <c r="T186" s="7">
        <f t="shared" si="115"/>
        <v>29.60164271047228</v>
      </c>
      <c r="U186" s="7">
        <f t="shared" si="116"/>
        <v>152164.15315999999</v>
      </c>
      <c r="V186" s="7">
        <f t="shared" si="117"/>
        <v>281519.30594899383</v>
      </c>
      <c r="W186" s="4">
        <f t="shared" si="118"/>
        <v>38041.040000000001</v>
      </c>
      <c r="X186" s="3">
        <f t="shared" si="119"/>
        <v>16</v>
      </c>
      <c r="Y186" s="4">
        <f>INDEX(Categories!$AH:$AH,MATCH(C186,Categories!$A:$A,0))</f>
        <v>37853.452052499997</v>
      </c>
      <c r="Z186" s="3">
        <f>IF(AND(D186="F",Q186&lt;Y186,INDEX(Categories!$AI:$AI,MATCH(C186,Categories!$A:$A,0))&gt;0),1,0)</f>
        <v>0</v>
      </c>
      <c r="AA186" s="4">
        <f t="shared" si="120"/>
        <v>0</v>
      </c>
      <c r="AB186" s="4">
        <f>IF(Z186=1,INDEX(Categories!$AI:$AI,MATCH(C186,Categories!$A:$A,0))*AA186/INDEX(Categories!$AJ:$AJ,MATCH(C186,Categories!$A:$A,0)),0)</f>
        <v>0</v>
      </c>
      <c r="AC186" s="4">
        <f t="shared" si="121"/>
        <v>0</v>
      </c>
      <c r="AD186" s="4">
        <f t="shared" si="122"/>
        <v>36329.9</v>
      </c>
      <c r="AE186" s="3">
        <f t="shared" si="123"/>
        <v>0</v>
      </c>
      <c r="AF186" s="3">
        <f t="shared" si="124"/>
        <v>88</v>
      </c>
      <c r="AG186" s="3">
        <f t="shared" si="125"/>
        <v>12</v>
      </c>
      <c r="AH186" s="3">
        <f t="shared" si="126"/>
        <v>1</v>
      </c>
      <c r="AI186" s="5">
        <f t="shared" si="127"/>
        <v>1.0591807580174928</v>
      </c>
      <c r="AJ186" s="3">
        <f>MATCH(AI186,Inputs!$B$31:$B$34,1)</f>
        <v>3</v>
      </c>
      <c r="AK186" s="5">
        <f>INDEX(Inputs!$C$21:$C$25,MATCH(F186,Inputs!$A$21:$A$25,0))</f>
        <v>0.95</v>
      </c>
      <c r="AL186" s="5">
        <f>INDEX(Inputs!$D$21:$D$25,MATCH(F186,Inputs!$A$21:$A$25,0))</f>
        <v>0</v>
      </c>
      <c r="AM186" s="4">
        <f t="shared" si="128"/>
        <v>32585</v>
      </c>
      <c r="AN186" s="4">
        <f t="shared" si="129"/>
        <v>0</v>
      </c>
      <c r="AO186" s="3">
        <f t="shared" si="130"/>
        <v>1</v>
      </c>
      <c r="AP186" s="4">
        <f t="shared" si="131"/>
        <v>10898.97</v>
      </c>
      <c r="AQ186" s="4">
        <f t="shared" si="132"/>
        <v>0</v>
      </c>
      <c r="AR186" s="4">
        <f t="shared" si="133"/>
        <v>0</v>
      </c>
      <c r="AS186" s="3">
        <f t="shared" si="134"/>
        <v>0</v>
      </c>
      <c r="AT186" s="4">
        <f t="shared" si="135"/>
        <v>0</v>
      </c>
      <c r="AU186" s="4">
        <f t="shared" si="136"/>
        <v>2370.0999999999985</v>
      </c>
      <c r="AV186" s="4">
        <f t="shared" si="137"/>
        <v>0</v>
      </c>
      <c r="AW186" s="4">
        <f t="shared" si="138"/>
        <v>0</v>
      </c>
      <c r="AX186" s="5">
        <f t="shared" si="139"/>
        <v>0</v>
      </c>
      <c r="AY186" s="4">
        <f t="shared" si="140"/>
        <v>36329.9</v>
      </c>
      <c r="AZ186" s="3">
        <f t="shared" si="141"/>
        <v>0</v>
      </c>
      <c r="BA186" s="4">
        <f t="shared" si="142"/>
        <v>38041.038289999997</v>
      </c>
      <c r="BB186" s="4">
        <f t="shared" si="143"/>
        <v>12230.193810235</v>
      </c>
      <c r="BC186" s="4">
        <f t="shared" si="144"/>
        <v>38041.038289999997</v>
      </c>
      <c r="BD186" s="4">
        <f t="shared" si="145"/>
        <v>12230.193810235</v>
      </c>
      <c r="BE186" s="4">
        <f t="shared" si="146"/>
        <v>38041.038289999997</v>
      </c>
      <c r="BF186" s="4">
        <f t="shared" si="147"/>
        <v>12230.193810235</v>
      </c>
      <c r="BG186" s="4">
        <f t="shared" si="148"/>
        <v>0</v>
      </c>
      <c r="BH186" s="4">
        <f t="shared" si="149"/>
        <v>0</v>
      </c>
      <c r="BI186" s="4">
        <f t="shared" si="150"/>
        <v>0</v>
      </c>
      <c r="BJ186" s="4">
        <f t="shared" si="151"/>
        <v>0</v>
      </c>
      <c r="BK186" s="4">
        <f t="shared" si="152"/>
        <v>0</v>
      </c>
      <c r="BL186" s="4">
        <f t="shared" si="153"/>
        <v>0</v>
      </c>
      <c r="BM186" s="4">
        <f t="shared" si="154"/>
        <v>36329.9</v>
      </c>
      <c r="BN186" s="4">
        <f t="shared" si="155"/>
        <v>1453.1960000000001</v>
      </c>
      <c r="BO186" s="4">
        <f t="shared" si="156"/>
        <v>1453.1960000000001</v>
      </c>
      <c r="BP186" s="4">
        <f t="shared" si="157"/>
        <v>68.44553160000001</v>
      </c>
      <c r="BQ186" s="4">
        <f t="shared" si="158"/>
        <v>39562.679821600002</v>
      </c>
      <c r="BR186" s="4">
        <f t="shared" si="159"/>
        <v>12719.401562644402</v>
      </c>
      <c r="BS186" s="4">
        <f t="shared" si="160"/>
        <v>489.20775240940202</v>
      </c>
      <c r="BT186" s="4">
        <f t="shared" si="161"/>
        <v>38041.038289999997</v>
      </c>
      <c r="BU186" s="4">
        <f t="shared" si="162"/>
        <v>38041.038289999997</v>
      </c>
      <c r="BV186" s="7">
        <f t="shared" si="163"/>
        <v>152164.15315999999</v>
      </c>
      <c r="BW186" s="7">
        <f t="shared" si="164"/>
        <v>281519.30594899383</v>
      </c>
    </row>
    <row r="187" spans="1:75" x14ac:dyDescent="0.3">
      <c r="A187" s="3">
        <f t="shared" si="110"/>
        <v>183</v>
      </c>
      <c r="B187" t="str">
        <f>INDEX(Employees!$A:$A,A187+1)</f>
        <v>E183</v>
      </c>
      <c r="C187" t="str">
        <f>INDEX(Employees!$A:$Z,MATCH(B187,Employees!$A:$A,0),MATCH("category",Employees!$1:$1,0))</f>
        <v>Customer Support</v>
      </c>
      <c r="D187" t="str">
        <f>INDEX(Employees!$A:$Z,MATCH(B187,Employees!$A:$A,0),MATCH("gender",Employees!$1:$1,0))</f>
        <v>M</v>
      </c>
      <c r="E187" s="3">
        <f>INDEX(Employees!$A:$Z,MATCH(B187,Employees!$A:$A,0),MATCH("grade",Employees!$1:$1,0))</f>
        <v>4</v>
      </c>
      <c r="F187" s="3">
        <f>INDEX(Employees!$A:$Z,MATCH(B187,Employees!$A:$A,0),MATCH("rating",Employees!$1:$1,0))</f>
        <v>5</v>
      </c>
      <c r="G187" s="22">
        <f>INDEX(Employees!$A:$Z,MATCH(B187,Employees!$A:$A,0),MATCH("hire_date",Employees!$1:$1,0))</f>
        <v>45127</v>
      </c>
      <c r="H187" s="22">
        <f>INDEX(Employees!$A:$Z,MATCH(B187,Employees!$A:$A,0),MATCH("last_change_date",Employees!$1:$1,0))</f>
        <v>46113</v>
      </c>
      <c r="I187" s="4">
        <f>INDEX(Employees!$A:$Z,MATCH(B187,Employees!$A:$A,0),MATCH("base_salary",Employees!$1:$1,0))</f>
        <v>34672.81</v>
      </c>
      <c r="J187" s="5">
        <f>INDEX(Employees!$A:$Z,MATCH(B187,Employees!$A:$A,0),MATCH("bonus_pct",Employees!$1:$1,0))/100</f>
        <v>5.3899999999999997E-2</v>
      </c>
      <c r="K187" s="7">
        <f>INDEX(Employees!$A:$Z,MATCH(B187,Employees!$A:$A,0),MATCH("fte",Employees!$1:$1,0))</f>
        <v>1</v>
      </c>
      <c r="L187" s="3">
        <f>IF(ISNA(MATCH(C187&amp;"|"&amp;E187,Bands!$F:$F,0)),0,1)</f>
        <v>1</v>
      </c>
      <c r="M187" s="4">
        <f>INDEX(Bands!$C:$C,MATCH(C187&amp;"|"&amp;E187,Bands!$F:$F,0))</f>
        <v>29800</v>
      </c>
      <c r="N187" s="4">
        <f>INDEX(Bands!$D:$D,MATCH(C187&amp;"|"&amp;E187,Bands!$F:$F,0))</f>
        <v>34300</v>
      </c>
      <c r="O187" s="4">
        <f>INDEX(Bands!$E:$E,MATCH(C187&amp;"|"&amp;E187,Bands!$F:$F,0))</f>
        <v>38700</v>
      </c>
      <c r="P187" s="7">
        <f t="shared" si="111"/>
        <v>3.698836413415469</v>
      </c>
      <c r="Q187" s="4">
        <f t="shared" si="112"/>
        <v>36541.674459000002</v>
      </c>
      <c r="R187" s="7">
        <f t="shared" si="113"/>
        <v>16</v>
      </c>
      <c r="S187" s="7">
        <f t="shared" si="114"/>
        <v>13.68139081320821</v>
      </c>
      <c r="T187" s="7">
        <f t="shared" si="115"/>
        <v>14.795345653661876</v>
      </c>
      <c r="U187" s="7">
        <f t="shared" si="116"/>
        <v>146166.69783600001</v>
      </c>
      <c r="V187" s="7">
        <f t="shared" si="117"/>
        <v>135161.67609612321</v>
      </c>
      <c r="W187" s="4">
        <f t="shared" si="118"/>
        <v>36541.67</v>
      </c>
      <c r="X187" s="3">
        <f t="shared" si="119"/>
        <v>14</v>
      </c>
      <c r="Y187" s="4">
        <f>INDEX(Categories!$AH:$AH,MATCH(C187,Categories!$A:$A,0))</f>
        <v>37853.452052499997</v>
      </c>
      <c r="Z187" s="3">
        <f>IF(AND(D187="F",Q187&lt;Y187,INDEX(Categories!$AI:$AI,MATCH(C187,Categories!$A:$A,0))&gt;0),1,0)</f>
        <v>0</v>
      </c>
      <c r="AA187" s="4">
        <f t="shared" si="120"/>
        <v>0</v>
      </c>
      <c r="AB187" s="4">
        <f>IF(Z187=1,INDEX(Categories!$AI:$AI,MATCH(C187,Categories!$A:$A,0))*AA187/INDEX(Categories!$AJ:$AJ,MATCH(C187,Categories!$A:$A,0)),0)</f>
        <v>0</v>
      </c>
      <c r="AC187" s="4">
        <f t="shared" si="121"/>
        <v>0</v>
      </c>
      <c r="AD187" s="4">
        <f t="shared" si="122"/>
        <v>34672.81</v>
      </c>
      <c r="AE187" s="3">
        <f t="shared" si="123"/>
        <v>0</v>
      </c>
      <c r="AF187" s="3">
        <f t="shared" si="124"/>
        <v>44</v>
      </c>
      <c r="AG187" s="3">
        <f t="shared" si="125"/>
        <v>12</v>
      </c>
      <c r="AH187" s="3">
        <f t="shared" si="126"/>
        <v>1</v>
      </c>
      <c r="AI187" s="5">
        <f t="shared" si="127"/>
        <v>1.0108690962099125</v>
      </c>
      <c r="AJ187" s="3">
        <f>MATCH(AI187,Inputs!$B$31:$B$34,1)</f>
        <v>3</v>
      </c>
      <c r="AK187" s="5">
        <f>INDEX(Inputs!$C$21:$C$25,MATCH(F187,Inputs!$A$21:$A$25,0))</f>
        <v>1.1000000000000001</v>
      </c>
      <c r="AL187" s="5">
        <f>INDEX(Inputs!$D$21:$D$25,MATCH(F187,Inputs!$A$21:$A$25,0))</f>
        <v>0.02</v>
      </c>
      <c r="AM187" s="4">
        <f t="shared" si="128"/>
        <v>37730</v>
      </c>
      <c r="AN187" s="4">
        <f t="shared" si="129"/>
        <v>3057.1900000000023</v>
      </c>
      <c r="AO187" s="3">
        <f t="shared" si="130"/>
        <v>1</v>
      </c>
      <c r="AP187" s="4">
        <f t="shared" si="131"/>
        <v>10401.842999999999</v>
      </c>
      <c r="AQ187" s="4">
        <f t="shared" si="132"/>
        <v>693.45619999999997</v>
      </c>
      <c r="AR187" s="4">
        <f t="shared" si="133"/>
        <v>3057.1900000000023</v>
      </c>
      <c r="AS187" s="3">
        <f t="shared" si="134"/>
        <v>0</v>
      </c>
      <c r="AT187" s="4">
        <f t="shared" si="135"/>
        <v>3057.1900000000023</v>
      </c>
      <c r="AU187" s="4">
        <f t="shared" si="136"/>
        <v>4027.1900000000023</v>
      </c>
      <c r="AV187" s="4">
        <f t="shared" si="137"/>
        <v>3057.1900000000023</v>
      </c>
      <c r="AW187" s="4">
        <f t="shared" si="138"/>
        <v>3057.1900000000023</v>
      </c>
      <c r="AX187" s="5">
        <f t="shared" si="139"/>
        <v>8.8172547884062535E-2</v>
      </c>
      <c r="AY187" s="4">
        <f t="shared" si="140"/>
        <v>37730</v>
      </c>
      <c r="AZ187" s="3">
        <f t="shared" si="141"/>
        <v>0</v>
      </c>
      <c r="BA187" s="4">
        <f t="shared" si="142"/>
        <v>36541.674459000002</v>
      </c>
      <c r="BB187" s="4">
        <f t="shared" si="143"/>
        <v>11748.148338568501</v>
      </c>
      <c r="BC187" s="4">
        <f t="shared" si="144"/>
        <v>36541.674459000002</v>
      </c>
      <c r="BD187" s="4">
        <f t="shared" si="145"/>
        <v>11748.148338568501</v>
      </c>
      <c r="BE187" s="4">
        <f t="shared" si="146"/>
        <v>39763.647000000004</v>
      </c>
      <c r="BF187" s="4">
        <f t="shared" si="147"/>
        <v>12784.012510500002</v>
      </c>
      <c r="BG187" s="4">
        <f t="shared" si="148"/>
        <v>0</v>
      </c>
      <c r="BH187" s="4">
        <f t="shared" si="149"/>
        <v>0</v>
      </c>
      <c r="BI187" s="4">
        <f t="shared" si="150"/>
        <v>0</v>
      </c>
      <c r="BJ187" s="4">
        <f t="shared" si="151"/>
        <v>3057.1900000000023</v>
      </c>
      <c r="BK187" s="4">
        <f t="shared" si="152"/>
        <v>164.78254100000012</v>
      </c>
      <c r="BL187" s="4">
        <f t="shared" si="153"/>
        <v>1035.8641719315019</v>
      </c>
      <c r="BM187" s="4">
        <f t="shared" si="154"/>
        <v>34672.81</v>
      </c>
      <c r="BN187" s="4">
        <f t="shared" si="155"/>
        <v>1386.9123999999999</v>
      </c>
      <c r="BO187" s="4">
        <f t="shared" si="156"/>
        <v>1386.9123999999999</v>
      </c>
      <c r="BP187" s="4">
        <f t="shared" si="157"/>
        <v>74.754578359999996</v>
      </c>
      <c r="BQ187" s="4">
        <f t="shared" si="158"/>
        <v>38003.341437360003</v>
      </c>
      <c r="BR187" s="4">
        <f t="shared" si="159"/>
        <v>12218.074272111242</v>
      </c>
      <c r="BS187" s="4">
        <f t="shared" si="160"/>
        <v>469.9259335427414</v>
      </c>
      <c r="BT187" s="4">
        <f t="shared" si="161"/>
        <v>36541.674459000002</v>
      </c>
      <c r="BU187" s="4">
        <f t="shared" si="162"/>
        <v>39763.647000000004</v>
      </c>
      <c r="BV187" s="7">
        <f t="shared" si="163"/>
        <v>159054.58800000002</v>
      </c>
      <c r="BW187" s="7">
        <f t="shared" si="164"/>
        <v>147079.22545379878</v>
      </c>
    </row>
    <row r="188" spans="1:75" x14ac:dyDescent="0.3">
      <c r="A188" s="3">
        <f t="shared" si="110"/>
        <v>184</v>
      </c>
      <c r="B188" t="str">
        <f>INDEX(Employees!$A:$A,A188+1)</f>
        <v>E184</v>
      </c>
      <c r="C188" t="str">
        <f>INDEX(Employees!$A:$Z,MATCH(B188,Employees!$A:$A,0),MATCH("category",Employees!$1:$1,0))</f>
        <v>Customer Support</v>
      </c>
      <c r="D188" t="str">
        <f>INDEX(Employees!$A:$Z,MATCH(B188,Employees!$A:$A,0),MATCH("gender",Employees!$1:$1,0))</f>
        <v>M</v>
      </c>
      <c r="E188" s="3">
        <f>INDEX(Employees!$A:$Z,MATCH(B188,Employees!$A:$A,0),MATCH("grade",Employees!$1:$1,0))</f>
        <v>4</v>
      </c>
      <c r="F188" s="3">
        <f>INDEX(Employees!$A:$Z,MATCH(B188,Employees!$A:$A,0),MATCH("rating",Employees!$1:$1,0))</f>
        <v>5</v>
      </c>
      <c r="G188" s="22">
        <f>INDEX(Employees!$A:$Z,MATCH(B188,Employees!$A:$A,0),MATCH("hire_date",Employees!$1:$1,0))</f>
        <v>45090</v>
      </c>
      <c r="H188" s="22">
        <f>INDEX(Employees!$A:$Z,MATCH(B188,Employees!$A:$A,0),MATCH("last_change_date",Employees!$1:$1,0))</f>
        <v>46113</v>
      </c>
      <c r="I188" s="4">
        <f>INDEX(Employees!$A:$Z,MATCH(B188,Employees!$A:$A,0),MATCH("base_salary",Employees!$1:$1,0))</f>
        <v>27579.18</v>
      </c>
      <c r="J188" s="5">
        <f>INDEX(Employees!$A:$Z,MATCH(B188,Employees!$A:$A,0),MATCH("bonus_pct",Employees!$1:$1,0))/100</f>
        <v>6.0999999999999999E-2</v>
      </c>
      <c r="K188" s="7">
        <f>INDEX(Employees!$A:$Z,MATCH(B188,Employees!$A:$A,0),MATCH("fte",Employees!$1:$1,0))</f>
        <v>1</v>
      </c>
      <c r="L188" s="3">
        <f>IF(ISNA(MATCH(C188&amp;"|"&amp;E188,Bands!$F:$F,0)),0,1)</f>
        <v>1</v>
      </c>
      <c r="M188" s="4">
        <f>INDEX(Bands!$C:$C,MATCH(C188&amp;"|"&amp;E188,Bands!$F:$F,0))</f>
        <v>29800</v>
      </c>
      <c r="N188" s="4">
        <f>INDEX(Bands!$D:$D,MATCH(C188&amp;"|"&amp;E188,Bands!$F:$F,0))</f>
        <v>34300</v>
      </c>
      <c r="O188" s="4">
        <f>INDEX(Bands!$E:$E,MATCH(C188&amp;"|"&amp;E188,Bands!$F:$F,0))</f>
        <v>38700</v>
      </c>
      <c r="P188" s="7">
        <f t="shared" si="111"/>
        <v>3.8001368925393568</v>
      </c>
      <c r="Q188" s="4">
        <f t="shared" si="112"/>
        <v>29261.509979999999</v>
      </c>
      <c r="R188" s="7">
        <f t="shared" si="113"/>
        <v>16</v>
      </c>
      <c r="S188" s="7">
        <f t="shared" si="114"/>
        <v>14.441040402038679</v>
      </c>
      <c r="T188" s="7">
        <f t="shared" si="115"/>
        <v>15.200547570157427</v>
      </c>
      <c r="U188" s="7">
        <f t="shared" si="116"/>
        <v>117046.03992</v>
      </c>
      <c r="V188" s="7">
        <f t="shared" si="117"/>
        <v>111197.74360640657</v>
      </c>
      <c r="W188" s="4">
        <f t="shared" si="118"/>
        <v>29261.51</v>
      </c>
      <c r="X188" s="3">
        <f t="shared" si="119"/>
        <v>4</v>
      </c>
      <c r="Y188" s="4">
        <f>INDEX(Categories!$AH:$AH,MATCH(C188,Categories!$A:$A,0))</f>
        <v>37853.452052499997</v>
      </c>
      <c r="Z188" s="3">
        <f>IF(AND(D188="F",Q188&lt;Y188,INDEX(Categories!$AI:$AI,MATCH(C188,Categories!$A:$A,0))&gt;0),1,0)</f>
        <v>0</v>
      </c>
      <c r="AA188" s="4">
        <f t="shared" si="120"/>
        <v>0</v>
      </c>
      <c r="AB188" s="4">
        <f>IF(Z188=1,INDEX(Categories!$AI:$AI,MATCH(C188,Categories!$A:$A,0))*AA188/INDEX(Categories!$AJ:$AJ,MATCH(C188,Categories!$A:$A,0)),0)</f>
        <v>0</v>
      </c>
      <c r="AC188" s="4">
        <f t="shared" si="121"/>
        <v>0</v>
      </c>
      <c r="AD188" s="4">
        <f t="shared" si="122"/>
        <v>27579.18</v>
      </c>
      <c r="AE188" s="3">
        <f t="shared" si="123"/>
        <v>0</v>
      </c>
      <c r="AF188" s="3">
        <f t="shared" si="124"/>
        <v>45</v>
      </c>
      <c r="AG188" s="3">
        <f t="shared" si="125"/>
        <v>12</v>
      </c>
      <c r="AH188" s="3">
        <f t="shared" si="126"/>
        <v>1</v>
      </c>
      <c r="AI188" s="5">
        <f t="shared" si="127"/>
        <v>0.8040577259475219</v>
      </c>
      <c r="AJ188" s="3">
        <f>MATCH(AI188,Inputs!$B$31:$B$34,1)</f>
        <v>1</v>
      </c>
      <c r="AK188" s="5">
        <f>INDEX(Inputs!$C$21:$C$25,MATCH(F188,Inputs!$A$21:$A$25,0))</f>
        <v>1.1000000000000001</v>
      </c>
      <c r="AL188" s="5">
        <f>INDEX(Inputs!$D$21:$D$25,MATCH(F188,Inputs!$A$21:$A$25,0))</f>
        <v>0.02</v>
      </c>
      <c r="AM188" s="4">
        <f t="shared" si="128"/>
        <v>37730</v>
      </c>
      <c r="AN188" s="4">
        <f t="shared" si="129"/>
        <v>10150.82</v>
      </c>
      <c r="AO188" s="3">
        <f t="shared" si="130"/>
        <v>1</v>
      </c>
      <c r="AP188" s="4">
        <f t="shared" si="131"/>
        <v>8273.753999999999</v>
      </c>
      <c r="AQ188" s="4">
        <f t="shared" si="132"/>
        <v>551.58360000000005</v>
      </c>
      <c r="AR188" s="4">
        <f t="shared" si="133"/>
        <v>8273.753999999999</v>
      </c>
      <c r="AS188" s="3">
        <f t="shared" si="134"/>
        <v>0</v>
      </c>
      <c r="AT188" s="4">
        <f t="shared" si="135"/>
        <v>8273.753999999999</v>
      </c>
      <c r="AU188" s="4">
        <f t="shared" si="136"/>
        <v>11120.82</v>
      </c>
      <c r="AV188" s="4">
        <f t="shared" si="137"/>
        <v>8273.753999999999</v>
      </c>
      <c r="AW188" s="4">
        <f t="shared" si="138"/>
        <v>8273.753999999999</v>
      </c>
      <c r="AX188" s="5">
        <f t="shared" si="139"/>
        <v>0.29999999999999993</v>
      </c>
      <c r="AY188" s="4">
        <f t="shared" si="140"/>
        <v>35852.934000000001</v>
      </c>
      <c r="AZ188" s="3">
        <f t="shared" si="141"/>
        <v>0</v>
      </c>
      <c r="BA188" s="4">
        <f t="shared" si="142"/>
        <v>29261.509979999999</v>
      </c>
      <c r="BB188" s="4">
        <f t="shared" si="143"/>
        <v>9407.5754585699997</v>
      </c>
      <c r="BC188" s="4">
        <f t="shared" si="144"/>
        <v>29261.509979999999</v>
      </c>
      <c r="BD188" s="4">
        <f t="shared" si="145"/>
        <v>9407.5754585699997</v>
      </c>
      <c r="BE188" s="4">
        <f t="shared" si="146"/>
        <v>38039.962974000002</v>
      </c>
      <c r="BF188" s="4">
        <f t="shared" si="147"/>
        <v>12229.848096141</v>
      </c>
      <c r="BG188" s="4">
        <f t="shared" si="148"/>
        <v>0</v>
      </c>
      <c r="BH188" s="4">
        <f t="shared" si="149"/>
        <v>0</v>
      </c>
      <c r="BI188" s="4">
        <f t="shared" si="150"/>
        <v>0</v>
      </c>
      <c r="BJ188" s="4">
        <f t="shared" si="151"/>
        <v>8273.753999999999</v>
      </c>
      <c r="BK188" s="4">
        <f t="shared" si="152"/>
        <v>504.69899399999991</v>
      </c>
      <c r="BL188" s="4">
        <f t="shared" si="153"/>
        <v>2822.2726375710008</v>
      </c>
      <c r="BM188" s="4">
        <f t="shared" si="154"/>
        <v>27579.18</v>
      </c>
      <c r="BN188" s="4">
        <f t="shared" si="155"/>
        <v>1103.1672000000001</v>
      </c>
      <c r="BO188" s="4">
        <f t="shared" si="156"/>
        <v>1103.1672000000001</v>
      </c>
      <c r="BP188" s="4">
        <f t="shared" si="157"/>
        <v>67.293199200000004</v>
      </c>
      <c r="BQ188" s="4">
        <f t="shared" si="158"/>
        <v>30431.9703792</v>
      </c>
      <c r="BR188" s="4">
        <f t="shared" si="159"/>
        <v>9783.8784769127997</v>
      </c>
      <c r="BS188" s="4">
        <f t="shared" si="160"/>
        <v>376.30301834279999</v>
      </c>
      <c r="BT188" s="4">
        <f t="shared" si="161"/>
        <v>29261.509979999999</v>
      </c>
      <c r="BU188" s="4">
        <f t="shared" si="162"/>
        <v>38039.962974000002</v>
      </c>
      <c r="BV188" s="7">
        <f t="shared" si="163"/>
        <v>152159.85189600001</v>
      </c>
      <c r="BW188" s="7">
        <f t="shared" si="164"/>
        <v>144557.06668832854</v>
      </c>
    </row>
    <row r="189" spans="1:75" x14ac:dyDescent="0.3">
      <c r="A189" s="3">
        <f t="shared" si="110"/>
        <v>185</v>
      </c>
      <c r="B189" t="str">
        <f>INDEX(Employees!$A:$A,A189+1)</f>
        <v>E185</v>
      </c>
      <c r="C189" t="str">
        <f>INDEX(Employees!$A:$Z,MATCH(B189,Employees!$A:$A,0),MATCH("category",Employees!$1:$1,0))</f>
        <v>Customer Support</v>
      </c>
      <c r="D189" t="str">
        <f>INDEX(Employees!$A:$Z,MATCH(B189,Employees!$A:$A,0),MATCH("gender",Employees!$1:$1,0))</f>
        <v>M</v>
      </c>
      <c r="E189" s="3">
        <f>INDEX(Employees!$A:$Z,MATCH(B189,Employees!$A:$A,0),MATCH("grade",Employees!$1:$1,0))</f>
        <v>4</v>
      </c>
      <c r="F189" s="3">
        <f>INDEX(Employees!$A:$Z,MATCH(B189,Employees!$A:$A,0),MATCH("rating",Employees!$1:$1,0))</f>
        <v>3</v>
      </c>
      <c r="G189" s="22">
        <f>INDEX(Employees!$A:$Z,MATCH(B189,Employees!$A:$A,0),MATCH("hire_date",Employees!$1:$1,0))</f>
        <v>43848</v>
      </c>
      <c r="H189" s="22">
        <f>INDEX(Employees!$A:$Z,MATCH(B189,Employees!$A:$A,0),MATCH("last_change_date",Employees!$1:$1,0))</f>
        <v>46113</v>
      </c>
      <c r="I189" s="4">
        <f>INDEX(Employees!$A:$Z,MATCH(B189,Employees!$A:$A,0),MATCH("base_salary",Employees!$1:$1,0))</f>
        <v>38844.18</v>
      </c>
      <c r="J189" s="5">
        <f>INDEX(Employees!$A:$Z,MATCH(B189,Employees!$A:$A,0),MATCH("bonus_pct",Employees!$1:$1,0))/100</f>
        <v>5.6600000000000004E-2</v>
      </c>
      <c r="K189" s="7">
        <f>INDEX(Employees!$A:$Z,MATCH(B189,Employees!$A:$A,0),MATCH("fte",Employees!$1:$1,0))</f>
        <v>1</v>
      </c>
      <c r="L189" s="3">
        <f>IF(ISNA(MATCH(C189&amp;"|"&amp;E189,Bands!$F:$F,0)),0,1)</f>
        <v>1</v>
      </c>
      <c r="M189" s="4">
        <f>INDEX(Bands!$C:$C,MATCH(C189&amp;"|"&amp;E189,Bands!$F:$F,0))</f>
        <v>29800</v>
      </c>
      <c r="N189" s="4">
        <f>INDEX(Bands!$D:$D,MATCH(C189&amp;"|"&amp;E189,Bands!$F:$F,0))</f>
        <v>34300</v>
      </c>
      <c r="O189" s="4">
        <f>INDEX(Bands!$E:$E,MATCH(C189&amp;"|"&amp;E189,Bands!$F:$F,0))</f>
        <v>38700</v>
      </c>
      <c r="P189" s="7">
        <f t="shared" si="111"/>
        <v>7.2005475701574264</v>
      </c>
      <c r="Q189" s="4">
        <f t="shared" si="112"/>
        <v>41042.760587999997</v>
      </c>
      <c r="R189" s="7">
        <f t="shared" si="113"/>
        <v>16</v>
      </c>
      <c r="S189" s="7">
        <f t="shared" si="114"/>
        <v>51.847885310100018</v>
      </c>
      <c r="T189" s="7">
        <f t="shared" si="115"/>
        <v>28.802190280629706</v>
      </c>
      <c r="U189" s="7">
        <f t="shared" si="116"/>
        <v>164171.04235199999</v>
      </c>
      <c r="V189" s="7">
        <f t="shared" si="117"/>
        <v>295530.35002447636</v>
      </c>
      <c r="W189" s="4">
        <f t="shared" si="118"/>
        <v>41042.76</v>
      </c>
      <c r="X189" s="3">
        <f t="shared" si="119"/>
        <v>18</v>
      </c>
      <c r="Y189" s="4">
        <f>INDEX(Categories!$AH:$AH,MATCH(C189,Categories!$A:$A,0))</f>
        <v>37853.452052499997</v>
      </c>
      <c r="Z189" s="3">
        <f>IF(AND(D189="F",Q189&lt;Y189,INDEX(Categories!$AI:$AI,MATCH(C189,Categories!$A:$A,0))&gt;0),1,0)</f>
        <v>0</v>
      </c>
      <c r="AA189" s="4">
        <f t="shared" si="120"/>
        <v>0</v>
      </c>
      <c r="AB189" s="4">
        <f>IF(Z189=1,INDEX(Categories!$AI:$AI,MATCH(C189,Categories!$A:$A,0))*AA189/INDEX(Categories!$AJ:$AJ,MATCH(C189,Categories!$A:$A,0)),0)</f>
        <v>0</v>
      </c>
      <c r="AC189" s="4">
        <f t="shared" si="121"/>
        <v>0</v>
      </c>
      <c r="AD189" s="4">
        <f t="shared" si="122"/>
        <v>38844.18</v>
      </c>
      <c r="AE189" s="3">
        <f t="shared" si="123"/>
        <v>0</v>
      </c>
      <c r="AF189" s="3">
        <f t="shared" si="124"/>
        <v>86</v>
      </c>
      <c r="AG189" s="3">
        <f t="shared" si="125"/>
        <v>12</v>
      </c>
      <c r="AH189" s="3">
        <f t="shared" si="126"/>
        <v>1</v>
      </c>
      <c r="AI189" s="5">
        <f t="shared" si="127"/>
        <v>1.1324833819241982</v>
      </c>
      <c r="AJ189" s="3">
        <f>MATCH(AI189,Inputs!$B$31:$B$34,1)</f>
        <v>4</v>
      </c>
      <c r="AK189" s="5">
        <f>INDEX(Inputs!$C$21:$C$25,MATCH(F189,Inputs!$A$21:$A$25,0))</f>
        <v>1</v>
      </c>
      <c r="AL189" s="5">
        <f>INDEX(Inputs!$D$21:$D$25,MATCH(F189,Inputs!$A$21:$A$25,0))</f>
        <v>0</v>
      </c>
      <c r="AM189" s="4">
        <f t="shared" si="128"/>
        <v>34300</v>
      </c>
      <c r="AN189" s="4">
        <f t="shared" si="129"/>
        <v>0</v>
      </c>
      <c r="AO189" s="3">
        <f t="shared" si="130"/>
        <v>1</v>
      </c>
      <c r="AP189" s="4">
        <f t="shared" si="131"/>
        <v>11653.253999999999</v>
      </c>
      <c r="AQ189" s="4">
        <f t="shared" si="132"/>
        <v>0</v>
      </c>
      <c r="AR189" s="4">
        <f t="shared" si="133"/>
        <v>0</v>
      </c>
      <c r="AS189" s="3">
        <f t="shared" si="134"/>
        <v>1</v>
      </c>
      <c r="AT189" s="4">
        <f t="shared" si="135"/>
        <v>0</v>
      </c>
      <c r="AU189" s="4">
        <f t="shared" si="136"/>
        <v>0</v>
      </c>
      <c r="AV189" s="4">
        <f t="shared" si="137"/>
        <v>0</v>
      </c>
      <c r="AW189" s="4">
        <f t="shared" si="138"/>
        <v>0</v>
      </c>
      <c r="AX189" s="5">
        <f t="shared" si="139"/>
        <v>0</v>
      </c>
      <c r="AY189" s="4">
        <f t="shared" si="140"/>
        <v>38844.18</v>
      </c>
      <c r="AZ189" s="3">
        <f t="shared" si="141"/>
        <v>0</v>
      </c>
      <c r="BA189" s="4">
        <f t="shared" si="142"/>
        <v>41042.760587999997</v>
      </c>
      <c r="BB189" s="4">
        <f t="shared" si="143"/>
        <v>13195.247529041999</v>
      </c>
      <c r="BC189" s="4">
        <f t="shared" si="144"/>
        <v>41042.760587999997</v>
      </c>
      <c r="BD189" s="4">
        <f t="shared" si="145"/>
        <v>13195.247529041999</v>
      </c>
      <c r="BE189" s="4">
        <f t="shared" si="146"/>
        <v>41042.760587999997</v>
      </c>
      <c r="BF189" s="4">
        <f t="shared" si="147"/>
        <v>13195.247529041999</v>
      </c>
      <c r="BG189" s="4">
        <f t="shared" si="148"/>
        <v>0</v>
      </c>
      <c r="BH189" s="4">
        <f t="shared" si="149"/>
        <v>0</v>
      </c>
      <c r="BI189" s="4">
        <f t="shared" si="150"/>
        <v>0</v>
      </c>
      <c r="BJ189" s="4">
        <f t="shared" si="151"/>
        <v>0</v>
      </c>
      <c r="BK189" s="4">
        <f t="shared" si="152"/>
        <v>0</v>
      </c>
      <c r="BL189" s="4">
        <f t="shared" si="153"/>
        <v>0</v>
      </c>
      <c r="BM189" s="4">
        <f t="shared" si="154"/>
        <v>38844.18</v>
      </c>
      <c r="BN189" s="4">
        <f t="shared" si="155"/>
        <v>1553.7672</v>
      </c>
      <c r="BO189" s="4">
        <f t="shared" si="156"/>
        <v>1553.7672</v>
      </c>
      <c r="BP189" s="4">
        <f t="shared" si="157"/>
        <v>87.943223520000004</v>
      </c>
      <c r="BQ189" s="4">
        <f t="shared" si="158"/>
        <v>42684.47101152</v>
      </c>
      <c r="BR189" s="4">
        <f t="shared" si="159"/>
        <v>13723.05743020368</v>
      </c>
      <c r="BS189" s="4">
        <f t="shared" si="160"/>
        <v>527.80990116168141</v>
      </c>
      <c r="BT189" s="4">
        <f t="shared" si="161"/>
        <v>41042.760587999997</v>
      </c>
      <c r="BU189" s="4">
        <f t="shared" si="162"/>
        <v>41042.760587999997</v>
      </c>
      <c r="BV189" s="7">
        <f t="shared" si="163"/>
        <v>164171.04235199999</v>
      </c>
      <c r="BW189" s="7">
        <f t="shared" si="164"/>
        <v>295530.35002447636</v>
      </c>
    </row>
    <row r="190" spans="1:75" x14ac:dyDescent="0.3">
      <c r="A190" s="3">
        <f t="shared" si="110"/>
        <v>186</v>
      </c>
      <c r="B190" t="str">
        <f>INDEX(Employees!$A:$A,A190+1)</f>
        <v>E186</v>
      </c>
      <c r="C190" t="str">
        <f>INDEX(Employees!$A:$Z,MATCH(B190,Employees!$A:$A,0),MATCH("category",Employees!$1:$1,0))</f>
        <v>Customer Support</v>
      </c>
      <c r="D190" t="str">
        <f>INDEX(Employees!$A:$Z,MATCH(B190,Employees!$A:$A,0),MATCH("gender",Employees!$1:$1,0))</f>
        <v>F</v>
      </c>
      <c r="E190" s="3">
        <f>INDEX(Employees!$A:$Z,MATCH(B190,Employees!$A:$A,0),MATCH("grade",Employees!$1:$1,0))</f>
        <v>5</v>
      </c>
      <c r="F190" s="3">
        <f>INDEX(Employees!$A:$Z,MATCH(B190,Employees!$A:$A,0),MATCH("rating",Employees!$1:$1,0))</f>
        <v>3</v>
      </c>
      <c r="G190" s="22">
        <f>INDEX(Employees!$A:$Z,MATCH(B190,Employees!$A:$A,0),MATCH("hire_date",Employees!$1:$1,0))</f>
        <v>42935</v>
      </c>
      <c r="H190" s="22">
        <f>INDEX(Employees!$A:$Z,MATCH(B190,Employees!$A:$A,0),MATCH("last_change_date",Employees!$1:$1,0))</f>
        <v>46113</v>
      </c>
      <c r="I190" s="4">
        <f>INDEX(Employees!$A:$Z,MATCH(B190,Employees!$A:$A,0),MATCH("base_salary",Employees!$1:$1,0))</f>
        <v>35685.33</v>
      </c>
      <c r="J190" s="5">
        <f>INDEX(Employees!$A:$Z,MATCH(B190,Employees!$A:$A,0),MATCH("bonus_pct",Employees!$1:$1,0))/100</f>
        <v>5.5500000000000001E-2</v>
      </c>
      <c r="K190" s="7">
        <f>INDEX(Employees!$A:$Z,MATCH(B190,Employees!$A:$A,0),MATCH("fte",Employees!$1:$1,0))</f>
        <v>1</v>
      </c>
      <c r="L190" s="3">
        <f>IF(ISNA(MATCH(C190&amp;"|"&amp;E190,Bands!$F:$F,0)),0,1)</f>
        <v>1</v>
      </c>
      <c r="M190" s="4">
        <f>INDEX(Bands!$C:$C,MATCH(C190&amp;"|"&amp;E190,Bands!$F:$F,0))</f>
        <v>34500</v>
      </c>
      <c r="N190" s="4">
        <f>INDEX(Bands!$D:$D,MATCH(C190&amp;"|"&amp;E190,Bands!$F:$F,0))</f>
        <v>39700</v>
      </c>
      <c r="O190" s="4">
        <f>INDEX(Bands!$E:$E,MATCH(C190&amp;"|"&amp;E190,Bands!$F:$F,0))</f>
        <v>44900</v>
      </c>
      <c r="P190" s="7">
        <f t="shared" si="111"/>
        <v>9.7002053388090346</v>
      </c>
      <c r="Q190" s="4">
        <f t="shared" si="112"/>
        <v>37665.865815000005</v>
      </c>
      <c r="R190" s="7">
        <f t="shared" si="113"/>
        <v>25</v>
      </c>
      <c r="S190" s="7">
        <f t="shared" si="114"/>
        <v>94.093983615059301</v>
      </c>
      <c r="T190" s="7">
        <f t="shared" si="115"/>
        <v>48.501026694045173</v>
      </c>
      <c r="U190" s="7">
        <f t="shared" si="116"/>
        <v>188329.32907500002</v>
      </c>
      <c r="V190" s="7">
        <f t="shared" si="117"/>
        <v>365366.63266952778</v>
      </c>
      <c r="W190" s="4">
        <f t="shared" si="118"/>
        <v>37665.870000000003</v>
      </c>
      <c r="X190" s="3">
        <f t="shared" si="119"/>
        <v>15</v>
      </c>
      <c r="Y190" s="4">
        <f>INDEX(Categories!$AH:$AH,MATCH(C190,Categories!$A:$A,0))</f>
        <v>37853.452052499997</v>
      </c>
      <c r="Z190" s="3">
        <f>IF(AND(D190="F",Q190&lt;Y190,INDEX(Categories!$AI:$AI,MATCH(C190,Categories!$A:$A,0))&gt;0),1,0)</f>
        <v>1</v>
      </c>
      <c r="AA190" s="4">
        <f t="shared" si="120"/>
        <v>187.58623749999242</v>
      </c>
      <c r="AB190" s="4">
        <f>IF(Z190=1,INDEX(Categories!$AI:$AI,MATCH(C190,Categories!$A:$A,0))*AA190/INDEX(Categories!$AJ:$AJ,MATCH(C190,Categories!$A:$A,0)),0)</f>
        <v>44.705334505007094</v>
      </c>
      <c r="AC190" s="4">
        <f t="shared" si="121"/>
        <v>42.354651354814862</v>
      </c>
      <c r="AD190" s="4">
        <f t="shared" si="122"/>
        <v>35727.684651354815</v>
      </c>
      <c r="AE190" s="3">
        <f t="shared" si="123"/>
        <v>0</v>
      </c>
      <c r="AF190" s="3">
        <f t="shared" si="124"/>
        <v>116</v>
      </c>
      <c r="AG190" s="3">
        <f t="shared" si="125"/>
        <v>12</v>
      </c>
      <c r="AH190" s="3">
        <f t="shared" si="126"/>
        <v>1</v>
      </c>
      <c r="AI190" s="5">
        <f t="shared" si="127"/>
        <v>0.89994167887543619</v>
      </c>
      <c r="AJ190" s="3">
        <f>MATCH(AI190,Inputs!$B$31:$B$34,1)</f>
        <v>1</v>
      </c>
      <c r="AK190" s="5">
        <f>INDEX(Inputs!$C$21:$C$25,MATCH(F190,Inputs!$A$21:$A$25,0))</f>
        <v>1</v>
      </c>
      <c r="AL190" s="5">
        <f>INDEX(Inputs!$D$21:$D$25,MATCH(F190,Inputs!$A$21:$A$25,0))</f>
        <v>0</v>
      </c>
      <c r="AM190" s="4">
        <f t="shared" si="128"/>
        <v>39700</v>
      </c>
      <c r="AN190" s="4">
        <f t="shared" si="129"/>
        <v>3972.3153486451847</v>
      </c>
      <c r="AO190" s="3">
        <f t="shared" si="130"/>
        <v>1</v>
      </c>
      <c r="AP190" s="4">
        <f t="shared" si="131"/>
        <v>10718.305395406443</v>
      </c>
      <c r="AQ190" s="4">
        <f t="shared" si="132"/>
        <v>0</v>
      </c>
      <c r="AR190" s="4">
        <f t="shared" si="133"/>
        <v>3972.3153486451847</v>
      </c>
      <c r="AS190" s="3">
        <f t="shared" si="134"/>
        <v>0</v>
      </c>
      <c r="AT190" s="4">
        <f t="shared" si="135"/>
        <v>3972.3153486451847</v>
      </c>
      <c r="AU190" s="4">
        <f t="shared" si="136"/>
        <v>9172.3153486451847</v>
      </c>
      <c r="AV190" s="4">
        <f t="shared" si="137"/>
        <v>3972.3153486451847</v>
      </c>
      <c r="AW190" s="4">
        <f t="shared" si="138"/>
        <v>3972.3153486451847</v>
      </c>
      <c r="AX190" s="5">
        <f t="shared" si="139"/>
        <v>0.11118311716554384</v>
      </c>
      <c r="AY190" s="4">
        <f t="shared" si="140"/>
        <v>39700</v>
      </c>
      <c r="AZ190" s="3">
        <f t="shared" si="141"/>
        <v>0</v>
      </c>
      <c r="BA190" s="4">
        <f t="shared" si="142"/>
        <v>37665.865815000005</v>
      </c>
      <c r="BB190" s="4">
        <f t="shared" si="143"/>
        <v>12109.575859522502</v>
      </c>
      <c r="BC190" s="4">
        <f t="shared" si="144"/>
        <v>37710.571149505013</v>
      </c>
      <c r="BD190" s="4">
        <f t="shared" si="145"/>
        <v>12123.948624565863</v>
      </c>
      <c r="BE190" s="4">
        <f t="shared" si="146"/>
        <v>41903.350000000006</v>
      </c>
      <c r="BF190" s="4">
        <f t="shared" si="147"/>
        <v>13471.927025000003</v>
      </c>
      <c r="BG190" s="4">
        <f t="shared" si="148"/>
        <v>42.354651354814862</v>
      </c>
      <c r="BH190" s="4">
        <f t="shared" si="149"/>
        <v>2.350683150192225</v>
      </c>
      <c r="BI190" s="4">
        <f t="shared" si="150"/>
        <v>14.372765043361142</v>
      </c>
      <c r="BJ190" s="4">
        <f t="shared" si="151"/>
        <v>3972.3153486451847</v>
      </c>
      <c r="BK190" s="4">
        <f t="shared" si="152"/>
        <v>220.46350184980776</v>
      </c>
      <c r="BL190" s="4">
        <f t="shared" si="153"/>
        <v>1347.97840043414</v>
      </c>
      <c r="BM190" s="4">
        <f t="shared" si="154"/>
        <v>35727.684651354815</v>
      </c>
      <c r="BN190" s="4">
        <f t="shared" si="155"/>
        <v>1429.1073860541926</v>
      </c>
      <c r="BO190" s="4">
        <f t="shared" si="156"/>
        <v>1429.1073860541926</v>
      </c>
      <c r="BP190" s="4">
        <f t="shared" si="157"/>
        <v>79.315459926007691</v>
      </c>
      <c r="BQ190" s="4">
        <f t="shared" si="158"/>
        <v>39218.993995485216</v>
      </c>
      <c r="BR190" s="4">
        <f t="shared" si="159"/>
        <v>12608.906569548497</v>
      </c>
      <c r="BS190" s="4">
        <f t="shared" si="160"/>
        <v>484.95794498263422</v>
      </c>
      <c r="BT190" s="4">
        <f t="shared" si="161"/>
        <v>37710.571149505013</v>
      </c>
      <c r="BU190" s="4">
        <f t="shared" si="162"/>
        <v>41903.350000000006</v>
      </c>
      <c r="BV190" s="7">
        <f t="shared" si="163"/>
        <v>209516.75000000003</v>
      </c>
      <c r="BW190" s="7">
        <f t="shared" si="164"/>
        <v>406471.09938398359</v>
      </c>
    </row>
    <row r="191" spans="1:75" x14ac:dyDescent="0.3">
      <c r="A191" s="3">
        <f t="shared" si="110"/>
        <v>187</v>
      </c>
      <c r="B191" t="str">
        <f>INDEX(Employees!$A:$A,A191+1)</f>
        <v>E187</v>
      </c>
      <c r="C191" t="str">
        <f>INDEX(Employees!$A:$Z,MATCH(B191,Employees!$A:$A,0),MATCH("category",Employees!$1:$1,0))</f>
        <v>Sales</v>
      </c>
      <c r="D191" t="str">
        <f>INDEX(Employees!$A:$Z,MATCH(B191,Employees!$A:$A,0),MATCH("gender",Employees!$1:$1,0))</f>
        <v>F</v>
      </c>
      <c r="E191" s="3">
        <f>INDEX(Employees!$A:$Z,MATCH(B191,Employees!$A:$A,0),MATCH("grade",Employees!$1:$1,0))</f>
        <v>9</v>
      </c>
      <c r="F191" s="3">
        <f>INDEX(Employees!$A:$Z,MATCH(B191,Employees!$A:$A,0),MATCH("rating",Employees!$1:$1,0))</f>
        <v>3</v>
      </c>
      <c r="G191" s="22">
        <f>INDEX(Employees!$A:$Z,MATCH(B191,Employees!$A:$A,0),MATCH("hire_date",Employees!$1:$1,0))</f>
        <v>44871</v>
      </c>
      <c r="H191" s="22">
        <f>INDEX(Employees!$A:$Z,MATCH(B191,Employees!$A:$A,0),MATCH("last_change_date",Employees!$1:$1,0))</f>
        <v>46113</v>
      </c>
      <c r="I191" s="4">
        <f>INDEX(Employees!$A:$Z,MATCH(B191,Employees!$A:$A,0),MATCH("base_salary",Employees!$1:$1,0))</f>
        <v>65665.600000000006</v>
      </c>
      <c r="J191" s="5">
        <f>INDEX(Employees!$A:$Z,MATCH(B191,Employees!$A:$A,0),MATCH("bonus_pct",Employees!$1:$1,0))/100</f>
        <v>0.13</v>
      </c>
      <c r="K191" s="7">
        <f>INDEX(Employees!$A:$Z,MATCH(B191,Employees!$A:$A,0),MATCH("fte",Employees!$1:$1,0))</f>
        <v>1</v>
      </c>
      <c r="L191" s="3">
        <f>IF(ISNA(MATCH(C191&amp;"|"&amp;E191,Bands!$F:$F,0)),0,1)</f>
        <v>1</v>
      </c>
      <c r="M191" s="4">
        <f>INDEX(Bands!$C:$C,MATCH(C191&amp;"|"&amp;E191,Bands!$F:$F,0))</f>
        <v>61100</v>
      </c>
      <c r="N191" s="4">
        <f>INDEX(Bands!$D:$D,MATCH(C191&amp;"|"&amp;E191,Bands!$F:$F,0))</f>
        <v>73300</v>
      </c>
      <c r="O191" s="4">
        <f>INDEX(Bands!$E:$E,MATCH(C191&amp;"|"&amp;E191,Bands!$F:$F,0))</f>
        <v>85500</v>
      </c>
      <c r="P191" s="7">
        <f t="shared" si="111"/>
        <v>4.3997262149212863</v>
      </c>
      <c r="Q191" s="4">
        <f t="shared" si="112"/>
        <v>74202.127999999997</v>
      </c>
      <c r="R191" s="7">
        <f t="shared" si="113"/>
        <v>81</v>
      </c>
      <c r="S191" s="7">
        <f t="shared" si="114"/>
        <v>19.357590766265588</v>
      </c>
      <c r="T191" s="7">
        <f t="shared" si="115"/>
        <v>39.597535934291578</v>
      </c>
      <c r="U191" s="7">
        <f t="shared" si="116"/>
        <v>667819.152</v>
      </c>
      <c r="V191" s="7">
        <f t="shared" si="117"/>
        <v>326469.04776454478</v>
      </c>
      <c r="W191" s="4">
        <f t="shared" si="118"/>
        <v>74202.13</v>
      </c>
      <c r="X191" s="3">
        <f t="shared" si="119"/>
        <v>11</v>
      </c>
      <c r="Y191" s="4">
        <f>INDEX(Categories!$AH:$AH,MATCH(C191,Categories!$A:$A,0))</f>
        <v>85035.918249999988</v>
      </c>
      <c r="Z191" s="3">
        <f>IF(AND(D191="F",Q191&lt;Y191,INDEX(Categories!$AI:$AI,MATCH(C191,Categories!$A:$A,0))&gt;0),1,0)</f>
        <v>1</v>
      </c>
      <c r="AA191" s="4">
        <f t="shared" si="120"/>
        <v>10833.790249999991</v>
      </c>
      <c r="AB191" s="4">
        <f>IF(Z191=1,INDEX(Categories!$AI:$AI,MATCH(C191,Categories!$A:$A,0))*AA191/INDEX(Categories!$AJ:$AJ,MATCH(C191,Categories!$A:$A,0)),0)</f>
        <v>10143.250012090282</v>
      </c>
      <c r="AC191" s="4">
        <f t="shared" si="121"/>
        <v>8976.3274443276841</v>
      </c>
      <c r="AD191" s="4">
        <f t="shared" si="122"/>
        <v>74641.927444327695</v>
      </c>
      <c r="AE191" s="3">
        <f t="shared" si="123"/>
        <v>0</v>
      </c>
      <c r="AF191" s="3">
        <f t="shared" si="124"/>
        <v>52</v>
      </c>
      <c r="AG191" s="3">
        <f t="shared" si="125"/>
        <v>12</v>
      </c>
      <c r="AH191" s="3">
        <f t="shared" si="126"/>
        <v>1</v>
      </c>
      <c r="AI191" s="5">
        <f t="shared" si="127"/>
        <v>1.0183073321190681</v>
      </c>
      <c r="AJ191" s="3">
        <f>MATCH(AI191,Inputs!$B$31:$B$34,1)</f>
        <v>3</v>
      </c>
      <c r="AK191" s="5">
        <f>INDEX(Inputs!$C$21:$C$25,MATCH(F191,Inputs!$A$21:$A$25,0))</f>
        <v>1</v>
      </c>
      <c r="AL191" s="5">
        <f>INDEX(Inputs!$D$21:$D$25,MATCH(F191,Inputs!$A$21:$A$25,0))</f>
        <v>0</v>
      </c>
      <c r="AM191" s="4">
        <f t="shared" si="128"/>
        <v>73300</v>
      </c>
      <c r="AN191" s="4">
        <f t="shared" si="129"/>
        <v>0</v>
      </c>
      <c r="AO191" s="3">
        <f t="shared" si="130"/>
        <v>1</v>
      </c>
      <c r="AP191" s="4">
        <f t="shared" si="131"/>
        <v>22392.578233298307</v>
      </c>
      <c r="AQ191" s="4">
        <f t="shared" si="132"/>
        <v>0</v>
      </c>
      <c r="AR191" s="4">
        <f t="shared" si="133"/>
        <v>0</v>
      </c>
      <c r="AS191" s="3">
        <f t="shared" si="134"/>
        <v>0</v>
      </c>
      <c r="AT191" s="4">
        <f t="shared" si="135"/>
        <v>0</v>
      </c>
      <c r="AU191" s="4">
        <f t="shared" si="136"/>
        <v>10858.072555672305</v>
      </c>
      <c r="AV191" s="4">
        <f t="shared" si="137"/>
        <v>0</v>
      </c>
      <c r="AW191" s="4">
        <f t="shared" si="138"/>
        <v>0</v>
      </c>
      <c r="AX191" s="5">
        <f t="shared" si="139"/>
        <v>0</v>
      </c>
      <c r="AY191" s="4">
        <f t="shared" si="140"/>
        <v>74641.927444327695</v>
      </c>
      <c r="AZ191" s="3">
        <f t="shared" si="141"/>
        <v>0</v>
      </c>
      <c r="BA191" s="4">
        <f t="shared" si="142"/>
        <v>74202.127999999997</v>
      </c>
      <c r="BB191" s="4">
        <f t="shared" si="143"/>
        <v>19810.604819199998</v>
      </c>
      <c r="BC191" s="4">
        <f t="shared" si="144"/>
        <v>84345.378012090281</v>
      </c>
      <c r="BD191" s="4">
        <f t="shared" si="145"/>
        <v>19916.094619325737</v>
      </c>
      <c r="BE191" s="4">
        <f t="shared" si="146"/>
        <v>84345.378012090281</v>
      </c>
      <c r="BF191" s="4">
        <f t="shared" si="147"/>
        <v>19916.094619325737</v>
      </c>
      <c r="BG191" s="4">
        <f t="shared" si="148"/>
        <v>8976.3274443276841</v>
      </c>
      <c r="BH191" s="4">
        <f t="shared" si="149"/>
        <v>1166.9225677625989</v>
      </c>
      <c r="BI191" s="4">
        <f t="shared" si="150"/>
        <v>105.48980012573884</v>
      </c>
      <c r="BJ191" s="4">
        <f t="shared" si="151"/>
        <v>0</v>
      </c>
      <c r="BK191" s="4">
        <f t="shared" si="152"/>
        <v>0</v>
      </c>
      <c r="BL191" s="4">
        <f t="shared" si="153"/>
        <v>0</v>
      </c>
      <c r="BM191" s="4">
        <f t="shared" si="154"/>
        <v>74641.927444327695</v>
      </c>
      <c r="BN191" s="4">
        <f t="shared" si="155"/>
        <v>2985.677097773108</v>
      </c>
      <c r="BO191" s="4">
        <f t="shared" si="156"/>
        <v>2985.677097773108</v>
      </c>
      <c r="BP191" s="4">
        <f t="shared" si="157"/>
        <v>388.13802271050406</v>
      </c>
      <c r="BQ191" s="4">
        <f t="shared" si="158"/>
        <v>87719.193132573899</v>
      </c>
      <c r="BR191" s="4">
        <f t="shared" si="159"/>
        <v>19951.182296578765</v>
      </c>
      <c r="BS191" s="4">
        <f t="shared" si="160"/>
        <v>35.087677253028232</v>
      </c>
      <c r="BT191" s="4">
        <f t="shared" si="161"/>
        <v>84345.378012090281</v>
      </c>
      <c r="BU191" s="4">
        <f t="shared" si="162"/>
        <v>84345.378012090281</v>
      </c>
      <c r="BV191" s="7">
        <f t="shared" si="163"/>
        <v>759108.40210881247</v>
      </c>
      <c r="BW191" s="7">
        <f t="shared" si="164"/>
        <v>371096.57074723905</v>
      </c>
    </row>
    <row r="192" spans="1:75" x14ac:dyDescent="0.3">
      <c r="A192" s="3">
        <f t="shared" si="110"/>
        <v>188</v>
      </c>
      <c r="B192" t="str">
        <f>INDEX(Employees!$A:$A,A192+1)</f>
        <v>E188</v>
      </c>
      <c r="C192" t="str">
        <f>INDEX(Employees!$A:$Z,MATCH(B192,Employees!$A:$A,0),MATCH("category",Employees!$1:$1,0))</f>
        <v>Sales</v>
      </c>
      <c r="D192" t="str">
        <f>INDEX(Employees!$A:$Z,MATCH(B192,Employees!$A:$A,0),MATCH("gender",Employees!$1:$1,0))</f>
        <v>M</v>
      </c>
      <c r="E192" s="3">
        <f>INDEX(Employees!$A:$Z,MATCH(B192,Employees!$A:$A,0),MATCH("grade",Employees!$1:$1,0))</f>
        <v>9</v>
      </c>
      <c r="F192" s="3">
        <f>INDEX(Employees!$A:$Z,MATCH(B192,Employees!$A:$A,0),MATCH("rating",Employees!$1:$1,0))</f>
        <v>3</v>
      </c>
      <c r="G192" s="22">
        <f>INDEX(Employees!$A:$Z,MATCH(B192,Employees!$A:$A,0),MATCH("hire_date",Employees!$1:$1,0))</f>
        <v>44871</v>
      </c>
      <c r="H192" s="22">
        <f>INDEX(Employees!$A:$Z,MATCH(B192,Employees!$A:$A,0),MATCH("last_change_date",Employees!$1:$1,0))</f>
        <v>46113</v>
      </c>
      <c r="I192" s="4">
        <f>INDEX(Employees!$A:$Z,MATCH(B192,Employees!$A:$A,0),MATCH("base_salary",Employees!$1:$1,0))</f>
        <v>65665.600000000006</v>
      </c>
      <c r="J192" s="5">
        <f>INDEX(Employees!$A:$Z,MATCH(B192,Employees!$A:$A,0),MATCH("bonus_pct",Employees!$1:$1,0))/100</f>
        <v>0.26</v>
      </c>
      <c r="K192" s="7">
        <f>INDEX(Employees!$A:$Z,MATCH(B192,Employees!$A:$A,0),MATCH("fte",Employees!$1:$1,0))</f>
        <v>1</v>
      </c>
      <c r="L192" s="3">
        <f>IF(ISNA(MATCH(C192&amp;"|"&amp;E192,Bands!$F:$F,0)),0,1)</f>
        <v>1</v>
      </c>
      <c r="M192" s="4">
        <f>INDEX(Bands!$C:$C,MATCH(C192&amp;"|"&amp;E192,Bands!$F:$F,0))</f>
        <v>61100</v>
      </c>
      <c r="N192" s="4">
        <f>INDEX(Bands!$D:$D,MATCH(C192&amp;"|"&amp;E192,Bands!$F:$F,0))</f>
        <v>73300</v>
      </c>
      <c r="O192" s="4">
        <f>INDEX(Bands!$E:$E,MATCH(C192&amp;"|"&amp;E192,Bands!$F:$F,0))</f>
        <v>85500</v>
      </c>
      <c r="P192" s="7">
        <f t="shared" si="111"/>
        <v>4.3997262149212863</v>
      </c>
      <c r="Q192" s="4">
        <f t="shared" si="112"/>
        <v>82738.656000000003</v>
      </c>
      <c r="R192" s="7">
        <f t="shared" si="113"/>
        <v>81</v>
      </c>
      <c r="S192" s="7">
        <f t="shared" si="114"/>
        <v>19.357590766265588</v>
      </c>
      <c r="T192" s="7">
        <f t="shared" si="115"/>
        <v>39.597535934291578</v>
      </c>
      <c r="U192" s="7">
        <f t="shared" si="116"/>
        <v>744647.90399999998</v>
      </c>
      <c r="V192" s="7">
        <f t="shared" si="117"/>
        <v>364027.43379055441</v>
      </c>
      <c r="W192" s="4">
        <f t="shared" si="118"/>
        <v>82738.66</v>
      </c>
      <c r="X192" s="3">
        <f t="shared" si="119"/>
        <v>12</v>
      </c>
      <c r="Y192" s="4">
        <f>INDEX(Categories!$AH:$AH,MATCH(C192,Categories!$A:$A,0))</f>
        <v>85035.918249999988</v>
      </c>
      <c r="Z192" s="3">
        <f>IF(AND(D192="F",Q192&lt;Y192,INDEX(Categories!$AI:$AI,MATCH(C192,Categories!$A:$A,0))&gt;0),1,0)</f>
        <v>0</v>
      </c>
      <c r="AA192" s="4">
        <f t="shared" si="120"/>
        <v>0</v>
      </c>
      <c r="AB192" s="4">
        <f>IF(Z192=1,INDEX(Categories!$AI:$AI,MATCH(C192,Categories!$A:$A,0))*AA192/INDEX(Categories!$AJ:$AJ,MATCH(C192,Categories!$A:$A,0)),0)</f>
        <v>0</v>
      </c>
      <c r="AC192" s="4">
        <f t="shared" si="121"/>
        <v>0</v>
      </c>
      <c r="AD192" s="4">
        <f t="shared" si="122"/>
        <v>65665.600000000006</v>
      </c>
      <c r="AE192" s="3">
        <f t="shared" si="123"/>
        <v>0</v>
      </c>
      <c r="AF192" s="3">
        <f t="shared" si="124"/>
        <v>52</v>
      </c>
      <c r="AG192" s="3">
        <f t="shared" si="125"/>
        <v>12</v>
      </c>
      <c r="AH192" s="3">
        <f t="shared" si="126"/>
        <v>1</v>
      </c>
      <c r="AI192" s="5">
        <f t="shared" si="127"/>
        <v>0.89584720327421563</v>
      </c>
      <c r="AJ192" s="3">
        <f>MATCH(AI192,Inputs!$B$31:$B$34,1)</f>
        <v>1</v>
      </c>
      <c r="AK192" s="5">
        <f>INDEX(Inputs!$C$21:$C$25,MATCH(F192,Inputs!$A$21:$A$25,0))</f>
        <v>1</v>
      </c>
      <c r="AL192" s="5">
        <f>INDEX(Inputs!$D$21:$D$25,MATCH(F192,Inputs!$A$21:$A$25,0))</f>
        <v>0</v>
      </c>
      <c r="AM192" s="4">
        <f t="shared" si="128"/>
        <v>73300</v>
      </c>
      <c r="AN192" s="4">
        <f t="shared" si="129"/>
        <v>7634.3999999999942</v>
      </c>
      <c r="AO192" s="3">
        <f t="shared" si="130"/>
        <v>1</v>
      </c>
      <c r="AP192" s="4">
        <f t="shared" si="131"/>
        <v>19699.68</v>
      </c>
      <c r="AQ192" s="4">
        <f t="shared" si="132"/>
        <v>0</v>
      </c>
      <c r="AR192" s="4">
        <f t="shared" si="133"/>
        <v>7634.3999999999942</v>
      </c>
      <c r="AS192" s="3">
        <f t="shared" si="134"/>
        <v>0</v>
      </c>
      <c r="AT192" s="4">
        <f t="shared" si="135"/>
        <v>7634.3999999999942</v>
      </c>
      <c r="AU192" s="4">
        <f t="shared" si="136"/>
        <v>19834.399999999994</v>
      </c>
      <c r="AV192" s="4">
        <f t="shared" si="137"/>
        <v>7634.3999999999942</v>
      </c>
      <c r="AW192" s="4">
        <f t="shared" si="138"/>
        <v>7634.3999999999942</v>
      </c>
      <c r="AX192" s="5">
        <f t="shared" si="139"/>
        <v>0.11626178699349421</v>
      </c>
      <c r="AY192" s="4">
        <f t="shared" si="140"/>
        <v>73300</v>
      </c>
      <c r="AZ192" s="3">
        <f t="shared" si="141"/>
        <v>0</v>
      </c>
      <c r="BA192" s="4">
        <f t="shared" si="142"/>
        <v>82738.656000000003</v>
      </c>
      <c r="BB192" s="4">
        <f t="shared" si="143"/>
        <v>19899.384710399998</v>
      </c>
      <c r="BC192" s="4">
        <f t="shared" si="144"/>
        <v>82738.656000000003</v>
      </c>
      <c r="BD192" s="4">
        <f t="shared" si="145"/>
        <v>19899.384710399998</v>
      </c>
      <c r="BE192" s="4">
        <f t="shared" si="146"/>
        <v>92358</v>
      </c>
      <c r="BF192" s="4">
        <f t="shared" si="147"/>
        <v>20000.391407999996</v>
      </c>
      <c r="BG192" s="4">
        <f t="shared" si="148"/>
        <v>0</v>
      </c>
      <c r="BH192" s="4">
        <f t="shared" si="149"/>
        <v>0</v>
      </c>
      <c r="BI192" s="4">
        <f t="shared" si="150"/>
        <v>0</v>
      </c>
      <c r="BJ192" s="4">
        <f t="shared" si="151"/>
        <v>7634.3999999999942</v>
      </c>
      <c r="BK192" s="4">
        <f t="shared" si="152"/>
        <v>1984.9439999999986</v>
      </c>
      <c r="BL192" s="4">
        <f t="shared" si="153"/>
        <v>101.00669759999801</v>
      </c>
      <c r="BM192" s="4">
        <f t="shared" si="154"/>
        <v>65665.600000000006</v>
      </c>
      <c r="BN192" s="4">
        <f t="shared" si="155"/>
        <v>2626.6240000000003</v>
      </c>
      <c r="BO192" s="4">
        <f t="shared" si="156"/>
        <v>2626.6240000000003</v>
      </c>
      <c r="BP192" s="4">
        <f t="shared" si="157"/>
        <v>682.9222400000001</v>
      </c>
      <c r="BQ192" s="4">
        <f t="shared" si="158"/>
        <v>86048.202239999999</v>
      </c>
      <c r="BR192" s="4">
        <f t="shared" si="159"/>
        <v>19933.803991295998</v>
      </c>
      <c r="BS192" s="4">
        <f t="shared" si="160"/>
        <v>34.419280895999691</v>
      </c>
      <c r="BT192" s="4">
        <f t="shared" si="161"/>
        <v>82738.656000000003</v>
      </c>
      <c r="BU192" s="4">
        <f t="shared" si="162"/>
        <v>92358</v>
      </c>
      <c r="BV192" s="7">
        <f t="shared" si="163"/>
        <v>831222</v>
      </c>
      <c r="BW192" s="7">
        <f t="shared" si="164"/>
        <v>406349.91375770018</v>
      </c>
    </row>
    <row r="193" spans="1:75" x14ac:dyDescent="0.3">
      <c r="A193" s="3">
        <f t="shared" si="110"/>
        <v>189</v>
      </c>
      <c r="B193" t="str">
        <f>INDEX(Employees!$A:$A,A193+1)</f>
        <v>E189</v>
      </c>
      <c r="C193" t="str">
        <f>INDEX(Employees!$A:$Z,MATCH(B193,Employees!$A:$A,0),MATCH("category",Employees!$1:$1,0))</f>
        <v>Sales</v>
      </c>
      <c r="D193" t="str">
        <f>INDEX(Employees!$A:$Z,MATCH(B193,Employees!$A:$A,0),MATCH("gender",Employees!$1:$1,0))</f>
        <v>F</v>
      </c>
      <c r="E193" s="3">
        <f>INDEX(Employees!$A:$Z,MATCH(B193,Employees!$A:$A,0),MATCH("grade",Employees!$1:$1,0))</f>
        <v>8</v>
      </c>
      <c r="F193" s="3">
        <f>INDEX(Employees!$A:$Z,MATCH(B193,Employees!$A:$A,0),MATCH("rating",Employees!$1:$1,0))</f>
        <v>3</v>
      </c>
      <c r="G193" s="22">
        <f>INDEX(Employees!$A:$Z,MATCH(B193,Employees!$A:$A,0),MATCH("hire_date",Employees!$1:$1,0))</f>
        <v>45017</v>
      </c>
      <c r="H193" s="22">
        <f>INDEX(Employees!$A:$Z,MATCH(B193,Employees!$A:$A,0),MATCH("last_change_date",Employees!$1:$1,0))</f>
        <v>46113</v>
      </c>
      <c r="I193" s="4">
        <f>INDEX(Employees!$A:$Z,MATCH(B193,Employees!$A:$A,0),MATCH("base_salary",Employees!$1:$1,0))</f>
        <v>47360.49</v>
      </c>
      <c r="J193" s="5">
        <f>INDEX(Employees!$A:$Z,MATCH(B193,Employees!$A:$A,0),MATCH("bonus_pct",Employees!$1:$1,0))/100</f>
        <v>0.13</v>
      </c>
      <c r="K193" s="7">
        <f>INDEX(Employees!$A:$Z,MATCH(B193,Employees!$A:$A,0),MATCH("fte",Employees!$1:$1,0))</f>
        <v>1</v>
      </c>
      <c r="L193" s="3">
        <f>IF(ISNA(MATCH(C193&amp;"|"&amp;E193,Bands!$F:$F,0)),0,1)</f>
        <v>1</v>
      </c>
      <c r="M193" s="4">
        <f>INDEX(Bands!$C:$C,MATCH(C193&amp;"|"&amp;E193,Bands!$F:$F,0))</f>
        <v>53100</v>
      </c>
      <c r="N193" s="4">
        <f>INDEX(Bands!$D:$D,MATCH(C193&amp;"|"&amp;E193,Bands!$F:$F,0))</f>
        <v>63700</v>
      </c>
      <c r="O193" s="4">
        <f>INDEX(Bands!$E:$E,MATCH(C193&amp;"|"&amp;E193,Bands!$F:$F,0))</f>
        <v>74300</v>
      </c>
      <c r="P193" s="7">
        <f t="shared" si="111"/>
        <v>4</v>
      </c>
      <c r="Q193" s="4">
        <f t="shared" si="112"/>
        <v>53517.353699999992</v>
      </c>
      <c r="R193" s="7">
        <f t="shared" si="113"/>
        <v>64</v>
      </c>
      <c r="S193" s="7">
        <f t="shared" si="114"/>
        <v>16</v>
      </c>
      <c r="T193" s="7">
        <f t="shared" si="115"/>
        <v>32</v>
      </c>
      <c r="U193" s="7">
        <f t="shared" si="116"/>
        <v>428138.82959999994</v>
      </c>
      <c r="V193" s="7">
        <f t="shared" si="117"/>
        <v>214069.41479999997</v>
      </c>
      <c r="W193" s="4">
        <f t="shared" si="118"/>
        <v>53517.35</v>
      </c>
      <c r="X193" s="3">
        <f t="shared" si="119"/>
        <v>1</v>
      </c>
      <c r="Y193" s="4">
        <f>INDEX(Categories!$AH:$AH,MATCH(C193,Categories!$A:$A,0))</f>
        <v>85035.918249999988</v>
      </c>
      <c r="Z193" s="3">
        <f>IF(AND(D193="F",Q193&lt;Y193,INDEX(Categories!$AI:$AI,MATCH(C193,Categories!$A:$A,0))&gt;0),1,0)</f>
        <v>1</v>
      </c>
      <c r="AA193" s="4">
        <f t="shared" si="120"/>
        <v>31518.564549999996</v>
      </c>
      <c r="AB193" s="4">
        <f>IF(Z193=1,INDEX(Categories!$AI:$AI,MATCH(C193,Categories!$A:$A,0))*AA193/INDEX(Categories!$AJ:$AJ,MATCH(C193,Categories!$A:$A,0)),0)</f>
        <v>29509.587399742766</v>
      </c>
      <c r="AC193" s="4">
        <f t="shared" si="121"/>
        <v>26114.679114816608</v>
      </c>
      <c r="AD193" s="4">
        <f t="shared" si="122"/>
        <v>73475.169114816614</v>
      </c>
      <c r="AE193" s="3">
        <f t="shared" si="123"/>
        <v>0</v>
      </c>
      <c r="AF193" s="3">
        <f t="shared" si="124"/>
        <v>48</v>
      </c>
      <c r="AG193" s="3">
        <f t="shared" si="125"/>
        <v>12</v>
      </c>
      <c r="AH193" s="3">
        <f t="shared" si="126"/>
        <v>1</v>
      </c>
      <c r="AI193" s="5">
        <f t="shared" si="127"/>
        <v>1.1534563440316581</v>
      </c>
      <c r="AJ193" s="3">
        <f>MATCH(AI193,Inputs!$B$31:$B$34,1)</f>
        <v>4</v>
      </c>
      <c r="AK193" s="5">
        <f>INDEX(Inputs!$C$21:$C$25,MATCH(F193,Inputs!$A$21:$A$25,0))</f>
        <v>1</v>
      </c>
      <c r="AL193" s="5">
        <f>INDEX(Inputs!$D$21:$D$25,MATCH(F193,Inputs!$A$21:$A$25,0))</f>
        <v>0</v>
      </c>
      <c r="AM193" s="4">
        <f t="shared" si="128"/>
        <v>63700</v>
      </c>
      <c r="AN193" s="4">
        <f t="shared" si="129"/>
        <v>0</v>
      </c>
      <c r="AO193" s="3">
        <f t="shared" si="130"/>
        <v>1</v>
      </c>
      <c r="AP193" s="4">
        <f t="shared" si="131"/>
        <v>22042.550734444983</v>
      </c>
      <c r="AQ193" s="4">
        <f t="shared" si="132"/>
        <v>0</v>
      </c>
      <c r="AR193" s="4">
        <f t="shared" si="133"/>
        <v>0</v>
      </c>
      <c r="AS193" s="3">
        <f t="shared" si="134"/>
        <v>0</v>
      </c>
      <c r="AT193" s="4">
        <f t="shared" si="135"/>
        <v>0</v>
      </c>
      <c r="AU193" s="4">
        <f t="shared" si="136"/>
        <v>824.83088518338627</v>
      </c>
      <c r="AV193" s="4">
        <f t="shared" si="137"/>
        <v>0</v>
      </c>
      <c r="AW193" s="4">
        <f t="shared" si="138"/>
        <v>0</v>
      </c>
      <c r="AX193" s="5">
        <f t="shared" si="139"/>
        <v>0</v>
      </c>
      <c r="AY193" s="4">
        <f t="shared" si="140"/>
        <v>73475.169114816614</v>
      </c>
      <c r="AZ193" s="3">
        <f t="shared" si="141"/>
        <v>0</v>
      </c>
      <c r="BA193" s="4">
        <f t="shared" si="142"/>
        <v>53517.353699999992</v>
      </c>
      <c r="BB193" s="4">
        <f t="shared" si="143"/>
        <v>17205.829214549998</v>
      </c>
      <c r="BC193" s="4">
        <f t="shared" si="144"/>
        <v>83026.941099742762</v>
      </c>
      <c r="BD193" s="4">
        <f t="shared" si="145"/>
        <v>19902.382875437321</v>
      </c>
      <c r="BE193" s="4">
        <f t="shared" si="146"/>
        <v>83026.941099742762</v>
      </c>
      <c r="BF193" s="4">
        <f t="shared" si="147"/>
        <v>19902.382875437321</v>
      </c>
      <c r="BG193" s="4">
        <f t="shared" si="148"/>
        <v>26114.679114816608</v>
      </c>
      <c r="BH193" s="4">
        <f t="shared" si="149"/>
        <v>3394.908284926159</v>
      </c>
      <c r="BI193" s="4">
        <f t="shared" si="150"/>
        <v>2696.5536608873226</v>
      </c>
      <c r="BJ193" s="4">
        <f t="shared" si="151"/>
        <v>0</v>
      </c>
      <c r="BK193" s="4">
        <f t="shared" si="152"/>
        <v>0</v>
      </c>
      <c r="BL193" s="4">
        <f t="shared" si="153"/>
        <v>0</v>
      </c>
      <c r="BM193" s="4">
        <f t="shared" si="154"/>
        <v>73475.169114816614</v>
      </c>
      <c r="BN193" s="4">
        <f t="shared" si="155"/>
        <v>2939.0067645926647</v>
      </c>
      <c r="BO193" s="4">
        <f t="shared" si="156"/>
        <v>2939.0067645926647</v>
      </c>
      <c r="BP193" s="4">
        <f t="shared" si="157"/>
        <v>382.07087939704644</v>
      </c>
      <c r="BQ193" s="4">
        <f t="shared" si="158"/>
        <v>86348.018743732478</v>
      </c>
      <c r="BR193" s="4">
        <f t="shared" si="159"/>
        <v>19936.922082934816</v>
      </c>
      <c r="BS193" s="4">
        <f t="shared" si="160"/>
        <v>34.539207497495227</v>
      </c>
      <c r="BT193" s="4">
        <f t="shared" si="161"/>
        <v>83026.941099742762</v>
      </c>
      <c r="BU193" s="4">
        <f t="shared" si="162"/>
        <v>83026.941099742762</v>
      </c>
      <c r="BV193" s="7">
        <f t="shared" si="163"/>
        <v>664215.5287979421</v>
      </c>
      <c r="BW193" s="7">
        <f t="shared" si="164"/>
        <v>332107.76439897105</v>
      </c>
    </row>
    <row r="194" spans="1:75" x14ac:dyDescent="0.3">
      <c r="A194" s="3">
        <f t="shared" si="110"/>
        <v>190</v>
      </c>
      <c r="B194" t="str">
        <f>INDEX(Employees!$A:$A,A194+1)</f>
        <v>E190</v>
      </c>
      <c r="C194" t="str">
        <f>INDEX(Employees!$A:$Z,MATCH(B194,Employees!$A:$A,0),MATCH("category",Employees!$1:$1,0))</f>
        <v>Sales</v>
      </c>
      <c r="D194" t="str">
        <f>INDEX(Employees!$A:$Z,MATCH(B194,Employees!$A:$A,0),MATCH("gender",Employees!$1:$1,0))</f>
        <v>M</v>
      </c>
      <c r="E194" s="3">
        <f>INDEX(Employees!$A:$Z,MATCH(B194,Employees!$A:$A,0),MATCH("grade",Employees!$1:$1,0))</f>
        <v>8</v>
      </c>
      <c r="F194" s="3">
        <f>INDEX(Employees!$A:$Z,MATCH(B194,Employees!$A:$A,0),MATCH("rating",Employees!$1:$1,0))</f>
        <v>2</v>
      </c>
      <c r="G194" s="22">
        <f>INDEX(Employees!$A:$Z,MATCH(B194,Employees!$A:$A,0),MATCH("hire_date",Employees!$1:$1,0))</f>
        <v>45017</v>
      </c>
      <c r="H194" s="22">
        <f>INDEX(Employees!$A:$Z,MATCH(B194,Employees!$A:$A,0),MATCH("last_change_date",Employees!$1:$1,0))</f>
        <v>46113</v>
      </c>
      <c r="I194" s="4">
        <f>INDEX(Employees!$A:$Z,MATCH(B194,Employees!$A:$A,0),MATCH("base_salary",Employees!$1:$1,0))</f>
        <v>58300</v>
      </c>
      <c r="J194" s="5">
        <f>INDEX(Employees!$A:$Z,MATCH(B194,Employees!$A:$A,0),MATCH("bonus_pct",Employees!$1:$1,0))/100</f>
        <v>0.26</v>
      </c>
      <c r="K194" s="7">
        <f>INDEX(Employees!$A:$Z,MATCH(B194,Employees!$A:$A,0),MATCH("fte",Employees!$1:$1,0))</f>
        <v>1</v>
      </c>
      <c r="L194" s="3">
        <f>IF(ISNA(MATCH(C194&amp;"|"&amp;E194,Bands!$F:$F,0)),0,1)</f>
        <v>1</v>
      </c>
      <c r="M194" s="4">
        <f>INDEX(Bands!$C:$C,MATCH(C194&amp;"|"&amp;E194,Bands!$F:$F,0))</f>
        <v>53100</v>
      </c>
      <c r="N194" s="4">
        <f>INDEX(Bands!$D:$D,MATCH(C194&amp;"|"&amp;E194,Bands!$F:$F,0))</f>
        <v>63700</v>
      </c>
      <c r="O194" s="4">
        <f>INDEX(Bands!$E:$E,MATCH(C194&amp;"|"&amp;E194,Bands!$F:$F,0))</f>
        <v>74300</v>
      </c>
      <c r="P194" s="7">
        <f t="shared" si="111"/>
        <v>4</v>
      </c>
      <c r="Q194" s="4">
        <f t="shared" si="112"/>
        <v>73458</v>
      </c>
      <c r="R194" s="7">
        <f t="shared" si="113"/>
        <v>64</v>
      </c>
      <c r="S194" s="7">
        <f t="shared" si="114"/>
        <v>16</v>
      </c>
      <c r="T194" s="7">
        <f t="shared" si="115"/>
        <v>32</v>
      </c>
      <c r="U194" s="7">
        <f t="shared" si="116"/>
        <v>587664</v>
      </c>
      <c r="V194" s="7">
        <f t="shared" si="117"/>
        <v>293832</v>
      </c>
      <c r="W194" s="4">
        <f t="shared" si="118"/>
        <v>73458</v>
      </c>
      <c r="X194" s="3">
        <f t="shared" si="119"/>
        <v>9</v>
      </c>
      <c r="Y194" s="4">
        <f>INDEX(Categories!$AH:$AH,MATCH(C194,Categories!$A:$A,0))</f>
        <v>85035.918249999988</v>
      </c>
      <c r="Z194" s="3">
        <f>IF(AND(D194="F",Q194&lt;Y194,INDEX(Categories!$AI:$AI,MATCH(C194,Categories!$A:$A,0))&gt;0),1,0)</f>
        <v>0</v>
      </c>
      <c r="AA194" s="4">
        <f t="shared" si="120"/>
        <v>0</v>
      </c>
      <c r="AB194" s="4">
        <f>IF(Z194=1,INDEX(Categories!$AI:$AI,MATCH(C194,Categories!$A:$A,0))*AA194/INDEX(Categories!$AJ:$AJ,MATCH(C194,Categories!$A:$A,0)),0)</f>
        <v>0</v>
      </c>
      <c r="AC194" s="4">
        <f t="shared" si="121"/>
        <v>0</v>
      </c>
      <c r="AD194" s="4">
        <f t="shared" si="122"/>
        <v>58300</v>
      </c>
      <c r="AE194" s="3">
        <f t="shared" si="123"/>
        <v>0</v>
      </c>
      <c r="AF194" s="3">
        <f t="shared" si="124"/>
        <v>48</v>
      </c>
      <c r="AG194" s="3">
        <f t="shared" si="125"/>
        <v>12</v>
      </c>
      <c r="AH194" s="3">
        <f t="shared" si="126"/>
        <v>1</v>
      </c>
      <c r="AI194" s="5">
        <f t="shared" si="127"/>
        <v>0.9152276295133438</v>
      </c>
      <c r="AJ194" s="3">
        <f>MATCH(AI194,Inputs!$B$31:$B$34,1)</f>
        <v>2</v>
      </c>
      <c r="AK194" s="5">
        <f>INDEX(Inputs!$C$21:$C$25,MATCH(F194,Inputs!$A$21:$A$25,0))</f>
        <v>0.95</v>
      </c>
      <c r="AL194" s="5">
        <f>INDEX(Inputs!$D$21:$D$25,MATCH(F194,Inputs!$A$21:$A$25,0))</f>
        <v>0</v>
      </c>
      <c r="AM194" s="4">
        <f t="shared" si="128"/>
        <v>60515</v>
      </c>
      <c r="AN194" s="4">
        <f t="shared" si="129"/>
        <v>2215</v>
      </c>
      <c r="AO194" s="3">
        <f t="shared" si="130"/>
        <v>1</v>
      </c>
      <c r="AP194" s="4">
        <f t="shared" si="131"/>
        <v>17490</v>
      </c>
      <c r="AQ194" s="4">
        <f t="shared" si="132"/>
        <v>0</v>
      </c>
      <c r="AR194" s="4">
        <f t="shared" si="133"/>
        <v>2215</v>
      </c>
      <c r="AS194" s="3">
        <f t="shared" si="134"/>
        <v>0</v>
      </c>
      <c r="AT194" s="4">
        <f t="shared" si="135"/>
        <v>2215</v>
      </c>
      <c r="AU194" s="4">
        <f t="shared" si="136"/>
        <v>16000</v>
      </c>
      <c r="AV194" s="4">
        <f t="shared" si="137"/>
        <v>2215</v>
      </c>
      <c r="AW194" s="4">
        <f t="shared" si="138"/>
        <v>2215</v>
      </c>
      <c r="AX194" s="5">
        <f t="shared" si="139"/>
        <v>3.7993138936535165E-2</v>
      </c>
      <c r="AY194" s="4">
        <f t="shared" si="140"/>
        <v>60515</v>
      </c>
      <c r="AZ194" s="3">
        <f t="shared" si="141"/>
        <v>0</v>
      </c>
      <c r="BA194" s="4">
        <f t="shared" si="142"/>
        <v>73458</v>
      </c>
      <c r="BB194" s="4">
        <f t="shared" si="143"/>
        <v>19802.865887999997</v>
      </c>
      <c r="BC194" s="4">
        <f t="shared" si="144"/>
        <v>73458</v>
      </c>
      <c r="BD194" s="4">
        <f t="shared" si="145"/>
        <v>19802.865887999997</v>
      </c>
      <c r="BE194" s="4">
        <f t="shared" si="146"/>
        <v>76248.899999999994</v>
      </c>
      <c r="BF194" s="4">
        <f t="shared" si="147"/>
        <v>19831.891247999996</v>
      </c>
      <c r="BG194" s="4">
        <f t="shared" si="148"/>
        <v>0</v>
      </c>
      <c r="BH194" s="4">
        <f t="shared" si="149"/>
        <v>0</v>
      </c>
      <c r="BI194" s="4">
        <f t="shared" si="150"/>
        <v>0</v>
      </c>
      <c r="BJ194" s="4">
        <f t="shared" si="151"/>
        <v>2215</v>
      </c>
      <c r="BK194" s="4">
        <f t="shared" si="152"/>
        <v>575.9</v>
      </c>
      <c r="BL194" s="4">
        <f t="shared" si="153"/>
        <v>29.025359999999637</v>
      </c>
      <c r="BM194" s="4">
        <f t="shared" si="154"/>
        <v>58300</v>
      </c>
      <c r="BN194" s="4">
        <f t="shared" si="155"/>
        <v>2332</v>
      </c>
      <c r="BO194" s="4">
        <f t="shared" si="156"/>
        <v>2332</v>
      </c>
      <c r="BP194" s="4">
        <f t="shared" si="157"/>
        <v>606.32000000000005</v>
      </c>
      <c r="BQ194" s="4">
        <f t="shared" si="158"/>
        <v>76396.320000000007</v>
      </c>
      <c r="BR194" s="4">
        <f t="shared" si="159"/>
        <v>19833.424415999998</v>
      </c>
      <c r="BS194" s="4">
        <f t="shared" si="160"/>
        <v>30.558528000001388</v>
      </c>
      <c r="BT194" s="4">
        <f t="shared" si="161"/>
        <v>73458</v>
      </c>
      <c r="BU194" s="4">
        <f t="shared" si="162"/>
        <v>76248.899999999994</v>
      </c>
      <c r="BV194" s="7">
        <f t="shared" si="163"/>
        <v>609991.19999999995</v>
      </c>
      <c r="BW194" s="7">
        <f t="shared" si="164"/>
        <v>304995.59999999998</v>
      </c>
    </row>
    <row r="195" spans="1:75" x14ac:dyDescent="0.3">
      <c r="A195" s="3">
        <f t="shared" si="110"/>
        <v>191</v>
      </c>
      <c r="B195" t="str">
        <f>INDEX(Employees!$A:$A,A195+1)</f>
        <v>E191</v>
      </c>
      <c r="C195" t="str">
        <f>INDEX(Employees!$A:$Z,MATCH(B195,Employees!$A:$A,0),MATCH("category",Employees!$1:$1,0))</f>
        <v>Sales</v>
      </c>
      <c r="D195" t="str">
        <f>INDEX(Employees!$A:$Z,MATCH(B195,Employees!$A:$A,0),MATCH("gender",Employees!$1:$1,0))</f>
        <v>F</v>
      </c>
      <c r="E195" s="3">
        <f>INDEX(Employees!$A:$Z,MATCH(B195,Employees!$A:$A,0),MATCH("grade",Employees!$1:$1,0))</f>
        <v>8</v>
      </c>
      <c r="F195" s="3">
        <f>INDEX(Employees!$A:$Z,MATCH(B195,Employees!$A:$A,0),MATCH("rating",Employees!$1:$1,0))</f>
        <v>3</v>
      </c>
      <c r="G195" s="22">
        <f>INDEX(Employees!$A:$Z,MATCH(B195,Employees!$A:$A,0),MATCH("hire_date",Employees!$1:$1,0))</f>
        <v>45309</v>
      </c>
      <c r="H195" s="22">
        <f>INDEX(Employees!$A:$Z,MATCH(B195,Employees!$A:$A,0),MATCH("last_change_date",Employees!$1:$1,0))</f>
        <v>46113</v>
      </c>
      <c r="I195" s="4">
        <f>INDEX(Employees!$A:$Z,MATCH(B195,Employees!$A:$A,0),MATCH("base_salary",Employees!$1:$1,0))</f>
        <v>57640</v>
      </c>
      <c r="J195" s="5">
        <f>INDEX(Employees!$A:$Z,MATCH(B195,Employees!$A:$A,0),MATCH("bonus_pct",Employees!$1:$1,0))/100</f>
        <v>0.13</v>
      </c>
      <c r="K195" s="7">
        <f>INDEX(Employees!$A:$Z,MATCH(B195,Employees!$A:$A,0),MATCH("fte",Employees!$1:$1,0))</f>
        <v>1</v>
      </c>
      <c r="L195" s="3">
        <f>IF(ISNA(MATCH(C195&amp;"|"&amp;E195,Bands!$F:$F,0)),0,1)</f>
        <v>1</v>
      </c>
      <c r="M195" s="4">
        <f>INDEX(Bands!$C:$C,MATCH(C195&amp;"|"&amp;E195,Bands!$F:$F,0))</f>
        <v>53100</v>
      </c>
      <c r="N195" s="4">
        <f>INDEX(Bands!$D:$D,MATCH(C195&amp;"|"&amp;E195,Bands!$F:$F,0))</f>
        <v>63700</v>
      </c>
      <c r="O195" s="4">
        <f>INDEX(Bands!$E:$E,MATCH(C195&amp;"|"&amp;E195,Bands!$F:$F,0))</f>
        <v>74300</v>
      </c>
      <c r="P195" s="7">
        <f t="shared" si="111"/>
        <v>3.2005475701574264</v>
      </c>
      <c r="Q195" s="4">
        <f t="shared" si="112"/>
        <v>65133.2</v>
      </c>
      <c r="R195" s="7">
        <f t="shared" si="113"/>
        <v>64</v>
      </c>
      <c r="S195" s="7">
        <f t="shared" si="114"/>
        <v>10.243504748840607</v>
      </c>
      <c r="T195" s="7">
        <f t="shared" si="115"/>
        <v>25.604380561259411</v>
      </c>
      <c r="U195" s="7">
        <f t="shared" si="116"/>
        <v>521065.6</v>
      </c>
      <c r="V195" s="7">
        <f t="shared" si="117"/>
        <v>208461.90499657768</v>
      </c>
      <c r="W195" s="4">
        <f t="shared" si="118"/>
        <v>65133.2</v>
      </c>
      <c r="X195" s="3">
        <f t="shared" si="119"/>
        <v>4</v>
      </c>
      <c r="Y195" s="4">
        <f>INDEX(Categories!$AH:$AH,MATCH(C195,Categories!$A:$A,0))</f>
        <v>85035.918249999988</v>
      </c>
      <c r="Z195" s="3">
        <f>IF(AND(D195="F",Q195&lt;Y195,INDEX(Categories!$AI:$AI,MATCH(C195,Categories!$A:$A,0))&gt;0),1,0)</f>
        <v>1</v>
      </c>
      <c r="AA195" s="4">
        <f t="shared" si="120"/>
        <v>19902.718249999991</v>
      </c>
      <c r="AB195" s="4">
        <f>IF(Z195=1,INDEX(Categories!$AI:$AI,MATCH(C195,Categories!$A:$A,0))*AA195/INDEX(Categories!$AJ:$AJ,MATCH(C195,Categories!$A:$A,0)),0)</f>
        <v>18634.129189453528</v>
      </c>
      <c r="AC195" s="4">
        <f t="shared" si="121"/>
        <v>16490.379813675689</v>
      </c>
      <c r="AD195" s="4">
        <f t="shared" si="122"/>
        <v>74130.379813675681</v>
      </c>
      <c r="AE195" s="3">
        <f t="shared" si="123"/>
        <v>0</v>
      </c>
      <c r="AF195" s="3">
        <f t="shared" si="124"/>
        <v>38</v>
      </c>
      <c r="AG195" s="3">
        <f t="shared" si="125"/>
        <v>12</v>
      </c>
      <c r="AH195" s="3">
        <f t="shared" si="126"/>
        <v>1</v>
      </c>
      <c r="AI195" s="5">
        <f t="shared" si="127"/>
        <v>1.1637422262743435</v>
      </c>
      <c r="AJ195" s="3">
        <f>MATCH(AI195,Inputs!$B$31:$B$34,1)</f>
        <v>4</v>
      </c>
      <c r="AK195" s="5">
        <f>INDEX(Inputs!$C$21:$C$25,MATCH(F195,Inputs!$A$21:$A$25,0))</f>
        <v>1</v>
      </c>
      <c r="AL195" s="5">
        <f>INDEX(Inputs!$D$21:$D$25,MATCH(F195,Inputs!$A$21:$A$25,0))</f>
        <v>0</v>
      </c>
      <c r="AM195" s="4">
        <f t="shared" si="128"/>
        <v>63700</v>
      </c>
      <c r="AN195" s="4">
        <f t="shared" si="129"/>
        <v>0</v>
      </c>
      <c r="AO195" s="3">
        <f t="shared" si="130"/>
        <v>1</v>
      </c>
      <c r="AP195" s="4">
        <f t="shared" si="131"/>
        <v>22239.113944102704</v>
      </c>
      <c r="AQ195" s="4">
        <f t="shared" si="132"/>
        <v>0</v>
      </c>
      <c r="AR195" s="4">
        <f t="shared" si="133"/>
        <v>0</v>
      </c>
      <c r="AS195" s="3">
        <f t="shared" si="134"/>
        <v>0</v>
      </c>
      <c r="AT195" s="4">
        <f t="shared" si="135"/>
        <v>0</v>
      </c>
      <c r="AU195" s="4">
        <f t="shared" si="136"/>
        <v>169.62018632431864</v>
      </c>
      <c r="AV195" s="4">
        <f t="shared" si="137"/>
        <v>0</v>
      </c>
      <c r="AW195" s="4">
        <f t="shared" si="138"/>
        <v>0</v>
      </c>
      <c r="AX195" s="5">
        <f t="shared" si="139"/>
        <v>0</v>
      </c>
      <c r="AY195" s="4">
        <f t="shared" si="140"/>
        <v>74130.379813675681</v>
      </c>
      <c r="AZ195" s="3">
        <f t="shared" si="141"/>
        <v>0</v>
      </c>
      <c r="BA195" s="4">
        <f t="shared" si="142"/>
        <v>65133.2</v>
      </c>
      <c r="BB195" s="4">
        <f t="shared" si="143"/>
        <v>19718.050080000001</v>
      </c>
      <c r="BC195" s="4">
        <f t="shared" si="144"/>
        <v>83767.329189453507</v>
      </c>
      <c r="BD195" s="4">
        <f t="shared" si="145"/>
        <v>19910.082911570313</v>
      </c>
      <c r="BE195" s="4">
        <f t="shared" si="146"/>
        <v>83767.329189453507</v>
      </c>
      <c r="BF195" s="4">
        <f t="shared" si="147"/>
        <v>19910.082911570313</v>
      </c>
      <c r="BG195" s="4">
        <f t="shared" si="148"/>
        <v>16490.379813675689</v>
      </c>
      <c r="BH195" s="4">
        <f t="shared" si="149"/>
        <v>2143.7493757778398</v>
      </c>
      <c r="BI195" s="4">
        <f t="shared" si="150"/>
        <v>192.03283157031183</v>
      </c>
      <c r="BJ195" s="4">
        <f t="shared" si="151"/>
        <v>0</v>
      </c>
      <c r="BK195" s="4">
        <f t="shared" si="152"/>
        <v>0</v>
      </c>
      <c r="BL195" s="4">
        <f t="shared" si="153"/>
        <v>0</v>
      </c>
      <c r="BM195" s="4">
        <f t="shared" si="154"/>
        <v>74130.379813675681</v>
      </c>
      <c r="BN195" s="4">
        <f t="shared" si="155"/>
        <v>2965.2151925470275</v>
      </c>
      <c r="BO195" s="4">
        <f t="shared" si="156"/>
        <v>2965.2151925470275</v>
      </c>
      <c r="BP195" s="4">
        <f t="shared" si="157"/>
        <v>385.4779750311136</v>
      </c>
      <c r="BQ195" s="4">
        <f t="shared" si="158"/>
        <v>87118.022357031645</v>
      </c>
      <c r="BR195" s="4">
        <f t="shared" si="159"/>
        <v>19944.930120513127</v>
      </c>
      <c r="BS195" s="4">
        <f t="shared" si="160"/>
        <v>34.847208942814177</v>
      </c>
      <c r="BT195" s="4">
        <f t="shared" si="161"/>
        <v>83767.329189453507</v>
      </c>
      <c r="BU195" s="4">
        <f t="shared" si="162"/>
        <v>83767.329189453507</v>
      </c>
      <c r="BV195" s="7">
        <f t="shared" si="163"/>
        <v>670138.63351562805</v>
      </c>
      <c r="BW195" s="7">
        <f t="shared" si="164"/>
        <v>268101.32189588266</v>
      </c>
    </row>
    <row r="196" spans="1:75" x14ac:dyDescent="0.3">
      <c r="A196" s="3">
        <f t="shared" si="110"/>
        <v>192</v>
      </c>
      <c r="B196" t="str">
        <f>INDEX(Employees!$A:$A,A196+1)</f>
        <v>E192</v>
      </c>
      <c r="C196" t="str">
        <f>INDEX(Employees!$A:$Z,MATCH(B196,Employees!$A:$A,0),MATCH("category",Employees!$1:$1,0))</f>
        <v>Sales</v>
      </c>
      <c r="D196" t="str">
        <f>INDEX(Employees!$A:$Z,MATCH(B196,Employees!$A:$A,0),MATCH("gender",Employees!$1:$1,0))</f>
        <v>M</v>
      </c>
      <c r="E196" s="3">
        <f>INDEX(Employees!$A:$Z,MATCH(B196,Employees!$A:$A,0),MATCH("grade",Employees!$1:$1,0))</f>
        <v>8</v>
      </c>
      <c r="F196" s="3">
        <f>INDEX(Employees!$A:$Z,MATCH(B196,Employees!$A:$A,0),MATCH("rating",Employees!$1:$1,0))</f>
        <v>3</v>
      </c>
      <c r="G196" s="22">
        <f>INDEX(Employees!$A:$Z,MATCH(B196,Employees!$A:$A,0),MATCH("hire_date",Employees!$1:$1,0))</f>
        <v>45309</v>
      </c>
      <c r="H196" s="22">
        <f>INDEX(Employees!$A:$Z,MATCH(B196,Employees!$A:$A,0),MATCH("last_change_date",Employees!$1:$1,0))</f>
        <v>46244</v>
      </c>
      <c r="I196" s="4">
        <f>INDEX(Employees!$A:$Z,MATCH(B196,Employees!$A:$A,0),MATCH("base_salary",Employees!$1:$1,0))</f>
        <v>48905.94</v>
      </c>
      <c r="J196" s="5">
        <f>INDEX(Employees!$A:$Z,MATCH(B196,Employees!$A:$A,0),MATCH("bonus_pct",Employees!$1:$1,0))/100</f>
        <v>0.26</v>
      </c>
      <c r="K196" s="7">
        <f>INDEX(Employees!$A:$Z,MATCH(B196,Employees!$A:$A,0),MATCH("fte",Employees!$1:$1,0))</f>
        <v>1</v>
      </c>
      <c r="L196" s="3">
        <f>IF(ISNA(MATCH(C196&amp;"|"&amp;E196,Bands!$F:$F,0)),0,1)</f>
        <v>1</v>
      </c>
      <c r="M196" s="4">
        <f>INDEX(Bands!$C:$C,MATCH(C196&amp;"|"&amp;E196,Bands!$F:$F,0))</f>
        <v>53100</v>
      </c>
      <c r="N196" s="4">
        <f>INDEX(Bands!$D:$D,MATCH(C196&amp;"|"&amp;E196,Bands!$F:$F,0))</f>
        <v>63700</v>
      </c>
      <c r="O196" s="4">
        <f>INDEX(Bands!$E:$E,MATCH(C196&amp;"|"&amp;E196,Bands!$F:$F,0))</f>
        <v>74300</v>
      </c>
      <c r="P196" s="7">
        <f t="shared" si="111"/>
        <v>3.2005475701574264</v>
      </c>
      <c r="Q196" s="4">
        <f t="shared" si="112"/>
        <v>61621.484400000001</v>
      </c>
      <c r="R196" s="7">
        <f t="shared" si="113"/>
        <v>64</v>
      </c>
      <c r="S196" s="7">
        <f t="shared" si="114"/>
        <v>10.243504748840607</v>
      </c>
      <c r="T196" s="7">
        <f t="shared" si="115"/>
        <v>25.604380561259411</v>
      </c>
      <c r="U196" s="7">
        <f t="shared" si="116"/>
        <v>492971.87520000001</v>
      </c>
      <c r="V196" s="7">
        <f t="shared" si="117"/>
        <v>197222.49216591375</v>
      </c>
      <c r="W196" s="4">
        <f t="shared" si="118"/>
        <v>61621.48</v>
      </c>
      <c r="X196" s="3">
        <f t="shared" si="119"/>
        <v>2</v>
      </c>
      <c r="Y196" s="4">
        <f>INDEX(Categories!$AH:$AH,MATCH(C196,Categories!$A:$A,0))</f>
        <v>85035.918249999988</v>
      </c>
      <c r="Z196" s="3">
        <f>IF(AND(D196="F",Q196&lt;Y196,INDEX(Categories!$AI:$AI,MATCH(C196,Categories!$A:$A,0))&gt;0),1,0)</f>
        <v>0</v>
      </c>
      <c r="AA196" s="4">
        <f t="shared" si="120"/>
        <v>0</v>
      </c>
      <c r="AB196" s="4">
        <f>IF(Z196=1,INDEX(Categories!$AI:$AI,MATCH(C196,Categories!$A:$A,0))*AA196/INDEX(Categories!$AJ:$AJ,MATCH(C196,Categories!$A:$A,0)),0)</f>
        <v>0</v>
      </c>
      <c r="AC196" s="4">
        <f t="shared" si="121"/>
        <v>0</v>
      </c>
      <c r="AD196" s="4">
        <f t="shared" si="122"/>
        <v>48905.94</v>
      </c>
      <c r="AE196" s="3">
        <f t="shared" si="123"/>
        <v>0</v>
      </c>
      <c r="AF196" s="3">
        <f t="shared" si="124"/>
        <v>38</v>
      </c>
      <c r="AG196" s="3">
        <f t="shared" si="125"/>
        <v>7</v>
      </c>
      <c r="AH196" s="3">
        <f t="shared" si="126"/>
        <v>1</v>
      </c>
      <c r="AI196" s="5">
        <f t="shared" si="127"/>
        <v>0.76775416012558872</v>
      </c>
      <c r="AJ196" s="3">
        <f>MATCH(AI196,Inputs!$B$31:$B$34,1)</f>
        <v>1</v>
      </c>
      <c r="AK196" s="5">
        <f>INDEX(Inputs!$C$21:$C$25,MATCH(F196,Inputs!$A$21:$A$25,0))</f>
        <v>1</v>
      </c>
      <c r="AL196" s="5">
        <f>INDEX(Inputs!$D$21:$D$25,MATCH(F196,Inputs!$A$21:$A$25,0))</f>
        <v>0</v>
      </c>
      <c r="AM196" s="4">
        <f t="shared" si="128"/>
        <v>63700</v>
      </c>
      <c r="AN196" s="4">
        <f t="shared" si="129"/>
        <v>14794.059999999998</v>
      </c>
      <c r="AO196" s="3">
        <f t="shared" si="130"/>
        <v>1</v>
      </c>
      <c r="AP196" s="4">
        <f t="shared" si="131"/>
        <v>14671.782000000001</v>
      </c>
      <c r="AQ196" s="4">
        <f t="shared" si="132"/>
        <v>0</v>
      </c>
      <c r="AR196" s="4">
        <f t="shared" si="133"/>
        <v>14671.782000000001</v>
      </c>
      <c r="AS196" s="3">
        <f t="shared" si="134"/>
        <v>0</v>
      </c>
      <c r="AT196" s="4">
        <f t="shared" si="135"/>
        <v>14671.782000000001</v>
      </c>
      <c r="AU196" s="4">
        <f t="shared" si="136"/>
        <v>25394.059999999998</v>
      </c>
      <c r="AV196" s="4">
        <f t="shared" si="137"/>
        <v>14671.782000000001</v>
      </c>
      <c r="AW196" s="4">
        <f t="shared" si="138"/>
        <v>14671.782000000001</v>
      </c>
      <c r="AX196" s="5">
        <f t="shared" si="139"/>
        <v>0.3</v>
      </c>
      <c r="AY196" s="4">
        <f t="shared" si="140"/>
        <v>63577.722000000002</v>
      </c>
      <c r="AZ196" s="3">
        <f t="shared" si="141"/>
        <v>0</v>
      </c>
      <c r="BA196" s="4">
        <f t="shared" si="142"/>
        <v>61621.484400000001</v>
      </c>
      <c r="BB196" s="4">
        <f t="shared" si="143"/>
        <v>19684.33761024</v>
      </c>
      <c r="BC196" s="4">
        <f t="shared" si="144"/>
        <v>61621.484400000001</v>
      </c>
      <c r="BD196" s="4">
        <f t="shared" si="145"/>
        <v>19684.33761024</v>
      </c>
      <c r="BE196" s="4">
        <f t="shared" si="146"/>
        <v>80107.92972</v>
      </c>
      <c r="BF196" s="4">
        <f t="shared" si="147"/>
        <v>19872.025157087999</v>
      </c>
      <c r="BG196" s="4">
        <f t="shared" si="148"/>
        <v>0</v>
      </c>
      <c r="BH196" s="4">
        <f t="shared" si="149"/>
        <v>0</v>
      </c>
      <c r="BI196" s="4">
        <f t="shared" si="150"/>
        <v>0</v>
      </c>
      <c r="BJ196" s="4">
        <f t="shared" si="151"/>
        <v>14671.782000000001</v>
      </c>
      <c r="BK196" s="4">
        <f t="shared" si="152"/>
        <v>3814.6633200000006</v>
      </c>
      <c r="BL196" s="4">
        <f t="shared" si="153"/>
        <v>187.68754684799933</v>
      </c>
      <c r="BM196" s="4">
        <f t="shared" si="154"/>
        <v>48905.94</v>
      </c>
      <c r="BN196" s="4">
        <f t="shared" si="155"/>
        <v>1956.2376000000002</v>
      </c>
      <c r="BO196" s="4">
        <f t="shared" si="156"/>
        <v>1956.2376000000002</v>
      </c>
      <c r="BP196" s="4">
        <f t="shared" si="157"/>
        <v>508.62177600000007</v>
      </c>
      <c r="BQ196" s="4">
        <f t="shared" si="158"/>
        <v>64086.343776000002</v>
      </c>
      <c r="BR196" s="4">
        <f t="shared" si="159"/>
        <v>19708.000260249599</v>
      </c>
      <c r="BS196" s="4">
        <f t="shared" si="160"/>
        <v>23.66265000959902</v>
      </c>
      <c r="BT196" s="4">
        <f t="shared" si="161"/>
        <v>61621.484400000001</v>
      </c>
      <c r="BU196" s="4">
        <f t="shared" si="162"/>
        <v>80107.92972</v>
      </c>
      <c r="BV196" s="7">
        <f t="shared" si="163"/>
        <v>640863.43776</v>
      </c>
      <c r="BW196" s="7">
        <f t="shared" si="164"/>
        <v>256389.23981568788</v>
      </c>
    </row>
    <row r="197" spans="1:75" x14ac:dyDescent="0.3">
      <c r="A197" s="3">
        <f t="shared" ref="A197:A216" si="165">ROW()-4</f>
        <v>193</v>
      </c>
      <c r="B197" t="str">
        <f>INDEX(Employees!$A:$A,A197+1)</f>
        <v>E193</v>
      </c>
      <c r="C197" t="str">
        <f>INDEX(Employees!$A:$Z,MATCH(B197,Employees!$A:$A,0),MATCH("category",Employees!$1:$1,0))</f>
        <v>Sales</v>
      </c>
      <c r="D197" t="str">
        <f>INDEX(Employees!$A:$Z,MATCH(B197,Employees!$A:$A,0),MATCH("gender",Employees!$1:$1,0))</f>
        <v>F</v>
      </c>
      <c r="E197" s="3">
        <f>INDEX(Employees!$A:$Z,MATCH(B197,Employees!$A:$A,0),MATCH("grade",Employees!$1:$1,0))</f>
        <v>10</v>
      </c>
      <c r="F197" s="3">
        <f>INDEX(Employees!$A:$Z,MATCH(B197,Employees!$A:$A,0),MATCH("rating",Employees!$1:$1,0))</f>
        <v>2</v>
      </c>
      <c r="G197" s="22">
        <f>INDEX(Employees!$A:$Z,MATCH(B197,Employees!$A:$A,0),MATCH("hire_date",Employees!$1:$1,0))</f>
        <v>43885</v>
      </c>
      <c r="H197" s="22">
        <f>INDEX(Employees!$A:$Z,MATCH(B197,Employees!$A:$A,0),MATCH("last_change_date",Employees!$1:$1,0))</f>
        <v>46113</v>
      </c>
      <c r="I197" s="4">
        <f>INDEX(Employees!$A:$Z,MATCH(B197,Employees!$A:$A,0),MATCH("base_salary",Employees!$1:$1,0))</f>
        <v>76339.649999999994</v>
      </c>
      <c r="J197" s="5">
        <f>INDEX(Employees!$A:$Z,MATCH(B197,Employees!$A:$A,0),MATCH("bonus_pct",Employees!$1:$1,0))/100</f>
        <v>0.13</v>
      </c>
      <c r="K197" s="7">
        <f>INDEX(Employees!$A:$Z,MATCH(B197,Employees!$A:$A,0),MATCH("fte",Employees!$1:$1,0))</f>
        <v>1</v>
      </c>
      <c r="L197" s="3">
        <f>IF(ISNA(MATCH(C197&amp;"|"&amp;E197,Bands!$F:$F,0)),0,1)</f>
        <v>1</v>
      </c>
      <c r="M197" s="4">
        <f>INDEX(Bands!$C:$C,MATCH(C197&amp;"|"&amp;E197,Bands!$F:$F,0))</f>
        <v>67400</v>
      </c>
      <c r="N197" s="4">
        <f>INDEX(Bands!$D:$D,MATCH(C197&amp;"|"&amp;E197,Bands!$F:$F,0))</f>
        <v>84300</v>
      </c>
      <c r="O197" s="4">
        <f>INDEX(Bands!$E:$E,MATCH(C197&amp;"|"&amp;E197,Bands!$F:$F,0))</f>
        <v>101100</v>
      </c>
      <c r="P197" s="7">
        <f t="shared" ref="P197:P216" si="166">(EffDate-G197)/365.25</f>
        <v>7.099247091033539</v>
      </c>
      <c r="Q197" s="4">
        <f t="shared" ref="Q197:Q216" si="167">I197*(1+J197)</f>
        <v>86263.804499999984</v>
      </c>
      <c r="R197" s="7">
        <f t="shared" ref="R197:R216" si="168">E197^2</f>
        <v>100</v>
      </c>
      <c r="S197" s="7">
        <f t="shared" ref="S197:S216" si="169">P197^2</f>
        <v>50.399309259548168</v>
      </c>
      <c r="T197" s="7">
        <f t="shared" ref="T197:T216" si="170">E197*P197</f>
        <v>70.992470910335385</v>
      </c>
      <c r="U197" s="7">
        <f t="shared" ref="U197:U216" si="171">E197*Q197</f>
        <v>862638.04499999981</v>
      </c>
      <c r="V197" s="7">
        <f t="shared" ref="V197:V216" si="172">P197*Q197</f>
        <v>612408.06315811083</v>
      </c>
      <c r="W197" s="4">
        <f t="shared" ref="W197:W216" si="173">ROUND(Q197,2)</f>
        <v>86263.8</v>
      </c>
      <c r="X197" s="3">
        <f t="shared" ref="X197:X260" si="174">COUNTIFS($C:$C,C197,$W:$W,"&lt;"&amp;W197)+COUNTIFS($C:$C,C197,$W:$W,W197,$B:$B,"&lt;"&amp;B197)+1</f>
        <v>14</v>
      </c>
      <c r="Y197" s="4">
        <f>INDEX(Categories!$AH:$AH,MATCH(C197,Categories!$A:$A,0))</f>
        <v>85035.918249999988</v>
      </c>
      <c r="Z197" s="3">
        <f>IF(AND(D197="F",Q197&lt;Y197,INDEX(Categories!$AI:$AI,MATCH(C197,Categories!$A:$A,0))&gt;0),1,0)</f>
        <v>0</v>
      </c>
      <c r="AA197" s="4">
        <f t="shared" ref="AA197:AA260" si="175">IF(Z197=1,Y197-Q197,0)</f>
        <v>0</v>
      </c>
      <c r="AB197" s="4">
        <f>IF(Z197=1,INDEX(Categories!$AI:$AI,MATCH(C197,Categories!$A:$A,0))*AA197/INDEX(Categories!$AJ:$AJ,MATCH(C197,Categories!$A:$A,0)),0)</f>
        <v>0</v>
      </c>
      <c r="AC197" s="4">
        <f t="shared" ref="AC197:AC260" si="176">AB197/(1+J197)</f>
        <v>0</v>
      </c>
      <c r="AD197" s="4">
        <f t="shared" ref="AD197:AD260" si="177">I197+AC197</f>
        <v>76339.649999999994</v>
      </c>
      <c r="AE197" s="3">
        <f t="shared" ref="AE197:AE260" si="178">IF(AND(AC197&gt;0,AD197&gt;O197),1,0)</f>
        <v>0</v>
      </c>
      <c r="AF197" s="3">
        <f t="shared" ref="AF197:AF216" si="179">IF(G197&gt;EffDate,-1,DATEDIF(G197,EffDate,"m"))</f>
        <v>85</v>
      </c>
      <c r="AG197" s="3">
        <f t="shared" ref="AG197:AG216" si="180">IF(H197&gt;EffDate,-1,DATEDIF(H197,EffDate,"m"))</f>
        <v>12</v>
      </c>
      <c r="AH197" s="3">
        <f t="shared" ref="AH197:AH260" si="181">IF(AND(AF197&gt;=MinMonthsHire,AG197&gt;=MinMonthsChange),1,0)</f>
        <v>1</v>
      </c>
      <c r="AI197" s="5">
        <f t="shared" ref="AI197:AI216" si="182">AD197/N197</f>
        <v>0.90557117437722412</v>
      </c>
      <c r="AJ197" s="3">
        <f>MATCH(AI197,Inputs!$B$31:$B$34,1)</f>
        <v>2</v>
      </c>
      <c r="AK197" s="5">
        <f>INDEX(Inputs!$C$21:$C$25,MATCH(F197,Inputs!$A$21:$A$25,0))</f>
        <v>0.95</v>
      </c>
      <c r="AL197" s="5">
        <f>INDEX(Inputs!$D$21:$D$25,MATCH(F197,Inputs!$A$21:$A$25,0))</f>
        <v>0</v>
      </c>
      <c r="AM197" s="4">
        <f t="shared" ref="AM197:AM216" si="183">N197*CompanyTarget*AK197</f>
        <v>80085</v>
      </c>
      <c r="AN197" s="4">
        <f t="shared" ref="AN197:AN260" si="184">MAX(0,AM197-AD197)</f>
        <v>3745.3500000000058</v>
      </c>
      <c r="AO197" s="3">
        <f t="shared" ref="AO197:AO216" si="185">IF(AND(ISNUMBER(MaxIncrease),MaxIncrease&gt;0),1,0)</f>
        <v>1</v>
      </c>
      <c r="AP197" s="4">
        <f t="shared" ref="AP197:AP260" si="186">IF(AO197=1,AD197*MaxIncrease,0)</f>
        <v>22901.894999999997</v>
      </c>
      <c r="AQ197" s="4">
        <f t="shared" ref="AQ197:AQ216" si="187">AD197*AL197</f>
        <v>0</v>
      </c>
      <c r="AR197" s="4">
        <f t="shared" ref="AR197:AR260" si="188">IF(AK197=0,0,IF(AO197=1,MIN(MAX(AN197,AQ197),AP197),MAX(AN197,AQ197)))</f>
        <v>3745.3500000000058</v>
      </c>
      <c r="AS197" s="3">
        <f t="shared" ref="AS197:AS216" si="189">IF(AD197&gt;=O197,1,0)</f>
        <v>0</v>
      </c>
      <c r="AT197" s="4">
        <f t="shared" ref="AT197:AT260" si="190">IF(AS197=1,0,AR197)</f>
        <v>3745.3500000000058</v>
      </c>
      <c r="AU197" s="4">
        <f t="shared" ref="AU197:AU216" si="191">MAX(0,O197-AD197)</f>
        <v>24760.350000000006</v>
      </c>
      <c r="AV197" s="4">
        <f t="shared" ref="AV197:AV260" si="192">IF(ClipAtMax="No",AT197,MIN(AT197,AU197))</f>
        <v>3745.3500000000058</v>
      </c>
      <c r="AW197" s="4">
        <f t="shared" ref="AW197:AW260" si="193">IF(AH197=1,AV197,0)</f>
        <v>3745.3500000000058</v>
      </c>
      <c r="AX197" s="5">
        <f t="shared" ref="AX197:AX260" si="194">IF(AD197&gt;0,AW197/AD197,0)</f>
        <v>4.9061660618040639E-2</v>
      </c>
      <c r="AY197" s="4">
        <f t="shared" ref="AY197:AY216" si="195">AD197+AW197</f>
        <v>80085</v>
      </c>
      <c r="AZ197" s="3">
        <f t="shared" ref="AZ197:AZ260" si="196">IF(AY197&lt;M197,1,0)</f>
        <v>0</v>
      </c>
      <c r="BA197" s="4">
        <f t="shared" ref="BA197:BA216" si="197">Q197*K197</f>
        <v>86263.804499999984</v>
      </c>
      <c r="BB197" s="4">
        <f t="shared" ref="BB197:BB260" si="198">RateBelow*MIN(BA197,Ceiling)+AboveCeilingTier1*MIN(MAX(0,BA197-Ceiling),0.1*Ceiling)+AboveCeilingTier2*MIN(MAX(0,BA197-1.1*Ceiling),0.4*Ceiling)+AboveCeilingTier3*MAX(0,BA197-1.5*Ceiling)</f>
        <v>19936.046254799996</v>
      </c>
      <c r="BC197" s="4">
        <f t="shared" ref="BC197:BC216" si="199">AD197*(1+J197)*K197</f>
        <v>86263.804499999984</v>
      </c>
      <c r="BD197" s="4">
        <f t="shared" ref="BD197:BD260" si="200">RateBelow*MIN(BC197,Ceiling)+AboveCeilingTier1*MIN(MAX(0,BC197-Ceiling),0.1*Ceiling)+AboveCeilingTier2*MIN(MAX(0,BC197-1.1*Ceiling),0.4*Ceiling)+AboveCeilingTier3*MAX(0,BC197-1.5*Ceiling)</f>
        <v>19936.046254799996</v>
      </c>
      <c r="BE197" s="4">
        <f t="shared" ref="BE197:BE216" si="201">AY197*(1+J197)*K197</f>
        <v>90496.049999999988</v>
      </c>
      <c r="BF197" s="4">
        <f t="shared" ref="BF197:BF260" si="202">RateBelow*MIN(BE197,Ceiling)+AboveCeilingTier1*MIN(MAX(0,BE197-Ceiling),0.1*Ceiling)+AboveCeilingTier2*MIN(MAX(0,BE197-1.1*Ceiling),0.4*Ceiling)+AboveCeilingTier3*MAX(0,BE197-1.5*Ceiling)</f>
        <v>19980.061607999996</v>
      </c>
      <c r="BG197" s="4">
        <f t="shared" ref="BG197:BG216" si="203">AC197*K197</f>
        <v>0</v>
      </c>
      <c r="BH197" s="4">
        <f t="shared" ref="BH197:BH216" si="204">AC197*J197*K197</f>
        <v>0</v>
      </c>
      <c r="BI197" s="4">
        <f t="shared" ref="BI197:BI216" si="205">BD197-BB197</f>
        <v>0</v>
      </c>
      <c r="BJ197" s="4">
        <f t="shared" ref="BJ197:BJ216" si="206">AW197*K197</f>
        <v>3745.3500000000058</v>
      </c>
      <c r="BK197" s="4">
        <f t="shared" ref="BK197:BK216" si="207">AW197*J197*K197</f>
        <v>486.89550000000077</v>
      </c>
      <c r="BL197" s="4">
        <f t="shared" ref="BL197:BL216" si="208">BF197-BD197</f>
        <v>44.015353200000391</v>
      </c>
      <c r="BM197" s="4">
        <f t="shared" ref="BM197:BM216" si="209">IF(AH197=1,AD197*K197,0)</f>
        <v>76339.649999999994</v>
      </c>
      <c r="BN197" s="4">
        <f t="shared" ref="BN197:BN216" si="210">IF(AH197=1,AD197*PoolPct,0)</f>
        <v>3053.5859999999998</v>
      </c>
      <c r="BO197" s="4">
        <f t="shared" ref="BO197:BO260" si="211">BN197*K197</f>
        <v>3053.5859999999998</v>
      </c>
      <c r="BP197" s="4">
        <f t="shared" ref="BP197:BP216" si="212">BN197*J197*K197</f>
        <v>396.96618000000001</v>
      </c>
      <c r="BQ197" s="4">
        <f t="shared" ref="BQ197:BQ216" si="213">(AD197+BN197)*(1+J197)*K197</f>
        <v>89714.356679999983</v>
      </c>
      <c r="BR197" s="4">
        <f t="shared" ref="BR197:BR260" si="214">RateBelow*MIN(BQ197,Ceiling)+AboveCeilingTier1*MIN(MAX(0,BQ197-Ceiling),0.1*Ceiling)+AboveCeilingTier2*MIN(MAX(0,BQ197-1.1*Ceiling),0.4*Ceiling)+AboveCeilingTier3*MAX(0,BQ197-1.5*Ceiling)</f>
        <v>19971.931997471998</v>
      </c>
      <c r="BS197" s="4">
        <f t="shared" ref="BS197:BS260" si="215">BR197-BD197</f>
        <v>35.88574267200238</v>
      </c>
      <c r="BT197" s="4">
        <f t="shared" ref="BT197:BT216" si="216">AD197*(1+J197)</f>
        <v>86263.804499999984</v>
      </c>
      <c r="BU197" s="4">
        <f t="shared" ref="BU197:BU216" si="217">AY197*(1+J197)</f>
        <v>90496.049999999988</v>
      </c>
      <c r="BV197" s="7">
        <f t="shared" ref="BV197:BV260" si="218">E197*BU197</f>
        <v>904960.49999999988</v>
      </c>
      <c r="BW197" s="7">
        <f t="shared" ref="BW197:BW216" si="219">P197*BU197</f>
        <v>642453.81971252558</v>
      </c>
    </row>
    <row r="198" spans="1:75" x14ac:dyDescent="0.3">
      <c r="A198" s="3">
        <f t="shared" si="165"/>
        <v>194</v>
      </c>
      <c r="B198" t="str">
        <f>INDEX(Employees!$A:$A,A198+1)</f>
        <v>E194</v>
      </c>
      <c r="C198" t="str">
        <f>INDEX(Employees!$A:$Z,MATCH(B198,Employees!$A:$A,0),MATCH("category",Employees!$1:$1,0))</f>
        <v>Sales</v>
      </c>
      <c r="D198" t="str">
        <f>INDEX(Employees!$A:$Z,MATCH(B198,Employees!$A:$A,0),MATCH("gender",Employees!$1:$1,0))</f>
        <v>M</v>
      </c>
      <c r="E198" s="3">
        <f>INDEX(Employees!$A:$Z,MATCH(B198,Employees!$A:$A,0),MATCH("grade",Employees!$1:$1,0))</f>
        <v>10</v>
      </c>
      <c r="F198" s="3">
        <f>INDEX(Employees!$A:$Z,MATCH(B198,Employees!$A:$A,0),MATCH("rating",Employees!$1:$1,0))</f>
        <v>3</v>
      </c>
      <c r="G198" s="22">
        <f>INDEX(Employees!$A:$Z,MATCH(B198,Employees!$A:$A,0),MATCH("hire_date",Employees!$1:$1,0))</f>
        <v>43885</v>
      </c>
      <c r="H198" s="22">
        <f>INDEX(Employees!$A:$Z,MATCH(B198,Employees!$A:$A,0),MATCH("last_change_date",Employees!$1:$1,0))</f>
        <v>46113</v>
      </c>
      <c r="I198" s="4">
        <f>INDEX(Employees!$A:$Z,MATCH(B198,Employees!$A:$A,0),MATCH("base_salary",Employees!$1:$1,0))</f>
        <v>76339.649999999994</v>
      </c>
      <c r="J198" s="5">
        <f>INDEX(Employees!$A:$Z,MATCH(B198,Employees!$A:$A,0),MATCH("bonus_pct",Employees!$1:$1,0))/100</f>
        <v>0.26</v>
      </c>
      <c r="K198" s="7">
        <f>INDEX(Employees!$A:$Z,MATCH(B198,Employees!$A:$A,0),MATCH("fte",Employees!$1:$1,0))</f>
        <v>1</v>
      </c>
      <c r="L198" s="3">
        <f>IF(ISNA(MATCH(C198&amp;"|"&amp;E198,Bands!$F:$F,0)),0,1)</f>
        <v>1</v>
      </c>
      <c r="M198" s="4">
        <f>INDEX(Bands!$C:$C,MATCH(C198&amp;"|"&amp;E198,Bands!$F:$F,0))</f>
        <v>67400</v>
      </c>
      <c r="N198" s="4">
        <f>INDEX(Bands!$D:$D,MATCH(C198&amp;"|"&amp;E198,Bands!$F:$F,0))</f>
        <v>84300</v>
      </c>
      <c r="O198" s="4">
        <f>INDEX(Bands!$E:$E,MATCH(C198&amp;"|"&amp;E198,Bands!$F:$F,0))</f>
        <v>101100</v>
      </c>
      <c r="P198" s="7">
        <f t="shared" si="166"/>
        <v>7.099247091033539</v>
      </c>
      <c r="Q198" s="4">
        <f t="shared" si="167"/>
        <v>96187.958999999988</v>
      </c>
      <c r="R198" s="7">
        <f t="shared" si="168"/>
        <v>100</v>
      </c>
      <c r="S198" s="7">
        <f t="shared" si="169"/>
        <v>50.399309259548168</v>
      </c>
      <c r="T198" s="7">
        <f t="shared" si="170"/>
        <v>70.992470910335385</v>
      </c>
      <c r="U198" s="7">
        <f t="shared" si="171"/>
        <v>961879.58999999985</v>
      </c>
      <c r="V198" s="7">
        <f t="shared" si="172"/>
        <v>682862.08812320326</v>
      </c>
      <c r="W198" s="4">
        <f t="shared" si="173"/>
        <v>96187.96</v>
      </c>
      <c r="X198" s="3">
        <f t="shared" si="174"/>
        <v>17</v>
      </c>
      <c r="Y198" s="4">
        <f>INDEX(Categories!$AH:$AH,MATCH(C198,Categories!$A:$A,0))</f>
        <v>85035.918249999988</v>
      </c>
      <c r="Z198" s="3">
        <f>IF(AND(D198="F",Q198&lt;Y198,INDEX(Categories!$AI:$AI,MATCH(C198,Categories!$A:$A,0))&gt;0),1,0)</f>
        <v>0</v>
      </c>
      <c r="AA198" s="4">
        <f t="shared" si="175"/>
        <v>0</v>
      </c>
      <c r="AB198" s="4">
        <f>IF(Z198=1,INDEX(Categories!$AI:$AI,MATCH(C198,Categories!$A:$A,0))*AA198/INDEX(Categories!$AJ:$AJ,MATCH(C198,Categories!$A:$A,0)),0)</f>
        <v>0</v>
      </c>
      <c r="AC198" s="4">
        <f t="shared" si="176"/>
        <v>0</v>
      </c>
      <c r="AD198" s="4">
        <f t="shared" si="177"/>
        <v>76339.649999999994</v>
      </c>
      <c r="AE198" s="3">
        <f t="shared" si="178"/>
        <v>0</v>
      </c>
      <c r="AF198" s="3">
        <f t="shared" si="179"/>
        <v>85</v>
      </c>
      <c r="AG198" s="3">
        <f t="shared" si="180"/>
        <v>12</v>
      </c>
      <c r="AH198" s="3">
        <f t="shared" si="181"/>
        <v>1</v>
      </c>
      <c r="AI198" s="5">
        <f t="shared" si="182"/>
        <v>0.90557117437722412</v>
      </c>
      <c r="AJ198" s="3">
        <f>MATCH(AI198,Inputs!$B$31:$B$34,1)</f>
        <v>2</v>
      </c>
      <c r="AK198" s="5">
        <f>INDEX(Inputs!$C$21:$C$25,MATCH(F198,Inputs!$A$21:$A$25,0))</f>
        <v>1</v>
      </c>
      <c r="AL198" s="5">
        <f>INDEX(Inputs!$D$21:$D$25,MATCH(F198,Inputs!$A$21:$A$25,0))</f>
        <v>0</v>
      </c>
      <c r="AM198" s="4">
        <f t="shared" si="183"/>
        <v>84300</v>
      </c>
      <c r="AN198" s="4">
        <f t="shared" si="184"/>
        <v>7960.3500000000058</v>
      </c>
      <c r="AO198" s="3">
        <f t="shared" si="185"/>
        <v>1</v>
      </c>
      <c r="AP198" s="4">
        <f t="shared" si="186"/>
        <v>22901.894999999997</v>
      </c>
      <c r="AQ198" s="4">
        <f t="shared" si="187"/>
        <v>0</v>
      </c>
      <c r="AR198" s="4">
        <f t="shared" si="188"/>
        <v>7960.3500000000058</v>
      </c>
      <c r="AS198" s="3">
        <f t="shared" si="189"/>
        <v>0</v>
      </c>
      <c r="AT198" s="4">
        <f t="shared" si="190"/>
        <v>7960.3500000000058</v>
      </c>
      <c r="AU198" s="4">
        <f t="shared" si="191"/>
        <v>24760.350000000006</v>
      </c>
      <c r="AV198" s="4">
        <f t="shared" si="192"/>
        <v>7960.3500000000058</v>
      </c>
      <c r="AW198" s="4">
        <f t="shared" si="193"/>
        <v>7960.3500000000058</v>
      </c>
      <c r="AX198" s="5">
        <f t="shared" si="194"/>
        <v>0.10427543222951646</v>
      </c>
      <c r="AY198" s="4">
        <f t="shared" si="195"/>
        <v>84300</v>
      </c>
      <c r="AZ198" s="3">
        <f t="shared" si="196"/>
        <v>0</v>
      </c>
      <c r="BA198" s="4">
        <f t="shared" si="197"/>
        <v>96187.958999999988</v>
      </c>
      <c r="BB198" s="4">
        <f t="shared" si="198"/>
        <v>20047.116907799995</v>
      </c>
      <c r="BC198" s="4">
        <f t="shared" si="199"/>
        <v>96187.958999999988</v>
      </c>
      <c r="BD198" s="4">
        <f t="shared" si="200"/>
        <v>20047.116907799995</v>
      </c>
      <c r="BE198" s="4">
        <f t="shared" si="201"/>
        <v>106218</v>
      </c>
      <c r="BF198" s="4">
        <f t="shared" si="202"/>
        <v>20169.483407999996</v>
      </c>
      <c r="BG198" s="4">
        <f t="shared" si="203"/>
        <v>0</v>
      </c>
      <c r="BH198" s="4">
        <f t="shared" si="204"/>
        <v>0</v>
      </c>
      <c r="BI198" s="4">
        <f t="shared" si="205"/>
        <v>0</v>
      </c>
      <c r="BJ198" s="4">
        <f t="shared" si="206"/>
        <v>7960.3500000000058</v>
      </c>
      <c r="BK198" s="4">
        <f t="shared" si="207"/>
        <v>2069.6910000000016</v>
      </c>
      <c r="BL198" s="4">
        <f t="shared" si="208"/>
        <v>122.36650020000161</v>
      </c>
      <c r="BM198" s="4">
        <f t="shared" si="209"/>
        <v>76339.649999999994</v>
      </c>
      <c r="BN198" s="4">
        <f t="shared" si="210"/>
        <v>3053.5859999999998</v>
      </c>
      <c r="BO198" s="4">
        <f t="shared" si="211"/>
        <v>3053.5859999999998</v>
      </c>
      <c r="BP198" s="4">
        <f t="shared" si="212"/>
        <v>793.93236000000002</v>
      </c>
      <c r="BQ198" s="4">
        <f t="shared" si="213"/>
        <v>100035.47735999999</v>
      </c>
      <c r="BR198" s="4">
        <f t="shared" si="214"/>
        <v>20094.056631791995</v>
      </c>
      <c r="BS198" s="4">
        <f t="shared" si="215"/>
        <v>46.939723991999927</v>
      </c>
      <c r="BT198" s="4">
        <f t="shared" si="216"/>
        <v>96187.958999999988</v>
      </c>
      <c r="BU198" s="4">
        <f t="shared" si="217"/>
        <v>106218</v>
      </c>
      <c r="BV198" s="7">
        <f t="shared" si="218"/>
        <v>1062180</v>
      </c>
      <c r="BW198" s="7">
        <f t="shared" si="219"/>
        <v>754067.82751540048</v>
      </c>
    </row>
    <row r="199" spans="1:75" x14ac:dyDescent="0.3">
      <c r="A199" s="3">
        <f t="shared" si="165"/>
        <v>195</v>
      </c>
      <c r="B199" t="str">
        <f>INDEX(Employees!$A:$A,A199+1)</f>
        <v>E195</v>
      </c>
      <c r="C199" t="str">
        <f>INDEX(Employees!$A:$Z,MATCH(B199,Employees!$A:$A,0),MATCH("category",Employees!$1:$1,0))</f>
        <v>Sales</v>
      </c>
      <c r="D199" t="str">
        <f>INDEX(Employees!$A:$Z,MATCH(B199,Employees!$A:$A,0),MATCH("gender",Employees!$1:$1,0))</f>
        <v>F</v>
      </c>
      <c r="E199" s="3">
        <f>INDEX(Employees!$A:$Z,MATCH(B199,Employees!$A:$A,0),MATCH("grade",Employees!$1:$1,0))</f>
        <v>11</v>
      </c>
      <c r="F199" s="3">
        <f>INDEX(Employees!$A:$Z,MATCH(B199,Employees!$A:$A,0),MATCH("rating",Employees!$1:$1,0))</f>
        <v>3</v>
      </c>
      <c r="G199" s="22">
        <f>INDEX(Employees!$A:$Z,MATCH(B199,Employees!$A:$A,0),MATCH("hire_date",Employees!$1:$1,0))</f>
        <v>42132</v>
      </c>
      <c r="H199" s="22">
        <f>INDEX(Employees!$A:$Z,MATCH(B199,Employees!$A:$A,0),MATCH("last_change_date",Employees!$1:$1,0))</f>
        <v>46113</v>
      </c>
      <c r="I199" s="4">
        <f>INDEX(Employees!$A:$Z,MATCH(B199,Employees!$A:$A,0),MATCH("base_salary",Employees!$1:$1,0))</f>
        <v>91063.92</v>
      </c>
      <c r="J199" s="5">
        <f>INDEX(Employees!$A:$Z,MATCH(B199,Employees!$A:$A,0),MATCH("bonus_pct",Employees!$1:$1,0))/100</f>
        <v>0.13</v>
      </c>
      <c r="K199" s="7">
        <f>INDEX(Employees!$A:$Z,MATCH(B199,Employees!$A:$A,0),MATCH("fte",Employees!$1:$1,0))</f>
        <v>1</v>
      </c>
      <c r="L199" s="3">
        <f>IF(ISNA(MATCH(C199&amp;"|"&amp;E199,Bands!$F:$F,0)),0,1)</f>
        <v>1</v>
      </c>
      <c r="M199" s="4">
        <f>INDEX(Bands!$C:$C,MATCH(C199&amp;"|"&amp;E199,Bands!$F:$F,0))</f>
        <v>77500</v>
      </c>
      <c r="N199" s="4">
        <f>INDEX(Bands!$D:$D,MATCH(C199&amp;"|"&amp;E199,Bands!$F:$F,0))</f>
        <v>96900</v>
      </c>
      <c r="O199" s="4">
        <f>INDEX(Bands!$E:$E,MATCH(C199&amp;"|"&amp;E199,Bands!$F:$F,0))</f>
        <v>116300</v>
      </c>
      <c r="P199" s="7">
        <f t="shared" si="166"/>
        <v>11.898699520876113</v>
      </c>
      <c r="Q199" s="4">
        <f t="shared" si="167"/>
        <v>102902.22959999999</v>
      </c>
      <c r="R199" s="7">
        <f t="shared" si="168"/>
        <v>121</v>
      </c>
      <c r="S199" s="7">
        <f t="shared" si="169"/>
        <v>141.57905028809742</v>
      </c>
      <c r="T199" s="7">
        <f t="shared" si="170"/>
        <v>130.88569472963724</v>
      </c>
      <c r="U199" s="7">
        <f t="shared" si="171"/>
        <v>1131924.5255999998</v>
      </c>
      <c r="V199" s="7">
        <f t="shared" si="172"/>
        <v>1224402.7100386035</v>
      </c>
      <c r="W199" s="4">
        <f t="shared" si="173"/>
        <v>102902.23</v>
      </c>
      <c r="X199" s="3">
        <f t="shared" si="174"/>
        <v>20</v>
      </c>
      <c r="Y199" s="4">
        <f>INDEX(Categories!$AH:$AH,MATCH(C199,Categories!$A:$A,0))</f>
        <v>85035.918249999988</v>
      </c>
      <c r="Z199" s="3">
        <f>IF(AND(D199="F",Q199&lt;Y199,INDEX(Categories!$AI:$AI,MATCH(C199,Categories!$A:$A,0))&gt;0),1,0)</f>
        <v>0</v>
      </c>
      <c r="AA199" s="4">
        <f t="shared" si="175"/>
        <v>0</v>
      </c>
      <c r="AB199" s="4">
        <f>IF(Z199=1,INDEX(Categories!$AI:$AI,MATCH(C199,Categories!$A:$A,0))*AA199/INDEX(Categories!$AJ:$AJ,MATCH(C199,Categories!$A:$A,0)),0)</f>
        <v>0</v>
      </c>
      <c r="AC199" s="4">
        <f t="shared" si="176"/>
        <v>0</v>
      </c>
      <c r="AD199" s="4">
        <f t="shared" si="177"/>
        <v>91063.92</v>
      </c>
      <c r="AE199" s="3">
        <f t="shared" si="178"/>
        <v>0</v>
      </c>
      <c r="AF199" s="3">
        <f t="shared" si="179"/>
        <v>142</v>
      </c>
      <c r="AG199" s="3">
        <f t="shared" si="180"/>
        <v>12</v>
      </c>
      <c r="AH199" s="3">
        <f t="shared" si="181"/>
        <v>1</v>
      </c>
      <c r="AI199" s="5">
        <f t="shared" si="182"/>
        <v>0.93977213622291023</v>
      </c>
      <c r="AJ199" s="3">
        <f>MATCH(AI199,Inputs!$B$31:$B$34,1)</f>
        <v>2</v>
      </c>
      <c r="AK199" s="5">
        <f>INDEX(Inputs!$C$21:$C$25,MATCH(F199,Inputs!$A$21:$A$25,0))</f>
        <v>1</v>
      </c>
      <c r="AL199" s="5">
        <f>INDEX(Inputs!$D$21:$D$25,MATCH(F199,Inputs!$A$21:$A$25,0))</f>
        <v>0</v>
      </c>
      <c r="AM199" s="4">
        <f t="shared" si="183"/>
        <v>96900</v>
      </c>
      <c r="AN199" s="4">
        <f t="shared" si="184"/>
        <v>5836.0800000000017</v>
      </c>
      <c r="AO199" s="3">
        <f t="shared" si="185"/>
        <v>1</v>
      </c>
      <c r="AP199" s="4">
        <f t="shared" si="186"/>
        <v>27319.175999999999</v>
      </c>
      <c r="AQ199" s="4">
        <f t="shared" si="187"/>
        <v>0</v>
      </c>
      <c r="AR199" s="4">
        <f t="shared" si="188"/>
        <v>5836.0800000000017</v>
      </c>
      <c r="AS199" s="3">
        <f t="shared" si="189"/>
        <v>0</v>
      </c>
      <c r="AT199" s="4">
        <f t="shared" si="190"/>
        <v>5836.0800000000017</v>
      </c>
      <c r="AU199" s="4">
        <f t="shared" si="191"/>
        <v>25236.080000000002</v>
      </c>
      <c r="AV199" s="4">
        <f t="shared" si="192"/>
        <v>5836.0800000000017</v>
      </c>
      <c r="AW199" s="4">
        <f t="shared" si="193"/>
        <v>5836.0800000000017</v>
      </c>
      <c r="AX199" s="5">
        <f t="shared" si="194"/>
        <v>6.4087730903743242E-2</v>
      </c>
      <c r="AY199" s="4">
        <f t="shared" si="195"/>
        <v>96900</v>
      </c>
      <c r="AZ199" s="3">
        <f t="shared" si="196"/>
        <v>0</v>
      </c>
      <c r="BA199" s="4">
        <f t="shared" si="197"/>
        <v>102902.22959999999</v>
      </c>
      <c r="BB199" s="4">
        <f t="shared" si="198"/>
        <v>20129.031009119997</v>
      </c>
      <c r="BC199" s="4">
        <f t="shared" si="199"/>
        <v>102902.22959999999</v>
      </c>
      <c r="BD199" s="4">
        <f t="shared" si="200"/>
        <v>20129.031009119997</v>
      </c>
      <c r="BE199" s="4">
        <f t="shared" si="201"/>
        <v>109496.99999999999</v>
      </c>
      <c r="BF199" s="4">
        <f t="shared" si="202"/>
        <v>20209.487207999995</v>
      </c>
      <c r="BG199" s="4">
        <f t="shared" si="203"/>
        <v>0</v>
      </c>
      <c r="BH199" s="4">
        <f t="shared" si="204"/>
        <v>0</v>
      </c>
      <c r="BI199" s="4">
        <f t="shared" si="205"/>
        <v>0</v>
      </c>
      <c r="BJ199" s="4">
        <f t="shared" si="206"/>
        <v>5836.0800000000017</v>
      </c>
      <c r="BK199" s="4">
        <f t="shared" si="207"/>
        <v>758.6904000000003</v>
      </c>
      <c r="BL199" s="4">
        <f t="shared" si="208"/>
        <v>80.456198879997828</v>
      </c>
      <c r="BM199" s="4">
        <f t="shared" si="209"/>
        <v>91063.92</v>
      </c>
      <c r="BN199" s="4">
        <f t="shared" si="210"/>
        <v>3642.5567999999998</v>
      </c>
      <c r="BO199" s="4">
        <f t="shared" si="211"/>
        <v>3642.5567999999998</v>
      </c>
      <c r="BP199" s="4">
        <f t="shared" si="212"/>
        <v>473.53238399999998</v>
      </c>
      <c r="BQ199" s="4">
        <f t="shared" si="213"/>
        <v>107018.31878399999</v>
      </c>
      <c r="BR199" s="4">
        <f t="shared" si="214"/>
        <v>20179.247297164795</v>
      </c>
      <c r="BS199" s="4">
        <f t="shared" si="215"/>
        <v>50.216288044797693</v>
      </c>
      <c r="BT199" s="4">
        <f t="shared" si="216"/>
        <v>102902.22959999999</v>
      </c>
      <c r="BU199" s="4">
        <f t="shared" si="217"/>
        <v>109496.99999999999</v>
      </c>
      <c r="BV199" s="7">
        <f t="shared" si="218"/>
        <v>1204466.9999999998</v>
      </c>
      <c r="BW199" s="7">
        <f t="shared" si="219"/>
        <v>1302871.9014373715</v>
      </c>
    </row>
    <row r="200" spans="1:75" x14ac:dyDescent="0.3">
      <c r="A200" s="3">
        <f t="shared" si="165"/>
        <v>196</v>
      </c>
      <c r="B200" t="str">
        <f>INDEX(Employees!$A:$A,A200+1)</f>
        <v>E196</v>
      </c>
      <c r="C200" t="str">
        <f>INDEX(Employees!$A:$Z,MATCH(B200,Employees!$A:$A,0),MATCH("category",Employees!$1:$1,0))</f>
        <v>Sales</v>
      </c>
      <c r="D200" t="str">
        <f>INDEX(Employees!$A:$Z,MATCH(B200,Employees!$A:$A,0),MATCH("gender",Employees!$1:$1,0))</f>
        <v>M</v>
      </c>
      <c r="E200" s="3">
        <f>INDEX(Employees!$A:$Z,MATCH(B200,Employees!$A:$A,0),MATCH("grade",Employees!$1:$1,0))</f>
        <v>11</v>
      </c>
      <c r="F200" s="3">
        <f>INDEX(Employees!$A:$Z,MATCH(B200,Employees!$A:$A,0),MATCH("rating",Employees!$1:$1,0))</f>
        <v>4</v>
      </c>
      <c r="G200" s="22">
        <f>INDEX(Employees!$A:$Z,MATCH(B200,Employees!$A:$A,0),MATCH("hire_date",Employees!$1:$1,0))</f>
        <v>42132</v>
      </c>
      <c r="H200" s="22">
        <f>INDEX(Employees!$A:$Z,MATCH(B200,Employees!$A:$A,0),MATCH("last_change_date",Employees!$1:$1,0))</f>
        <v>46113</v>
      </c>
      <c r="I200" s="4">
        <f>INDEX(Employees!$A:$Z,MATCH(B200,Employees!$A:$A,0),MATCH("base_salary",Employees!$1:$1,0))</f>
        <v>91063.92</v>
      </c>
      <c r="J200" s="5">
        <f>INDEX(Employees!$A:$Z,MATCH(B200,Employees!$A:$A,0),MATCH("bonus_pct",Employees!$1:$1,0))/100</f>
        <v>0.26</v>
      </c>
      <c r="K200" s="7">
        <f>INDEX(Employees!$A:$Z,MATCH(B200,Employees!$A:$A,0),MATCH("fte",Employees!$1:$1,0))</f>
        <v>1</v>
      </c>
      <c r="L200" s="3">
        <f>IF(ISNA(MATCH(C200&amp;"|"&amp;E200,Bands!$F:$F,0)),0,1)</f>
        <v>1</v>
      </c>
      <c r="M200" s="4">
        <f>INDEX(Bands!$C:$C,MATCH(C200&amp;"|"&amp;E200,Bands!$F:$F,0))</f>
        <v>77500</v>
      </c>
      <c r="N200" s="4">
        <f>INDEX(Bands!$D:$D,MATCH(C200&amp;"|"&amp;E200,Bands!$F:$F,0))</f>
        <v>96900</v>
      </c>
      <c r="O200" s="4">
        <f>INDEX(Bands!$E:$E,MATCH(C200&amp;"|"&amp;E200,Bands!$F:$F,0))</f>
        <v>116300</v>
      </c>
      <c r="P200" s="7">
        <f t="shared" si="166"/>
        <v>11.898699520876113</v>
      </c>
      <c r="Q200" s="4">
        <f t="shared" si="167"/>
        <v>114740.5392</v>
      </c>
      <c r="R200" s="7">
        <f t="shared" si="168"/>
        <v>121</v>
      </c>
      <c r="S200" s="7">
        <f t="shared" si="169"/>
        <v>141.57905028809742</v>
      </c>
      <c r="T200" s="7">
        <f t="shared" si="170"/>
        <v>130.88569472963724</v>
      </c>
      <c r="U200" s="7">
        <f t="shared" si="171"/>
        <v>1262145.9312</v>
      </c>
      <c r="V200" s="7">
        <f t="shared" si="172"/>
        <v>1365263.1988041068</v>
      </c>
      <c r="W200" s="4">
        <f t="shared" si="173"/>
        <v>114740.54</v>
      </c>
      <c r="X200" s="3">
        <f t="shared" si="174"/>
        <v>24</v>
      </c>
      <c r="Y200" s="4">
        <f>INDEX(Categories!$AH:$AH,MATCH(C200,Categories!$A:$A,0))</f>
        <v>85035.918249999988</v>
      </c>
      <c r="Z200" s="3">
        <f>IF(AND(D200="F",Q200&lt;Y200,INDEX(Categories!$AI:$AI,MATCH(C200,Categories!$A:$A,0))&gt;0),1,0)</f>
        <v>0</v>
      </c>
      <c r="AA200" s="4">
        <f t="shared" si="175"/>
        <v>0</v>
      </c>
      <c r="AB200" s="4">
        <f>IF(Z200=1,INDEX(Categories!$AI:$AI,MATCH(C200,Categories!$A:$A,0))*AA200/INDEX(Categories!$AJ:$AJ,MATCH(C200,Categories!$A:$A,0)),0)</f>
        <v>0</v>
      </c>
      <c r="AC200" s="4">
        <f t="shared" si="176"/>
        <v>0</v>
      </c>
      <c r="AD200" s="4">
        <f t="shared" si="177"/>
        <v>91063.92</v>
      </c>
      <c r="AE200" s="3">
        <f t="shared" si="178"/>
        <v>0</v>
      </c>
      <c r="AF200" s="3">
        <f t="shared" si="179"/>
        <v>142</v>
      </c>
      <c r="AG200" s="3">
        <f t="shared" si="180"/>
        <v>12</v>
      </c>
      <c r="AH200" s="3">
        <f t="shared" si="181"/>
        <v>1</v>
      </c>
      <c r="AI200" s="5">
        <f t="shared" si="182"/>
        <v>0.93977213622291023</v>
      </c>
      <c r="AJ200" s="3">
        <f>MATCH(AI200,Inputs!$B$31:$B$34,1)</f>
        <v>2</v>
      </c>
      <c r="AK200" s="5">
        <f>INDEX(Inputs!$C$21:$C$25,MATCH(F200,Inputs!$A$21:$A$25,0))</f>
        <v>1.05</v>
      </c>
      <c r="AL200" s="5">
        <f>INDEX(Inputs!$D$21:$D$25,MATCH(F200,Inputs!$A$21:$A$25,0))</f>
        <v>0.01</v>
      </c>
      <c r="AM200" s="4">
        <f t="shared" si="183"/>
        <v>101745</v>
      </c>
      <c r="AN200" s="4">
        <f t="shared" si="184"/>
        <v>10681.080000000002</v>
      </c>
      <c r="AO200" s="3">
        <f t="shared" si="185"/>
        <v>1</v>
      </c>
      <c r="AP200" s="4">
        <f t="shared" si="186"/>
        <v>27319.175999999999</v>
      </c>
      <c r="AQ200" s="4">
        <f t="shared" si="187"/>
        <v>910.63919999999996</v>
      </c>
      <c r="AR200" s="4">
        <f t="shared" si="188"/>
        <v>10681.080000000002</v>
      </c>
      <c r="AS200" s="3">
        <f t="shared" si="189"/>
        <v>0</v>
      </c>
      <c r="AT200" s="4">
        <f t="shared" si="190"/>
        <v>10681.080000000002</v>
      </c>
      <c r="AU200" s="4">
        <f t="shared" si="191"/>
        <v>25236.080000000002</v>
      </c>
      <c r="AV200" s="4">
        <f t="shared" si="192"/>
        <v>10681.080000000002</v>
      </c>
      <c r="AW200" s="4">
        <f t="shared" si="193"/>
        <v>10681.080000000002</v>
      </c>
      <c r="AX200" s="5">
        <f t="shared" si="194"/>
        <v>0.11729211744893039</v>
      </c>
      <c r="AY200" s="4">
        <f t="shared" si="195"/>
        <v>101745</v>
      </c>
      <c r="AZ200" s="3">
        <f t="shared" si="196"/>
        <v>0</v>
      </c>
      <c r="BA200" s="4">
        <f t="shared" si="197"/>
        <v>114740.5392</v>
      </c>
      <c r="BB200" s="4">
        <f t="shared" si="198"/>
        <v>20273.458386239996</v>
      </c>
      <c r="BC200" s="4">
        <f t="shared" si="199"/>
        <v>114740.5392</v>
      </c>
      <c r="BD200" s="4">
        <f t="shared" si="200"/>
        <v>20273.458386239996</v>
      </c>
      <c r="BE200" s="4">
        <f t="shared" si="201"/>
        <v>128198.7</v>
      </c>
      <c r="BF200" s="4">
        <f t="shared" si="202"/>
        <v>20437.647947999994</v>
      </c>
      <c r="BG200" s="4">
        <f t="shared" si="203"/>
        <v>0</v>
      </c>
      <c r="BH200" s="4">
        <f t="shared" si="204"/>
        <v>0</v>
      </c>
      <c r="BI200" s="4">
        <f t="shared" si="205"/>
        <v>0</v>
      </c>
      <c r="BJ200" s="4">
        <f t="shared" si="206"/>
        <v>10681.080000000002</v>
      </c>
      <c r="BK200" s="4">
        <f t="shared" si="207"/>
        <v>2777.0808000000006</v>
      </c>
      <c r="BL200" s="4">
        <f t="shared" si="208"/>
        <v>164.18956175999847</v>
      </c>
      <c r="BM200" s="4">
        <f t="shared" si="209"/>
        <v>91063.92</v>
      </c>
      <c r="BN200" s="4">
        <f t="shared" si="210"/>
        <v>3642.5567999999998</v>
      </c>
      <c r="BO200" s="4">
        <f t="shared" si="211"/>
        <v>3642.5567999999998</v>
      </c>
      <c r="BP200" s="4">
        <f t="shared" si="212"/>
        <v>947.06476799999996</v>
      </c>
      <c r="BQ200" s="4">
        <f t="shared" si="213"/>
        <v>119330.160768</v>
      </c>
      <c r="BR200" s="4">
        <f t="shared" si="214"/>
        <v>20329.451769369596</v>
      </c>
      <c r="BS200" s="4">
        <f t="shared" si="215"/>
        <v>55.993383129600261</v>
      </c>
      <c r="BT200" s="4">
        <f t="shared" si="216"/>
        <v>114740.5392</v>
      </c>
      <c r="BU200" s="4">
        <f t="shared" si="217"/>
        <v>128198.7</v>
      </c>
      <c r="BV200" s="7">
        <f t="shared" si="218"/>
        <v>1410185.7</v>
      </c>
      <c r="BW200" s="7">
        <f t="shared" si="219"/>
        <v>1525397.8102669404</v>
      </c>
    </row>
    <row r="201" spans="1:75" x14ac:dyDescent="0.3">
      <c r="A201" s="3">
        <f t="shared" si="165"/>
        <v>197</v>
      </c>
      <c r="B201" t="str">
        <f>INDEX(Employees!$A:$A,A201+1)</f>
        <v>E197</v>
      </c>
      <c r="C201" t="str">
        <f>INDEX(Employees!$A:$Z,MATCH(B201,Employees!$A:$A,0),MATCH("category",Employees!$1:$1,0))</f>
        <v>Sales</v>
      </c>
      <c r="D201" t="str">
        <f>INDEX(Employees!$A:$Z,MATCH(B201,Employees!$A:$A,0),MATCH("gender",Employees!$1:$1,0))</f>
        <v>F</v>
      </c>
      <c r="E201" s="3">
        <f>INDEX(Employees!$A:$Z,MATCH(B201,Employees!$A:$A,0),MATCH("grade",Employees!$1:$1,0))</f>
        <v>9</v>
      </c>
      <c r="F201" s="3">
        <f>INDEX(Employees!$A:$Z,MATCH(B201,Employees!$A:$A,0),MATCH("rating",Employees!$1:$1,0))</f>
        <v>2</v>
      </c>
      <c r="G201" s="22">
        <f>INDEX(Employees!$A:$Z,MATCH(B201,Employees!$A:$A,0),MATCH("hire_date",Employees!$1:$1,0))</f>
        <v>45601</v>
      </c>
      <c r="H201" s="22">
        <f>INDEX(Employees!$A:$Z,MATCH(B201,Employees!$A:$A,0),MATCH("last_change_date",Employees!$1:$1,0))</f>
        <v>46113</v>
      </c>
      <c r="I201" s="4">
        <f>INDEX(Employees!$A:$Z,MATCH(B201,Employees!$A:$A,0),MATCH("base_salary",Employees!$1:$1,0))</f>
        <v>63817.599999999999</v>
      </c>
      <c r="J201" s="5">
        <f>INDEX(Employees!$A:$Z,MATCH(B201,Employees!$A:$A,0),MATCH("bonus_pct",Employees!$1:$1,0))/100</f>
        <v>0.13</v>
      </c>
      <c r="K201" s="7">
        <f>INDEX(Employees!$A:$Z,MATCH(B201,Employees!$A:$A,0),MATCH("fte",Employees!$1:$1,0))</f>
        <v>1</v>
      </c>
      <c r="L201" s="3">
        <f>IF(ISNA(MATCH(C201&amp;"|"&amp;E201,Bands!$F:$F,0)),0,1)</f>
        <v>1</v>
      </c>
      <c r="M201" s="4">
        <f>INDEX(Bands!$C:$C,MATCH(C201&amp;"|"&amp;E201,Bands!$F:$F,0))</f>
        <v>61100</v>
      </c>
      <c r="N201" s="4">
        <f>INDEX(Bands!$D:$D,MATCH(C201&amp;"|"&amp;E201,Bands!$F:$F,0))</f>
        <v>73300</v>
      </c>
      <c r="O201" s="4">
        <f>INDEX(Bands!$E:$E,MATCH(C201&amp;"|"&amp;E201,Bands!$F:$F,0))</f>
        <v>85500</v>
      </c>
      <c r="P201" s="7">
        <f t="shared" si="166"/>
        <v>2.4010951403148528</v>
      </c>
      <c r="Q201" s="4">
        <f t="shared" si="167"/>
        <v>72113.887999999992</v>
      </c>
      <c r="R201" s="7">
        <f t="shared" si="168"/>
        <v>81</v>
      </c>
      <c r="S201" s="7">
        <f t="shared" si="169"/>
        <v>5.7652578728436028</v>
      </c>
      <c r="T201" s="7">
        <f t="shared" si="170"/>
        <v>21.609856262833674</v>
      </c>
      <c r="U201" s="7">
        <f t="shared" si="171"/>
        <v>649024.99199999997</v>
      </c>
      <c r="V201" s="7">
        <f t="shared" si="172"/>
        <v>173152.30602600955</v>
      </c>
      <c r="W201" s="4">
        <f t="shared" si="173"/>
        <v>72113.89</v>
      </c>
      <c r="X201" s="3">
        <f t="shared" si="174"/>
        <v>8</v>
      </c>
      <c r="Y201" s="4">
        <f>INDEX(Categories!$AH:$AH,MATCH(C201,Categories!$A:$A,0))</f>
        <v>85035.918249999988</v>
      </c>
      <c r="Z201" s="3">
        <f>IF(AND(D201="F",Q201&lt;Y201,INDEX(Categories!$AI:$AI,MATCH(C201,Categories!$A:$A,0))&gt;0),1,0)</f>
        <v>1</v>
      </c>
      <c r="AA201" s="4">
        <f t="shared" si="175"/>
        <v>12922.030249999996</v>
      </c>
      <c r="AB201" s="4">
        <f>IF(Z201=1,INDEX(Categories!$AI:$AI,MATCH(C201,Categories!$A:$A,0))*AA201/INDEX(Categories!$AJ:$AJ,MATCH(C201,Categories!$A:$A,0)),0)</f>
        <v>12098.386664772615</v>
      </c>
      <c r="AC201" s="4">
        <f t="shared" si="176"/>
        <v>10706.536871480192</v>
      </c>
      <c r="AD201" s="4">
        <f t="shared" si="177"/>
        <v>74524.136871480194</v>
      </c>
      <c r="AE201" s="3">
        <f t="shared" si="178"/>
        <v>0</v>
      </c>
      <c r="AF201" s="3">
        <f t="shared" si="179"/>
        <v>28</v>
      </c>
      <c r="AG201" s="3">
        <f t="shared" si="180"/>
        <v>12</v>
      </c>
      <c r="AH201" s="3">
        <f t="shared" si="181"/>
        <v>1</v>
      </c>
      <c r="AI201" s="5">
        <f t="shared" si="182"/>
        <v>1.0167003665959098</v>
      </c>
      <c r="AJ201" s="3">
        <f>MATCH(AI201,Inputs!$B$31:$B$34,1)</f>
        <v>3</v>
      </c>
      <c r="AK201" s="5">
        <f>INDEX(Inputs!$C$21:$C$25,MATCH(F201,Inputs!$A$21:$A$25,0))</f>
        <v>0.95</v>
      </c>
      <c r="AL201" s="5">
        <f>INDEX(Inputs!$D$21:$D$25,MATCH(F201,Inputs!$A$21:$A$25,0))</f>
        <v>0</v>
      </c>
      <c r="AM201" s="4">
        <f t="shared" si="183"/>
        <v>69635</v>
      </c>
      <c r="AN201" s="4">
        <f t="shared" si="184"/>
        <v>0</v>
      </c>
      <c r="AO201" s="3">
        <f t="shared" si="185"/>
        <v>1</v>
      </c>
      <c r="AP201" s="4">
        <f t="shared" si="186"/>
        <v>22357.241061444056</v>
      </c>
      <c r="AQ201" s="4">
        <f t="shared" si="187"/>
        <v>0</v>
      </c>
      <c r="AR201" s="4">
        <f t="shared" si="188"/>
        <v>0</v>
      </c>
      <c r="AS201" s="3">
        <f t="shared" si="189"/>
        <v>0</v>
      </c>
      <c r="AT201" s="4">
        <f t="shared" si="190"/>
        <v>0</v>
      </c>
      <c r="AU201" s="4">
        <f t="shared" si="191"/>
        <v>10975.863128519806</v>
      </c>
      <c r="AV201" s="4">
        <f t="shared" si="192"/>
        <v>0</v>
      </c>
      <c r="AW201" s="4">
        <f t="shared" si="193"/>
        <v>0</v>
      </c>
      <c r="AX201" s="5">
        <f t="shared" si="194"/>
        <v>0</v>
      </c>
      <c r="AY201" s="4">
        <f t="shared" si="195"/>
        <v>74524.136871480194</v>
      </c>
      <c r="AZ201" s="3">
        <f t="shared" si="196"/>
        <v>0</v>
      </c>
      <c r="BA201" s="4">
        <f t="shared" si="197"/>
        <v>72113.887999999992</v>
      </c>
      <c r="BB201" s="4">
        <f t="shared" si="198"/>
        <v>19788.887123199998</v>
      </c>
      <c r="BC201" s="4">
        <f t="shared" si="199"/>
        <v>84212.274664772616</v>
      </c>
      <c r="BD201" s="4">
        <f t="shared" si="200"/>
        <v>19914.710344513634</v>
      </c>
      <c r="BE201" s="4">
        <f t="shared" si="201"/>
        <v>84212.274664772616</v>
      </c>
      <c r="BF201" s="4">
        <f t="shared" si="202"/>
        <v>19914.710344513634</v>
      </c>
      <c r="BG201" s="4">
        <f t="shared" si="203"/>
        <v>10706.536871480192</v>
      </c>
      <c r="BH201" s="4">
        <f t="shared" si="204"/>
        <v>1391.8497932924249</v>
      </c>
      <c r="BI201" s="4">
        <f t="shared" si="205"/>
        <v>125.82322131363617</v>
      </c>
      <c r="BJ201" s="4">
        <f t="shared" si="206"/>
        <v>0</v>
      </c>
      <c r="BK201" s="4">
        <f t="shared" si="207"/>
        <v>0</v>
      </c>
      <c r="BL201" s="4">
        <f t="shared" si="208"/>
        <v>0</v>
      </c>
      <c r="BM201" s="4">
        <f t="shared" si="209"/>
        <v>74524.136871480194</v>
      </c>
      <c r="BN201" s="4">
        <f t="shared" si="210"/>
        <v>2980.9654748592079</v>
      </c>
      <c r="BO201" s="4">
        <f t="shared" si="211"/>
        <v>2980.9654748592079</v>
      </c>
      <c r="BP201" s="4">
        <f t="shared" si="212"/>
        <v>387.52551173169707</v>
      </c>
      <c r="BQ201" s="4">
        <f t="shared" si="213"/>
        <v>87580.76565136353</v>
      </c>
      <c r="BR201" s="4">
        <f t="shared" si="214"/>
        <v>19949.742650774177</v>
      </c>
      <c r="BS201" s="4">
        <f t="shared" si="215"/>
        <v>35.0323062605421</v>
      </c>
      <c r="BT201" s="4">
        <f t="shared" si="216"/>
        <v>84212.274664772616</v>
      </c>
      <c r="BU201" s="4">
        <f t="shared" si="217"/>
        <v>84212.274664772616</v>
      </c>
      <c r="BV201" s="7">
        <f t="shared" si="218"/>
        <v>757910.4719829536</v>
      </c>
      <c r="BW201" s="7">
        <f t="shared" si="219"/>
        <v>202201.68345244514</v>
      </c>
    </row>
    <row r="202" spans="1:75" x14ac:dyDescent="0.3">
      <c r="A202" s="3">
        <f t="shared" si="165"/>
        <v>198</v>
      </c>
      <c r="B202" t="str">
        <f>INDEX(Employees!$A:$A,A202+1)</f>
        <v>E198</v>
      </c>
      <c r="C202" t="str">
        <f>INDEX(Employees!$A:$Z,MATCH(B202,Employees!$A:$A,0),MATCH("category",Employees!$1:$1,0))</f>
        <v>Sales</v>
      </c>
      <c r="D202" t="str">
        <f>INDEX(Employees!$A:$Z,MATCH(B202,Employees!$A:$A,0),MATCH("gender",Employees!$1:$1,0))</f>
        <v>M</v>
      </c>
      <c r="E202" s="3">
        <f>INDEX(Employees!$A:$Z,MATCH(B202,Employees!$A:$A,0),MATCH("grade",Employees!$1:$1,0))</f>
        <v>9</v>
      </c>
      <c r="F202" s="3">
        <f>INDEX(Employees!$A:$Z,MATCH(B202,Employees!$A:$A,0),MATCH("rating",Employees!$1:$1,0))</f>
        <v>2</v>
      </c>
      <c r="G202" s="22">
        <f>INDEX(Employees!$A:$Z,MATCH(B202,Employees!$A:$A,0),MATCH("hire_date",Employees!$1:$1,0))</f>
        <v>45601</v>
      </c>
      <c r="H202" s="22">
        <f>INDEX(Employees!$A:$Z,MATCH(B202,Employees!$A:$A,0),MATCH("last_change_date",Employees!$1:$1,0))</f>
        <v>46113</v>
      </c>
      <c r="I202" s="4">
        <f>INDEX(Employees!$A:$Z,MATCH(B202,Employees!$A:$A,0),MATCH("base_salary",Employees!$1:$1,0))</f>
        <v>55135.17</v>
      </c>
      <c r="J202" s="5">
        <f>INDEX(Employees!$A:$Z,MATCH(B202,Employees!$A:$A,0),MATCH("bonus_pct",Employees!$1:$1,0))/100</f>
        <v>0.26</v>
      </c>
      <c r="K202" s="7">
        <f>INDEX(Employees!$A:$Z,MATCH(B202,Employees!$A:$A,0),MATCH("fte",Employees!$1:$1,0))</f>
        <v>1</v>
      </c>
      <c r="L202" s="3">
        <f>IF(ISNA(MATCH(C202&amp;"|"&amp;E202,Bands!$F:$F,0)),0,1)</f>
        <v>1</v>
      </c>
      <c r="M202" s="4">
        <f>INDEX(Bands!$C:$C,MATCH(C202&amp;"|"&amp;E202,Bands!$F:$F,0))</f>
        <v>61100</v>
      </c>
      <c r="N202" s="4">
        <f>INDEX(Bands!$D:$D,MATCH(C202&amp;"|"&amp;E202,Bands!$F:$F,0))</f>
        <v>73300</v>
      </c>
      <c r="O202" s="4">
        <f>INDEX(Bands!$E:$E,MATCH(C202&amp;"|"&amp;E202,Bands!$F:$F,0))</f>
        <v>85500</v>
      </c>
      <c r="P202" s="7">
        <f t="shared" si="166"/>
        <v>2.4010951403148528</v>
      </c>
      <c r="Q202" s="4">
        <f t="shared" si="167"/>
        <v>69470.314199999993</v>
      </c>
      <c r="R202" s="7">
        <f t="shared" si="168"/>
        <v>81</v>
      </c>
      <c r="S202" s="7">
        <f t="shared" si="169"/>
        <v>5.7652578728436028</v>
      </c>
      <c r="T202" s="7">
        <f t="shared" si="170"/>
        <v>21.609856262833674</v>
      </c>
      <c r="U202" s="7">
        <f t="shared" si="171"/>
        <v>625232.82779999997</v>
      </c>
      <c r="V202" s="7">
        <f t="shared" si="172"/>
        <v>166804.8338217659</v>
      </c>
      <c r="W202" s="4">
        <f t="shared" si="173"/>
        <v>69470.31</v>
      </c>
      <c r="X202" s="3">
        <f t="shared" si="174"/>
        <v>6</v>
      </c>
      <c r="Y202" s="4">
        <f>INDEX(Categories!$AH:$AH,MATCH(C202,Categories!$A:$A,0))</f>
        <v>85035.918249999988</v>
      </c>
      <c r="Z202" s="3">
        <f>IF(AND(D202="F",Q202&lt;Y202,INDEX(Categories!$AI:$AI,MATCH(C202,Categories!$A:$A,0))&gt;0),1,0)</f>
        <v>0</v>
      </c>
      <c r="AA202" s="4">
        <f t="shared" si="175"/>
        <v>0</v>
      </c>
      <c r="AB202" s="4">
        <f>IF(Z202=1,INDEX(Categories!$AI:$AI,MATCH(C202,Categories!$A:$A,0))*AA202/INDEX(Categories!$AJ:$AJ,MATCH(C202,Categories!$A:$A,0)),0)</f>
        <v>0</v>
      </c>
      <c r="AC202" s="4">
        <f t="shared" si="176"/>
        <v>0</v>
      </c>
      <c r="AD202" s="4">
        <f t="shared" si="177"/>
        <v>55135.17</v>
      </c>
      <c r="AE202" s="3">
        <f t="shared" si="178"/>
        <v>0</v>
      </c>
      <c r="AF202" s="3">
        <f t="shared" si="179"/>
        <v>28</v>
      </c>
      <c r="AG202" s="3">
        <f t="shared" si="180"/>
        <v>12</v>
      </c>
      <c r="AH202" s="3">
        <f t="shared" si="181"/>
        <v>1</v>
      </c>
      <c r="AI202" s="5">
        <f t="shared" si="182"/>
        <v>0.75218512960436557</v>
      </c>
      <c r="AJ202" s="3">
        <f>MATCH(AI202,Inputs!$B$31:$B$34,1)</f>
        <v>1</v>
      </c>
      <c r="AK202" s="5">
        <f>INDEX(Inputs!$C$21:$C$25,MATCH(F202,Inputs!$A$21:$A$25,0))</f>
        <v>0.95</v>
      </c>
      <c r="AL202" s="5">
        <f>INDEX(Inputs!$D$21:$D$25,MATCH(F202,Inputs!$A$21:$A$25,0))</f>
        <v>0</v>
      </c>
      <c r="AM202" s="4">
        <f t="shared" si="183"/>
        <v>69635</v>
      </c>
      <c r="AN202" s="4">
        <f t="shared" si="184"/>
        <v>14499.830000000002</v>
      </c>
      <c r="AO202" s="3">
        <f t="shared" si="185"/>
        <v>1</v>
      </c>
      <c r="AP202" s="4">
        <f t="shared" si="186"/>
        <v>16540.550999999999</v>
      </c>
      <c r="AQ202" s="4">
        <f t="shared" si="187"/>
        <v>0</v>
      </c>
      <c r="AR202" s="4">
        <f t="shared" si="188"/>
        <v>14499.830000000002</v>
      </c>
      <c r="AS202" s="3">
        <f t="shared" si="189"/>
        <v>0</v>
      </c>
      <c r="AT202" s="4">
        <f t="shared" si="190"/>
        <v>14499.830000000002</v>
      </c>
      <c r="AU202" s="4">
        <f t="shared" si="191"/>
        <v>30364.83</v>
      </c>
      <c r="AV202" s="4">
        <f t="shared" si="192"/>
        <v>14499.830000000002</v>
      </c>
      <c r="AW202" s="4">
        <f t="shared" si="193"/>
        <v>14499.830000000002</v>
      </c>
      <c r="AX202" s="5">
        <f t="shared" si="194"/>
        <v>0.26298694644452902</v>
      </c>
      <c r="AY202" s="4">
        <f t="shared" si="195"/>
        <v>69635</v>
      </c>
      <c r="AZ202" s="3">
        <f t="shared" si="196"/>
        <v>0</v>
      </c>
      <c r="BA202" s="4">
        <f t="shared" si="197"/>
        <v>69470.314199999993</v>
      </c>
      <c r="BB202" s="4">
        <f t="shared" si="198"/>
        <v>19761.393955679996</v>
      </c>
      <c r="BC202" s="4">
        <f t="shared" si="199"/>
        <v>69470.314199999993</v>
      </c>
      <c r="BD202" s="4">
        <f t="shared" si="200"/>
        <v>19761.393955679996</v>
      </c>
      <c r="BE202" s="4">
        <f t="shared" si="201"/>
        <v>87740.1</v>
      </c>
      <c r="BF202" s="4">
        <f t="shared" si="202"/>
        <v>19951.399727999997</v>
      </c>
      <c r="BG202" s="4">
        <f t="shared" si="203"/>
        <v>0</v>
      </c>
      <c r="BH202" s="4">
        <f t="shared" si="204"/>
        <v>0</v>
      </c>
      <c r="BI202" s="4">
        <f t="shared" si="205"/>
        <v>0</v>
      </c>
      <c r="BJ202" s="4">
        <f t="shared" si="206"/>
        <v>14499.830000000002</v>
      </c>
      <c r="BK202" s="4">
        <f t="shared" si="207"/>
        <v>3769.9558000000006</v>
      </c>
      <c r="BL202" s="4">
        <f t="shared" si="208"/>
        <v>190.00577232000069</v>
      </c>
      <c r="BM202" s="4">
        <f t="shared" si="209"/>
        <v>55135.17</v>
      </c>
      <c r="BN202" s="4">
        <f t="shared" si="210"/>
        <v>2205.4068000000002</v>
      </c>
      <c r="BO202" s="4">
        <f t="shared" si="211"/>
        <v>2205.4068000000002</v>
      </c>
      <c r="BP202" s="4">
        <f t="shared" si="212"/>
        <v>573.40576800000008</v>
      </c>
      <c r="BQ202" s="4">
        <f t="shared" si="213"/>
        <v>72249.126767999987</v>
      </c>
      <c r="BR202" s="4">
        <f t="shared" si="214"/>
        <v>19790.293606387197</v>
      </c>
      <c r="BS202" s="4">
        <f t="shared" si="215"/>
        <v>28.899650707200635</v>
      </c>
      <c r="BT202" s="4">
        <f t="shared" si="216"/>
        <v>69470.314199999993</v>
      </c>
      <c r="BU202" s="4">
        <f t="shared" si="217"/>
        <v>87740.1</v>
      </c>
      <c r="BV202" s="7">
        <f t="shared" si="218"/>
        <v>789660.9</v>
      </c>
      <c r="BW202" s="7">
        <f t="shared" si="219"/>
        <v>210672.32772073924</v>
      </c>
    </row>
    <row r="203" spans="1:75" x14ac:dyDescent="0.3">
      <c r="A203" s="3">
        <f t="shared" si="165"/>
        <v>199</v>
      </c>
      <c r="B203" t="str">
        <f>INDEX(Employees!$A:$A,A203+1)</f>
        <v>E199</v>
      </c>
      <c r="C203" t="str">
        <f>INDEX(Employees!$A:$Z,MATCH(B203,Employees!$A:$A,0),MATCH("category",Employees!$1:$1,0))</f>
        <v>Sales</v>
      </c>
      <c r="D203" t="str">
        <f>INDEX(Employees!$A:$Z,MATCH(B203,Employees!$A:$A,0),MATCH("gender",Employees!$1:$1,0))</f>
        <v>F</v>
      </c>
      <c r="E203" s="3">
        <f>INDEX(Employees!$A:$Z,MATCH(B203,Employees!$A:$A,0),MATCH("grade",Employees!$1:$1,0))</f>
        <v>8</v>
      </c>
      <c r="F203" s="3">
        <f>INDEX(Employees!$A:$Z,MATCH(B203,Employees!$A:$A,0),MATCH("rating",Employees!$1:$1,0))</f>
        <v>3</v>
      </c>
      <c r="G203" s="22">
        <f>INDEX(Employees!$A:$Z,MATCH(B203,Employees!$A:$A,0),MATCH("hire_date",Employees!$1:$1,0))</f>
        <v>45857</v>
      </c>
      <c r="H203" s="22">
        <f>INDEX(Employees!$A:$Z,MATCH(B203,Employees!$A:$A,0),MATCH("last_change_date",Employees!$1:$1,0))</f>
        <v>46113</v>
      </c>
      <c r="I203" s="4">
        <f>INDEX(Employees!$A:$Z,MATCH(B203,Employees!$A:$A,0),MATCH("base_salary",Employees!$1:$1,0))</f>
        <v>56402.5</v>
      </c>
      <c r="J203" s="5">
        <f>INDEX(Employees!$A:$Z,MATCH(B203,Employees!$A:$A,0),MATCH("bonus_pct",Employees!$1:$1,0))/100</f>
        <v>0.13</v>
      </c>
      <c r="K203" s="7">
        <f>INDEX(Employees!$A:$Z,MATCH(B203,Employees!$A:$A,0),MATCH("fte",Employees!$1:$1,0))</f>
        <v>1</v>
      </c>
      <c r="L203" s="3">
        <f>IF(ISNA(MATCH(C203&amp;"|"&amp;E203,Bands!$F:$F,0)),0,1)</f>
        <v>1</v>
      </c>
      <c r="M203" s="4">
        <f>INDEX(Bands!$C:$C,MATCH(C203&amp;"|"&amp;E203,Bands!$F:$F,0))</f>
        <v>53100</v>
      </c>
      <c r="N203" s="4">
        <f>INDEX(Bands!$D:$D,MATCH(C203&amp;"|"&amp;E203,Bands!$F:$F,0))</f>
        <v>63700</v>
      </c>
      <c r="O203" s="4">
        <f>INDEX(Bands!$E:$E,MATCH(C203&amp;"|"&amp;E203,Bands!$F:$F,0))</f>
        <v>74300</v>
      </c>
      <c r="P203" s="7">
        <f t="shared" si="166"/>
        <v>1.700205338809035</v>
      </c>
      <c r="Q203" s="4">
        <f t="shared" si="167"/>
        <v>63734.824999999997</v>
      </c>
      <c r="R203" s="7">
        <f t="shared" si="168"/>
        <v>64</v>
      </c>
      <c r="S203" s="7">
        <f t="shared" si="169"/>
        <v>2.8906981941147456</v>
      </c>
      <c r="T203" s="7">
        <f t="shared" si="170"/>
        <v>13.60164271047228</v>
      </c>
      <c r="U203" s="7">
        <f t="shared" si="171"/>
        <v>509878.6</v>
      </c>
      <c r="V203" s="7">
        <f t="shared" si="172"/>
        <v>108362.28973305954</v>
      </c>
      <c r="W203" s="4">
        <f t="shared" si="173"/>
        <v>63734.83</v>
      </c>
      <c r="X203" s="3">
        <f t="shared" si="174"/>
        <v>3</v>
      </c>
      <c r="Y203" s="4">
        <f>INDEX(Categories!$AH:$AH,MATCH(C203,Categories!$A:$A,0))</f>
        <v>85035.918249999988</v>
      </c>
      <c r="Z203" s="3">
        <f>IF(AND(D203="F",Q203&lt;Y203,INDEX(Categories!$AI:$AI,MATCH(C203,Categories!$A:$A,0))&gt;0),1,0)</f>
        <v>1</v>
      </c>
      <c r="AA203" s="4">
        <f t="shared" si="175"/>
        <v>21301.093249999991</v>
      </c>
      <c r="AB203" s="4">
        <f>IF(Z203=1,INDEX(Categories!$AI:$AI,MATCH(C203,Categories!$A:$A,0))*AA203/INDEX(Categories!$AJ:$AJ,MATCH(C203,Categories!$A:$A,0)),0)</f>
        <v>19943.372483660449</v>
      </c>
      <c r="AC203" s="4">
        <f t="shared" si="176"/>
        <v>17649.002197929603</v>
      </c>
      <c r="AD203" s="4">
        <f t="shared" si="177"/>
        <v>74051.5021979296</v>
      </c>
      <c r="AE203" s="3">
        <f t="shared" si="178"/>
        <v>0</v>
      </c>
      <c r="AF203" s="3">
        <f t="shared" si="179"/>
        <v>20</v>
      </c>
      <c r="AG203" s="3">
        <f t="shared" si="180"/>
        <v>12</v>
      </c>
      <c r="AH203" s="3">
        <f t="shared" si="181"/>
        <v>1</v>
      </c>
      <c r="AI203" s="5">
        <f t="shared" si="182"/>
        <v>1.1625039591511712</v>
      </c>
      <c r="AJ203" s="3">
        <f>MATCH(AI203,Inputs!$B$31:$B$34,1)</f>
        <v>4</v>
      </c>
      <c r="AK203" s="5">
        <f>INDEX(Inputs!$C$21:$C$25,MATCH(F203,Inputs!$A$21:$A$25,0))</f>
        <v>1</v>
      </c>
      <c r="AL203" s="5">
        <f>INDEX(Inputs!$D$21:$D$25,MATCH(F203,Inputs!$A$21:$A$25,0))</f>
        <v>0</v>
      </c>
      <c r="AM203" s="4">
        <f t="shared" si="183"/>
        <v>63700</v>
      </c>
      <c r="AN203" s="4">
        <f t="shared" si="184"/>
        <v>0</v>
      </c>
      <c r="AO203" s="3">
        <f t="shared" si="185"/>
        <v>1</v>
      </c>
      <c r="AP203" s="4">
        <f t="shared" si="186"/>
        <v>22215.450659378879</v>
      </c>
      <c r="AQ203" s="4">
        <f t="shared" si="187"/>
        <v>0</v>
      </c>
      <c r="AR203" s="4">
        <f t="shared" si="188"/>
        <v>0</v>
      </c>
      <c r="AS203" s="3">
        <f t="shared" si="189"/>
        <v>0</v>
      </c>
      <c r="AT203" s="4">
        <f t="shared" si="190"/>
        <v>0</v>
      </c>
      <c r="AU203" s="4">
        <f t="shared" si="191"/>
        <v>248.49780207040021</v>
      </c>
      <c r="AV203" s="4">
        <f t="shared" si="192"/>
        <v>0</v>
      </c>
      <c r="AW203" s="4">
        <f t="shared" si="193"/>
        <v>0</v>
      </c>
      <c r="AX203" s="5">
        <f t="shared" si="194"/>
        <v>0</v>
      </c>
      <c r="AY203" s="4">
        <f t="shared" si="195"/>
        <v>74051.5021979296</v>
      </c>
      <c r="AZ203" s="3">
        <f t="shared" si="196"/>
        <v>0</v>
      </c>
      <c r="BA203" s="4">
        <f t="shared" si="197"/>
        <v>63734.824999999997</v>
      </c>
      <c r="BB203" s="4">
        <f t="shared" si="198"/>
        <v>19704.625680000001</v>
      </c>
      <c r="BC203" s="4">
        <f t="shared" si="199"/>
        <v>83678.197483660435</v>
      </c>
      <c r="BD203" s="4">
        <f t="shared" si="200"/>
        <v>19909.155941830068</v>
      </c>
      <c r="BE203" s="4">
        <f t="shared" si="201"/>
        <v>83678.197483660435</v>
      </c>
      <c r="BF203" s="4">
        <f t="shared" si="202"/>
        <v>19909.155941830068</v>
      </c>
      <c r="BG203" s="4">
        <f t="shared" si="203"/>
        <v>17649.002197929603</v>
      </c>
      <c r="BH203" s="4">
        <f t="shared" si="204"/>
        <v>2294.3702857308485</v>
      </c>
      <c r="BI203" s="4">
        <f t="shared" si="205"/>
        <v>204.53026183006659</v>
      </c>
      <c r="BJ203" s="4">
        <f t="shared" si="206"/>
        <v>0</v>
      </c>
      <c r="BK203" s="4">
        <f t="shared" si="207"/>
        <v>0</v>
      </c>
      <c r="BL203" s="4">
        <f t="shared" si="208"/>
        <v>0</v>
      </c>
      <c r="BM203" s="4">
        <f t="shared" si="209"/>
        <v>74051.5021979296</v>
      </c>
      <c r="BN203" s="4">
        <f t="shared" si="210"/>
        <v>2962.0600879171839</v>
      </c>
      <c r="BO203" s="4">
        <f t="shared" si="211"/>
        <v>2962.0600879171839</v>
      </c>
      <c r="BP203" s="4">
        <f t="shared" si="212"/>
        <v>385.06781142923393</v>
      </c>
      <c r="BQ203" s="4">
        <f t="shared" si="213"/>
        <v>87025.325383006857</v>
      </c>
      <c r="BR203" s="4">
        <f t="shared" si="214"/>
        <v>19943.966071983268</v>
      </c>
      <c r="BS203" s="4">
        <f t="shared" si="215"/>
        <v>34.810130153200589</v>
      </c>
      <c r="BT203" s="4">
        <f t="shared" si="216"/>
        <v>83678.197483660435</v>
      </c>
      <c r="BU203" s="4">
        <f t="shared" si="217"/>
        <v>83678.197483660435</v>
      </c>
      <c r="BV203" s="7">
        <f t="shared" si="218"/>
        <v>669425.57986928348</v>
      </c>
      <c r="BW203" s="7">
        <f t="shared" si="219"/>
        <v>142270.11810363622</v>
      </c>
    </row>
    <row r="204" spans="1:75" x14ac:dyDescent="0.3">
      <c r="A204" s="3">
        <f t="shared" si="165"/>
        <v>200</v>
      </c>
      <c r="B204" t="str">
        <f>INDEX(Employees!$A:$A,A204+1)</f>
        <v>E200</v>
      </c>
      <c r="C204" t="str">
        <f>INDEX(Employees!$A:$Z,MATCH(B204,Employees!$A:$A,0),MATCH("category",Employees!$1:$1,0))</f>
        <v>Sales</v>
      </c>
      <c r="D204" t="str">
        <f>INDEX(Employees!$A:$Z,MATCH(B204,Employees!$A:$A,0),MATCH("gender",Employees!$1:$1,0))</f>
        <v>M</v>
      </c>
      <c r="E204" s="3">
        <f>INDEX(Employees!$A:$Z,MATCH(B204,Employees!$A:$A,0),MATCH("grade",Employees!$1:$1,0))</f>
        <v>8</v>
      </c>
      <c r="F204" s="3">
        <f>INDEX(Employees!$A:$Z,MATCH(B204,Employees!$A:$A,0),MATCH("rating",Employees!$1:$1,0))</f>
        <v>2</v>
      </c>
      <c r="G204" s="22">
        <f>INDEX(Employees!$A:$Z,MATCH(B204,Employees!$A:$A,0),MATCH("hire_date",Employees!$1:$1,0))</f>
        <v>45857</v>
      </c>
      <c r="H204" s="22">
        <f>INDEX(Employees!$A:$Z,MATCH(B204,Employees!$A:$A,0),MATCH("last_change_date",Employees!$1:$1,0))</f>
        <v>46113</v>
      </c>
      <c r="I204" s="4">
        <f>INDEX(Employees!$A:$Z,MATCH(B204,Employees!$A:$A,0),MATCH("base_salary",Employees!$1:$1,0))</f>
        <v>56402.5</v>
      </c>
      <c r="J204" s="5">
        <f>INDEX(Employees!$A:$Z,MATCH(B204,Employees!$A:$A,0),MATCH("bonus_pct",Employees!$1:$1,0))/100</f>
        <v>0.26</v>
      </c>
      <c r="K204" s="7">
        <f>INDEX(Employees!$A:$Z,MATCH(B204,Employees!$A:$A,0),MATCH("fte",Employees!$1:$1,0))</f>
        <v>1</v>
      </c>
      <c r="L204" s="3">
        <f>IF(ISNA(MATCH(C204&amp;"|"&amp;E204,Bands!$F:$F,0)),0,1)</f>
        <v>1</v>
      </c>
      <c r="M204" s="4">
        <f>INDEX(Bands!$C:$C,MATCH(C204&amp;"|"&amp;E204,Bands!$F:$F,0))</f>
        <v>53100</v>
      </c>
      <c r="N204" s="4">
        <f>INDEX(Bands!$D:$D,MATCH(C204&amp;"|"&amp;E204,Bands!$F:$F,0))</f>
        <v>63700</v>
      </c>
      <c r="O204" s="4">
        <f>INDEX(Bands!$E:$E,MATCH(C204&amp;"|"&amp;E204,Bands!$F:$F,0))</f>
        <v>74300</v>
      </c>
      <c r="P204" s="7">
        <f t="shared" si="166"/>
        <v>1.700205338809035</v>
      </c>
      <c r="Q204" s="4">
        <f t="shared" si="167"/>
        <v>71067.149999999994</v>
      </c>
      <c r="R204" s="7">
        <f t="shared" si="168"/>
        <v>64</v>
      </c>
      <c r="S204" s="7">
        <f t="shared" si="169"/>
        <v>2.8906981941147456</v>
      </c>
      <c r="T204" s="7">
        <f t="shared" si="170"/>
        <v>13.60164271047228</v>
      </c>
      <c r="U204" s="7">
        <f t="shared" si="171"/>
        <v>568537.19999999995</v>
      </c>
      <c r="V204" s="7">
        <f t="shared" si="172"/>
        <v>120828.7478439425</v>
      </c>
      <c r="W204" s="4">
        <f t="shared" si="173"/>
        <v>71067.149999999994</v>
      </c>
      <c r="X204" s="3">
        <f t="shared" si="174"/>
        <v>7</v>
      </c>
      <c r="Y204" s="4">
        <f>INDEX(Categories!$AH:$AH,MATCH(C204,Categories!$A:$A,0))</f>
        <v>85035.918249999988</v>
      </c>
      <c r="Z204" s="3">
        <f>IF(AND(D204="F",Q204&lt;Y204,INDEX(Categories!$AI:$AI,MATCH(C204,Categories!$A:$A,0))&gt;0),1,0)</f>
        <v>0</v>
      </c>
      <c r="AA204" s="4">
        <f t="shared" si="175"/>
        <v>0</v>
      </c>
      <c r="AB204" s="4">
        <f>IF(Z204=1,INDEX(Categories!$AI:$AI,MATCH(C204,Categories!$A:$A,0))*AA204/INDEX(Categories!$AJ:$AJ,MATCH(C204,Categories!$A:$A,0)),0)</f>
        <v>0</v>
      </c>
      <c r="AC204" s="4">
        <f t="shared" si="176"/>
        <v>0</v>
      </c>
      <c r="AD204" s="4">
        <f t="shared" si="177"/>
        <v>56402.5</v>
      </c>
      <c r="AE204" s="3">
        <f t="shared" si="178"/>
        <v>0</v>
      </c>
      <c r="AF204" s="3">
        <f t="shared" si="179"/>
        <v>20</v>
      </c>
      <c r="AG204" s="3">
        <f t="shared" si="180"/>
        <v>12</v>
      </c>
      <c r="AH204" s="3">
        <f t="shared" si="181"/>
        <v>1</v>
      </c>
      <c r="AI204" s="5">
        <f t="shared" si="182"/>
        <v>0.8854395604395604</v>
      </c>
      <c r="AJ204" s="3">
        <f>MATCH(AI204,Inputs!$B$31:$B$34,1)</f>
        <v>1</v>
      </c>
      <c r="AK204" s="5">
        <f>INDEX(Inputs!$C$21:$C$25,MATCH(F204,Inputs!$A$21:$A$25,0))</f>
        <v>0.95</v>
      </c>
      <c r="AL204" s="5">
        <f>INDEX(Inputs!$D$21:$D$25,MATCH(F204,Inputs!$A$21:$A$25,0))</f>
        <v>0</v>
      </c>
      <c r="AM204" s="4">
        <f t="shared" si="183"/>
        <v>60515</v>
      </c>
      <c r="AN204" s="4">
        <f t="shared" si="184"/>
        <v>4112.5</v>
      </c>
      <c r="AO204" s="3">
        <f t="shared" si="185"/>
        <v>1</v>
      </c>
      <c r="AP204" s="4">
        <f t="shared" si="186"/>
        <v>16920.75</v>
      </c>
      <c r="AQ204" s="4">
        <f t="shared" si="187"/>
        <v>0</v>
      </c>
      <c r="AR204" s="4">
        <f t="shared" si="188"/>
        <v>4112.5</v>
      </c>
      <c r="AS204" s="3">
        <f t="shared" si="189"/>
        <v>0</v>
      </c>
      <c r="AT204" s="4">
        <f t="shared" si="190"/>
        <v>4112.5</v>
      </c>
      <c r="AU204" s="4">
        <f t="shared" si="191"/>
        <v>17897.5</v>
      </c>
      <c r="AV204" s="4">
        <f t="shared" si="192"/>
        <v>4112.5</v>
      </c>
      <c r="AW204" s="4">
        <f t="shared" si="193"/>
        <v>4112.5</v>
      </c>
      <c r="AX204" s="5">
        <f t="shared" si="194"/>
        <v>7.2913434688178722E-2</v>
      </c>
      <c r="AY204" s="4">
        <f t="shared" si="195"/>
        <v>60515</v>
      </c>
      <c r="AZ204" s="3">
        <f t="shared" si="196"/>
        <v>0</v>
      </c>
      <c r="BA204" s="4">
        <f t="shared" si="197"/>
        <v>71067.149999999994</v>
      </c>
      <c r="BB204" s="4">
        <f t="shared" si="198"/>
        <v>19778.001047999998</v>
      </c>
      <c r="BC204" s="4">
        <f t="shared" si="199"/>
        <v>71067.149999999994</v>
      </c>
      <c r="BD204" s="4">
        <f t="shared" si="200"/>
        <v>19778.001047999998</v>
      </c>
      <c r="BE204" s="4">
        <f t="shared" si="201"/>
        <v>76248.899999999994</v>
      </c>
      <c r="BF204" s="4">
        <f t="shared" si="202"/>
        <v>19831.891247999996</v>
      </c>
      <c r="BG204" s="4">
        <f t="shared" si="203"/>
        <v>0</v>
      </c>
      <c r="BH204" s="4">
        <f t="shared" si="204"/>
        <v>0</v>
      </c>
      <c r="BI204" s="4">
        <f t="shared" si="205"/>
        <v>0</v>
      </c>
      <c r="BJ204" s="4">
        <f t="shared" si="206"/>
        <v>4112.5</v>
      </c>
      <c r="BK204" s="4">
        <f t="shared" si="207"/>
        <v>1069.25</v>
      </c>
      <c r="BL204" s="4">
        <f t="shared" si="208"/>
        <v>53.890199999998003</v>
      </c>
      <c r="BM204" s="4">
        <f t="shared" si="209"/>
        <v>56402.5</v>
      </c>
      <c r="BN204" s="4">
        <f t="shared" si="210"/>
        <v>2256.1</v>
      </c>
      <c r="BO204" s="4">
        <f t="shared" si="211"/>
        <v>2256.1</v>
      </c>
      <c r="BP204" s="4">
        <f t="shared" si="212"/>
        <v>586.58600000000001</v>
      </c>
      <c r="BQ204" s="4">
        <f t="shared" si="213"/>
        <v>73909.835999999996</v>
      </c>
      <c r="BR204" s="4">
        <f t="shared" si="214"/>
        <v>19807.564982399999</v>
      </c>
      <c r="BS204" s="4">
        <f t="shared" si="215"/>
        <v>29.563934400001017</v>
      </c>
      <c r="BT204" s="4">
        <f t="shared" si="216"/>
        <v>71067.149999999994</v>
      </c>
      <c r="BU204" s="4">
        <f t="shared" si="217"/>
        <v>76248.899999999994</v>
      </c>
      <c r="BV204" s="7">
        <f t="shared" si="218"/>
        <v>609991.19999999995</v>
      </c>
      <c r="BW204" s="7">
        <f t="shared" si="219"/>
        <v>129638.78685831622</v>
      </c>
    </row>
    <row r="205" spans="1:75" x14ac:dyDescent="0.3">
      <c r="A205" s="3">
        <f t="shared" si="165"/>
        <v>201</v>
      </c>
      <c r="B205" t="str">
        <f>INDEX(Employees!$A:$A,A205+1)</f>
        <v>E201</v>
      </c>
      <c r="C205" t="str">
        <f>INDEX(Employees!$A:$Z,MATCH(B205,Employees!$A:$A,0),MATCH("category",Employees!$1:$1,0))</f>
        <v>Sales</v>
      </c>
      <c r="D205" t="str">
        <f>INDEX(Employees!$A:$Z,MATCH(B205,Employees!$A:$A,0),MATCH("gender",Employees!$1:$1,0))</f>
        <v>F</v>
      </c>
      <c r="E205" s="3">
        <f>INDEX(Employees!$A:$Z,MATCH(B205,Employees!$A:$A,0),MATCH("grade",Employees!$1:$1,0))</f>
        <v>10</v>
      </c>
      <c r="F205" s="3">
        <f>INDEX(Employees!$A:$Z,MATCH(B205,Employees!$A:$A,0),MATCH("rating",Employees!$1:$1,0))</f>
        <v>4</v>
      </c>
      <c r="G205" s="22">
        <f>INDEX(Employees!$A:$Z,MATCH(B205,Employees!$A:$A,0),MATCH("hire_date",Employees!$1:$1,0))</f>
        <v>43812</v>
      </c>
      <c r="H205" s="22">
        <f>INDEX(Employees!$A:$Z,MATCH(B205,Employees!$A:$A,0),MATCH("last_change_date",Employees!$1:$1,0))</f>
        <v>46113</v>
      </c>
      <c r="I205" s="4">
        <f>INDEX(Employees!$A:$Z,MATCH(B205,Employees!$A:$A,0),MATCH("base_salary",Employees!$1:$1,0))</f>
        <v>76546.62</v>
      </c>
      <c r="J205" s="5">
        <f>INDEX(Employees!$A:$Z,MATCH(B205,Employees!$A:$A,0),MATCH("bonus_pct",Employees!$1:$1,0))/100</f>
        <v>0.13</v>
      </c>
      <c r="K205" s="7">
        <f>INDEX(Employees!$A:$Z,MATCH(B205,Employees!$A:$A,0),MATCH("fte",Employees!$1:$1,0))</f>
        <v>1</v>
      </c>
      <c r="L205" s="3">
        <f>IF(ISNA(MATCH(C205&amp;"|"&amp;E205,Bands!$F:$F,0)),0,1)</f>
        <v>1</v>
      </c>
      <c r="M205" s="4">
        <f>INDEX(Bands!$C:$C,MATCH(C205&amp;"|"&amp;E205,Bands!$F:$F,0))</f>
        <v>67400</v>
      </c>
      <c r="N205" s="4">
        <f>INDEX(Bands!$D:$D,MATCH(C205&amp;"|"&amp;E205,Bands!$F:$F,0))</f>
        <v>84300</v>
      </c>
      <c r="O205" s="4">
        <f>INDEX(Bands!$E:$E,MATCH(C205&amp;"|"&amp;E205,Bands!$F:$F,0))</f>
        <v>101100</v>
      </c>
      <c r="P205" s="7">
        <f t="shared" si="166"/>
        <v>7.2991101984941817</v>
      </c>
      <c r="Q205" s="4">
        <f t="shared" si="167"/>
        <v>86497.680599999992</v>
      </c>
      <c r="R205" s="7">
        <f t="shared" si="168"/>
        <v>100</v>
      </c>
      <c r="S205" s="7">
        <f t="shared" si="169"/>
        <v>53.277009689761776</v>
      </c>
      <c r="T205" s="7">
        <f t="shared" si="170"/>
        <v>72.991101984941821</v>
      </c>
      <c r="U205" s="7">
        <f t="shared" si="171"/>
        <v>864976.80599999987</v>
      </c>
      <c r="V205" s="7">
        <f t="shared" si="172"/>
        <v>631356.10261355224</v>
      </c>
      <c r="W205" s="4">
        <f t="shared" si="173"/>
        <v>86497.68</v>
      </c>
      <c r="X205" s="3">
        <f t="shared" si="174"/>
        <v>15</v>
      </c>
      <c r="Y205" s="4">
        <f>INDEX(Categories!$AH:$AH,MATCH(C205,Categories!$A:$A,0))</f>
        <v>85035.918249999988</v>
      </c>
      <c r="Z205" s="3">
        <f>IF(AND(D205="F",Q205&lt;Y205,INDEX(Categories!$AI:$AI,MATCH(C205,Categories!$A:$A,0))&gt;0),1,0)</f>
        <v>0</v>
      </c>
      <c r="AA205" s="4">
        <f t="shared" si="175"/>
        <v>0</v>
      </c>
      <c r="AB205" s="4">
        <f>IF(Z205=1,INDEX(Categories!$AI:$AI,MATCH(C205,Categories!$A:$A,0))*AA205/INDEX(Categories!$AJ:$AJ,MATCH(C205,Categories!$A:$A,0)),0)</f>
        <v>0</v>
      </c>
      <c r="AC205" s="4">
        <f t="shared" si="176"/>
        <v>0</v>
      </c>
      <c r="AD205" s="4">
        <f t="shared" si="177"/>
        <v>76546.62</v>
      </c>
      <c r="AE205" s="3">
        <f t="shared" si="178"/>
        <v>0</v>
      </c>
      <c r="AF205" s="3">
        <f t="shared" si="179"/>
        <v>87</v>
      </c>
      <c r="AG205" s="3">
        <f t="shared" si="180"/>
        <v>12</v>
      </c>
      <c r="AH205" s="3">
        <f t="shared" si="181"/>
        <v>1</v>
      </c>
      <c r="AI205" s="5">
        <f t="shared" si="182"/>
        <v>0.90802633451957293</v>
      </c>
      <c r="AJ205" s="3">
        <f>MATCH(AI205,Inputs!$B$31:$B$34,1)</f>
        <v>2</v>
      </c>
      <c r="AK205" s="5">
        <f>INDEX(Inputs!$C$21:$C$25,MATCH(F205,Inputs!$A$21:$A$25,0))</f>
        <v>1.05</v>
      </c>
      <c r="AL205" s="5">
        <f>INDEX(Inputs!$D$21:$D$25,MATCH(F205,Inputs!$A$21:$A$25,0))</f>
        <v>0.01</v>
      </c>
      <c r="AM205" s="4">
        <f t="shared" si="183"/>
        <v>88515</v>
      </c>
      <c r="AN205" s="4">
        <f t="shared" si="184"/>
        <v>11968.380000000005</v>
      </c>
      <c r="AO205" s="3">
        <f t="shared" si="185"/>
        <v>1</v>
      </c>
      <c r="AP205" s="4">
        <f t="shared" si="186"/>
        <v>22963.985999999997</v>
      </c>
      <c r="AQ205" s="4">
        <f t="shared" si="187"/>
        <v>765.46619999999996</v>
      </c>
      <c r="AR205" s="4">
        <f t="shared" si="188"/>
        <v>11968.380000000005</v>
      </c>
      <c r="AS205" s="3">
        <f t="shared" si="189"/>
        <v>0</v>
      </c>
      <c r="AT205" s="4">
        <f t="shared" si="190"/>
        <v>11968.380000000005</v>
      </c>
      <c r="AU205" s="4">
        <f t="shared" si="191"/>
        <v>24553.380000000005</v>
      </c>
      <c r="AV205" s="4">
        <f t="shared" si="192"/>
        <v>11968.380000000005</v>
      </c>
      <c r="AW205" s="4">
        <f t="shared" si="193"/>
        <v>11968.380000000005</v>
      </c>
      <c r="AX205" s="5">
        <f t="shared" si="194"/>
        <v>0.15635412771981316</v>
      </c>
      <c r="AY205" s="4">
        <f t="shared" si="195"/>
        <v>88515</v>
      </c>
      <c r="AZ205" s="3">
        <f t="shared" si="196"/>
        <v>0</v>
      </c>
      <c r="BA205" s="4">
        <f t="shared" si="197"/>
        <v>86497.680599999992</v>
      </c>
      <c r="BB205" s="4">
        <f t="shared" si="198"/>
        <v>19938.478566239999</v>
      </c>
      <c r="BC205" s="4">
        <f t="shared" si="199"/>
        <v>86497.680599999992</v>
      </c>
      <c r="BD205" s="4">
        <f t="shared" si="200"/>
        <v>19938.478566239999</v>
      </c>
      <c r="BE205" s="4">
        <f t="shared" si="201"/>
        <v>100021.95</v>
      </c>
      <c r="BF205" s="4">
        <f t="shared" si="202"/>
        <v>20093.891597999995</v>
      </c>
      <c r="BG205" s="4">
        <f t="shared" si="203"/>
        <v>0</v>
      </c>
      <c r="BH205" s="4">
        <f t="shared" si="204"/>
        <v>0</v>
      </c>
      <c r="BI205" s="4">
        <f t="shared" si="205"/>
        <v>0</v>
      </c>
      <c r="BJ205" s="4">
        <f t="shared" si="206"/>
        <v>11968.380000000005</v>
      </c>
      <c r="BK205" s="4">
        <f t="shared" si="207"/>
        <v>1555.8894000000007</v>
      </c>
      <c r="BL205" s="4">
        <f t="shared" si="208"/>
        <v>155.41303175999565</v>
      </c>
      <c r="BM205" s="4">
        <f t="shared" si="209"/>
        <v>76546.62</v>
      </c>
      <c r="BN205" s="4">
        <f t="shared" si="210"/>
        <v>3061.8647999999998</v>
      </c>
      <c r="BO205" s="4">
        <f t="shared" si="211"/>
        <v>3061.8647999999998</v>
      </c>
      <c r="BP205" s="4">
        <f t="shared" si="212"/>
        <v>398.04242399999998</v>
      </c>
      <c r="BQ205" s="4">
        <f t="shared" si="213"/>
        <v>89957.587823999987</v>
      </c>
      <c r="BR205" s="4">
        <f t="shared" si="214"/>
        <v>19974.461601369596</v>
      </c>
      <c r="BS205" s="4">
        <f t="shared" si="215"/>
        <v>35.983035129596828</v>
      </c>
      <c r="BT205" s="4">
        <f t="shared" si="216"/>
        <v>86497.680599999992</v>
      </c>
      <c r="BU205" s="4">
        <f t="shared" si="217"/>
        <v>100021.95</v>
      </c>
      <c r="BV205" s="7">
        <f t="shared" si="218"/>
        <v>1000219.5</v>
      </c>
      <c r="BW205" s="7">
        <f t="shared" si="219"/>
        <v>730071.23531827505</v>
      </c>
    </row>
    <row r="206" spans="1:75" x14ac:dyDescent="0.3">
      <c r="A206" s="3">
        <f t="shared" si="165"/>
        <v>202</v>
      </c>
      <c r="B206" t="str">
        <f>INDEX(Employees!$A:$A,A206+1)</f>
        <v>E202</v>
      </c>
      <c r="C206" t="str">
        <f>INDEX(Employees!$A:$Z,MATCH(B206,Employees!$A:$A,0),MATCH("category",Employees!$1:$1,0))</f>
        <v>Sales</v>
      </c>
      <c r="D206" t="str">
        <f>INDEX(Employees!$A:$Z,MATCH(B206,Employees!$A:$A,0),MATCH("gender",Employees!$1:$1,0))</f>
        <v>M</v>
      </c>
      <c r="E206" s="3">
        <f>INDEX(Employees!$A:$Z,MATCH(B206,Employees!$A:$A,0),MATCH("grade",Employees!$1:$1,0))</f>
        <v>10</v>
      </c>
      <c r="F206" s="3">
        <f>INDEX(Employees!$A:$Z,MATCH(B206,Employees!$A:$A,0),MATCH("rating",Employees!$1:$1,0))</f>
        <v>4</v>
      </c>
      <c r="G206" s="22">
        <f>INDEX(Employees!$A:$Z,MATCH(B206,Employees!$A:$A,0),MATCH("hire_date",Employees!$1:$1,0))</f>
        <v>43812</v>
      </c>
      <c r="H206" s="22">
        <f>INDEX(Employees!$A:$Z,MATCH(B206,Employees!$A:$A,0),MATCH("last_change_date",Employees!$1:$1,0))</f>
        <v>46113</v>
      </c>
      <c r="I206" s="4">
        <f>INDEX(Employees!$A:$Z,MATCH(B206,Employees!$A:$A,0),MATCH("base_salary",Employees!$1:$1,0))</f>
        <v>76546.62</v>
      </c>
      <c r="J206" s="5">
        <f>INDEX(Employees!$A:$Z,MATCH(B206,Employees!$A:$A,0),MATCH("bonus_pct",Employees!$1:$1,0))/100</f>
        <v>0.26</v>
      </c>
      <c r="K206" s="7">
        <f>INDEX(Employees!$A:$Z,MATCH(B206,Employees!$A:$A,0),MATCH("fte",Employees!$1:$1,0))</f>
        <v>1</v>
      </c>
      <c r="L206" s="3">
        <f>IF(ISNA(MATCH(C206&amp;"|"&amp;E206,Bands!$F:$F,0)),0,1)</f>
        <v>1</v>
      </c>
      <c r="M206" s="4">
        <f>INDEX(Bands!$C:$C,MATCH(C206&amp;"|"&amp;E206,Bands!$F:$F,0))</f>
        <v>67400</v>
      </c>
      <c r="N206" s="4">
        <f>INDEX(Bands!$D:$D,MATCH(C206&amp;"|"&amp;E206,Bands!$F:$F,0))</f>
        <v>84300</v>
      </c>
      <c r="O206" s="4">
        <f>INDEX(Bands!$E:$E,MATCH(C206&amp;"|"&amp;E206,Bands!$F:$F,0))</f>
        <v>101100</v>
      </c>
      <c r="P206" s="7">
        <f t="shared" si="166"/>
        <v>7.2991101984941817</v>
      </c>
      <c r="Q206" s="4">
        <f t="shared" si="167"/>
        <v>96448.741199999989</v>
      </c>
      <c r="R206" s="7">
        <f t="shared" si="168"/>
        <v>100</v>
      </c>
      <c r="S206" s="7">
        <f t="shared" si="169"/>
        <v>53.277009689761776</v>
      </c>
      <c r="T206" s="7">
        <f t="shared" si="170"/>
        <v>72.991101984941821</v>
      </c>
      <c r="U206" s="7">
        <f t="shared" si="171"/>
        <v>964487.41199999989</v>
      </c>
      <c r="V206" s="7">
        <f t="shared" si="172"/>
        <v>703989.9905248459</v>
      </c>
      <c r="W206" s="4">
        <f t="shared" si="173"/>
        <v>96448.74</v>
      </c>
      <c r="X206" s="3">
        <f t="shared" si="174"/>
        <v>18</v>
      </c>
      <c r="Y206" s="4">
        <f>INDEX(Categories!$AH:$AH,MATCH(C206,Categories!$A:$A,0))</f>
        <v>85035.918249999988</v>
      </c>
      <c r="Z206" s="3">
        <f>IF(AND(D206="F",Q206&lt;Y206,INDEX(Categories!$AI:$AI,MATCH(C206,Categories!$A:$A,0))&gt;0),1,0)</f>
        <v>0</v>
      </c>
      <c r="AA206" s="4">
        <f t="shared" si="175"/>
        <v>0</v>
      </c>
      <c r="AB206" s="4">
        <f>IF(Z206=1,INDEX(Categories!$AI:$AI,MATCH(C206,Categories!$A:$A,0))*AA206/INDEX(Categories!$AJ:$AJ,MATCH(C206,Categories!$A:$A,0)),0)</f>
        <v>0</v>
      </c>
      <c r="AC206" s="4">
        <f t="shared" si="176"/>
        <v>0</v>
      </c>
      <c r="AD206" s="4">
        <f t="shared" si="177"/>
        <v>76546.62</v>
      </c>
      <c r="AE206" s="3">
        <f t="shared" si="178"/>
        <v>0</v>
      </c>
      <c r="AF206" s="3">
        <f t="shared" si="179"/>
        <v>87</v>
      </c>
      <c r="AG206" s="3">
        <f t="shared" si="180"/>
        <v>12</v>
      </c>
      <c r="AH206" s="3">
        <f t="shared" si="181"/>
        <v>1</v>
      </c>
      <c r="AI206" s="5">
        <f t="shared" si="182"/>
        <v>0.90802633451957293</v>
      </c>
      <c r="AJ206" s="3">
        <f>MATCH(AI206,Inputs!$B$31:$B$34,1)</f>
        <v>2</v>
      </c>
      <c r="AK206" s="5">
        <f>INDEX(Inputs!$C$21:$C$25,MATCH(F206,Inputs!$A$21:$A$25,0))</f>
        <v>1.05</v>
      </c>
      <c r="AL206" s="5">
        <f>INDEX(Inputs!$D$21:$D$25,MATCH(F206,Inputs!$A$21:$A$25,0))</f>
        <v>0.01</v>
      </c>
      <c r="AM206" s="4">
        <f t="shared" si="183"/>
        <v>88515</v>
      </c>
      <c r="AN206" s="4">
        <f t="shared" si="184"/>
        <v>11968.380000000005</v>
      </c>
      <c r="AO206" s="3">
        <f t="shared" si="185"/>
        <v>1</v>
      </c>
      <c r="AP206" s="4">
        <f t="shared" si="186"/>
        <v>22963.985999999997</v>
      </c>
      <c r="AQ206" s="4">
        <f t="shared" si="187"/>
        <v>765.46619999999996</v>
      </c>
      <c r="AR206" s="4">
        <f t="shared" si="188"/>
        <v>11968.380000000005</v>
      </c>
      <c r="AS206" s="3">
        <f t="shared" si="189"/>
        <v>0</v>
      </c>
      <c r="AT206" s="4">
        <f t="shared" si="190"/>
        <v>11968.380000000005</v>
      </c>
      <c r="AU206" s="4">
        <f t="shared" si="191"/>
        <v>24553.380000000005</v>
      </c>
      <c r="AV206" s="4">
        <f t="shared" si="192"/>
        <v>11968.380000000005</v>
      </c>
      <c r="AW206" s="4">
        <f t="shared" si="193"/>
        <v>11968.380000000005</v>
      </c>
      <c r="AX206" s="5">
        <f t="shared" si="194"/>
        <v>0.15635412771981316</v>
      </c>
      <c r="AY206" s="4">
        <f t="shared" si="195"/>
        <v>88515</v>
      </c>
      <c r="AZ206" s="3">
        <f t="shared" si="196"/>
        <v>0</v>
      </c>
      <c r="BA206" s="4">
        <f t="shared" si="197"/>
        <v>96448.741199999989</v>
      </c>
      <c r="BB206" s="4">
        <f t="shared" si="198"/>
        <v>20050.298450639995</v>
      </c>
      <c r="BC206" s="4">
        <f t="shared" si="199"/>
        <v>96448.741199999989</v>
      </c>
      <c r="BD206" s="4">
        <f t="shared" si="200"/>
        <v>20050.298450639995</v>
      </c>
      <c r="BE206" s="4">
        <f t="shared" si="201"/>
        <v>111528.9</v>
      </c>
      <c r="BF206" s="4">
        <f t="shared" si="202"/>
        <v>20234.276387999995</v>
      </c>
      <c r="BG206" s="4">
        <f t="shared" si="203"/>
        <v>0</v>
      </c>
      <c r="BH206" s="4">
        <f t="shared" si="204"/>
        <v>0</v>
      </c>
      <c r="BI206" s="4">
        <f t="shared" si="205"/>
        <v>0</v>
      </c>
      <c r="BJ206" s="4">
        <f t="shared" si="206"/>
        <v>11968.380000000005</v>
      </c>
      <c r="BK206" s="4">
        <f t="shared" si="207"/>
        <v>3111.7788000000014</v>
      </c>
      <c r="BL206" s="4">
        <f t="shared" si="208"/>
        <v>183.97793735999949</v>
      </c>
      <c r="BM206" s="4">
        <f t="shared" si="209"/>
        <v>76546.62</v>
      </c>
      <c r="BN206" s="4">
        <f t="shared" si="210"/>
        <v>3061.8647999999998</v>
      </c>
      <c r="BO206" s="4">
        <f t="shared" si="211"/>
        <v>3061.8647999999998</v>
      </c>
      <c r="BP206" s="4">
        <f t="shared" si="212"/>
        <v>796.08484799999997</v>
      </c>
      <c r="BQ206" s="4">
        <f t="shared" si="213"/>
        <v>100306.69084799998</v>
      </c>
      <c r="BR206" s="4">
        <f t="shared" si="214"/>
        <v>20097.365436345597</v>
      </c>
      <c r="BS206" s="4">
        <f t="shared" si="215"/>
        <v>47.066985705601837</v>
      </c>
      <c r="BT206" s="4">
        <f t="shared" si="216"/>
        <v>96448.741199999989</v>
      </c>
      <c r="BU206" s="4">
        <f t="shared" si="217"/>
        <v>111528.9</v>
      </c>
      <c r="BV206" s="7">
        <f t="shared" si="218"/>
        <v>1115289</v>
      </c>
      <c r="BW206" s="7">
        <f t="shared" si="219"/>
        <v>814061.73141683766</v>
      </c>
    </row>
    <row r="207" spans="1:75" x14ac:dyDescent="0.3">
      <c r="A207" s="3">
        <f t="shared" si="165"/>
        <v>203</v>
      </c>
      <c r="B207" t="str">
        <f>INDEX(Employees!$A:$A,A207+1)</f>
        <v>E203</v>
      </c>
      <c r="C207" t="str">
        <f>INDEX(Employees!$A:$Z,MATCH(B207,Employees!$A:$A,0),MATCH("category",Employees!$1:$1,0))</f>
        <v>Sales</v>
      </c>
      <c r="D207" t="str">
        <f>INDEX(Employees!$A:$Z,MATCH(B207,Employees!$A:$A,0),MATCH("gender",Employees!$1:$1,0))</f>
        <v>F</v>
      </c>
      <c r="E207" s="3">
        <f>INDEX(Employees!$A:$Z,MATCH(B207,Employees!$A:$A,0),MATCH("grade",Employees!$1:$1,0))</f>
        <v>12</v>
      </c>
      <c r="F207" s="3">
        <f>INDEX(Employees!$A:$Z,MATCH(B207,Employees!$A:$A,0),MATCH("rating",Employees!$1:$1,0))</f>
        <v>4</v>
      </c>
      <c r="G207" s="22">
        <f>INDEX(Employees!$A:$Z,MATCH(B207,Employees!$A:$A,0),MATCH("hire_date",Employees!$1:$1,0))</f>
        <v>42935</v>
      </c>
      <c r="H207" s="22">
        <f>INDEX(Employees!$A:$Z,MATCH(B207,Employees!$A:$A,0),MATCH("last_change_date",Employees!$1:$1,0))</f>
        <v>46113</v>
      </c>
      <c r="I207" s="4">
        <f>INDEX(Employees!$A:$Z,MATCH(B207,Employees!$A:$A,0),MATCH("base_salary",Employees!$1:$1,0))</f>
        <v>99135.65</v>
      </c>
      <c r="J207" s="5">
        <f>INDEX(Employees!$A:$Z,MATCH(B207,Employees!$A:$A,0),MATCH("bonus_pct",Employees!$1:$1,0))/100</f>
        <v>0.13</v>
      </c>
      <c r="K207" s="7">
        <f>INDEX(Employees!$A:$Z,MATCH(B207,Employees!$A:$A,0),MATCH("fte",Employees!$1:$1,0))</f>
        <v>1</v>
      </c>
      <c r="L207" s="3">
        <f>IF(ISNA(MATCH(C207&amp;"|"&amp;E207,Bands!$F:$F,0)),0,1)</f>
        <v>1</v>
      </c>
      <c r="M207" s="4">
        <f>INDEX(Bands!$C:$C,MATCH(C207&amp;"|"&amp;E207,Bands!$F:$F,0))</f>
        <v>85600</v>
      </c>
      <c r="N207" s="4">
        <f>INDEX(Bands!$D:$D,MATCH(C207&amp;"|"&amp;E207,Bands!$F:$F,0))</f>
        <v>111300</v>
      </c>
      <c r="O207" s="4">
        <f>INDEX(Bands!$E:$E,MATCH(C207&amp;"|"&amp;E207,Bands!$F:$F,0))</f>
        <v>137000</v>
      </c>
      <c r="P207" s="7">
        <f t="shared" si="166"/>
        <v>9.7002053388090346</v>
      </c>
      <c r="Q207" s="4">
        <f t="shared" si="167"/>
        <v>112023.28449999998</v>
      </c>
      <c r="R207" s="7">
        <f t="shared" si="168"/>
        <v>144</v>
      </c>
      <c r="S207" s="7">
        <f t="shared" si="169"/>
        <v>94.093983615059301</v>
      </c>
      <c r="T207" s="7">
        <f t="shared" si="170"/>
        <v>116.40246406570841</v>
      </c>
      <c r="U207" s="7">
        <f t="shared" si="171"/>
        <v>1344279.4139999999</v>
      </c>
      <c r="V207" s="7">
        <f t="shared" si="172"/>
        <v>1086648.8623778231</v>
      </c>
      <c r="W207" s="4">
        <f t="shared" si="173"/>
        <v>112023.28</v>
      </c>
      <c r="X207" s="3">
        <f t="shared" si="174"/>
        <v>23</v>
      </c>
      <c r="Y207" s="4">
        <f>INDEX(Categories!$AH:$AH,MATCH(C207,Categories!$A:$A,0))</f>
        <v>85035.918249999988</v>
      </c>
      <c r="Z207" s="3">
        <f>IF(AND(D207="F",Q207&lt;Y207,INDEX(Categories!$AI:$AI,MATCH(C207,Categories!$A:$A,0))&gt;0),1,0)</f>
        <v>0</v>
      </c>
      <c r="AA207" s="4">
        <f t="shared" si="175"/>
        <v>0</v>
      </c>
      <c r="AB207" s="4">
        <f>IF(Z207=1,INDEX(Categories!$AI:$AI,MATCH(C207,Categories!$A:$A,0))*AA207/INDEX(Categories!$AJ:$AJ,MATCH(C207,Categories!$A:$A,0)),0)</f>
        <v>0</v>
      </c>
      <c r="AC207" s="4">
        <f t="shared" si="176"/>
        <v>0</v>
      </c>
      <c r="AD207" s="4">
        <f t="shared" si="177"/>
        <v>99135.65</v>
      </c>
      <c r="AE207" s="3">
        <f t="shared" si="178"/>
        <v>0</v>
      </c>
      <c r="AF207" s="3">
        <f t="shared" si="179"/>
        <v>116</v>
      </c>
      <c r="AG207" s="3">
        <f t="shared" si="180"/>
        <v>12</v>
      </c>
      <c r="AH207" s="3">
        <f t="shared" si="181"/>
        <v>1</v>
      </c>
      <c r="AI207" s="5">
        <f t="shared" si="182"/>
        <v>0.89070664869721472</v>
      </c>
      <c r="AJ207" s="3">
        <f>MATCH(AI207,Inputs!$B$31:$B$34,1)</f>
        <v>1</v>
      </c>
      <c r="AK207" s="5">
        <f>INDEX(Inputs!$C$21:$C$25,MATCH(F207,Inputs!$A$21:$A$25,0))</f>
        <v>1.05</v>
      </c>
      <c r="AL207" s="5">
        <f>INDEX(Inputs!$D$21:$D$25,MATCH(F207,Inputs!$A$21:$A$25,0))</f>
        <v>0.01</v>
      </c>
      <c r="AM207" s="4">
        <f t="shared" si="183"/>
        <v>116865</v>
      </c>
      <c r="AN207" s="4">
        <f t="shared" si="184"/>
        <v>17729.350000000006</v>
      </c>
      <c r="AO207" s="3">
        <f t="shared" si="185"/>
        <v>1</v>
      </c>
      <c r="AP207" s="4">
        <f t="shared" si="186"/>
        <v>29740.694999999996</v>
      </c>
      <c r="AQ207" s="4">
        <f t="shared" si="187"/>
        <v>991.35649999999998</v>
      </c>
      <c r="AR207" s="4">
        <f t="shared" si="188"/>
        <v>17729.350000000006</v>
      </c>
      <c r="AS207" s="3">
        <f t="shared" si="189"/>
        <v>0</v>
      </c>
      <c r="AT207" s="4">
        <f t="shared" si="190"/>
        <v>17729.350000000006</v>
      </c>
      <c r="AU207" s="4">
        <f t="shared" si="191"/>
        <v>37864.350000000006</v>
      </c>
      <c r="AV207" s="4">
        <f t="shared" si="192"/>
        <v>17729.350000000006</v>
      </c>
      <c r="AW207" s="4">
        <f t="shared" si="193"/>
        <v>17729.350000000006</v>
      </c>
      <c r="AX207" s="5">
        <f t="shared" si="194"/>
        <v>0.17883929746766181</v>
      </c>
      <c r="AY207" s="4">
        <f t="shared" si="195"/>
        <v>116865</v>
      </c>
      <c r="AZ207" s="3">
        <f t="shared" si="196"/>
        <v>0</v>
      </c>
      <c r="BA207" s="4">
        <f t="shared" si="197"/>
        <v>112023.28449999998</v>
      </c>
      <c r="BB207" s="4">
        <f t="shared" si="198"/>
        <v>20240.307878899996</v>
      </c>
      <c r="BC207" s="4">
        <f t="shared" si="199"/>
        <v>112023.28449999998</v>
      </c>
      <c r="BD207" s="4">
        <f t="shared" si="200"/>
        <v>20240.307878899996</v>
      </c>
      <c r="BE207" s="4">
        <f t="shared" si="201"/>
        <v>132057.44999999998</v>
      </c>
      <c r="BF207" s="4">
        <f t="shared" si="202"/>
        <v>20484.724697999995</v>
      </c>
      <c r="BG207" s="4">
        <f t="shared" si="203"/>
        <v>0</v>
      </c>
      <c r="BH207" s="4">
        <f t="shared" si="204"/>
        <v>0</v>
      </c>
      <c r="BI207" s="4">
        <f t="shared" si="205"/>
        <v>0</v>
      </c>
      <c r="BJ207" s="4">
        <f t="shared" si="206"/>
        <v>17729.350000000006</v>
      </c>
      <c r="BK207" s="4">
        <f t="shared" si="207"/>
        <v>2304.8155000000006</v>
      </c>
      <c r="BL207" s="4">
        <f t="shared" si="208"/>
        <v>244.41681909999897</v>
      </c>
      <c r="BM207" s="4">
        <f t="shared" si="209"/>
        <v>99135.65</v>
      </c>
      <c r="BN207" s="4">
        <f t="shared" si="210"/>
        <v>3965.4259999999999</v>
      </c>
      <c r="BO207" s="4">
        <f t="shared" si="211"/>
        <v>3965.4259999999999</v>
      </c>
      <c r="BP207" s="4">
        <f t="shared" si="212"/>
        <v>515.50538000000006</v>
      </c>
      <c r="BQ207" s="4">
        <f t="shared" si="213"/>
        <v>116504.21587999999</v>
      </c>
      <c r="BR207" s="4">
        <f t="shared" si="214"/>
        <v>20294.975241735996</v>
      </c>
      <c r="BS207" s="4">
        <f t="shared" si="215"/>
        <v>54.667362836000393</v>
      </c>
      <c r="BT207" s="4">
        <f t="shared" si="216"/>
        <v>112023.28449999998</v>
      </c>
      <c r="BU207" s="4">
        <f t="shared" si="217"/>
        <v>132057.44999999998</v>
      </c>
      <c r="BV207" s="7">
        <f t="shared" si="218"/>
        <v>1584689.4</v>
      </c>
      <c r="BW207" s="7">
        <f t="shared" si="219"/>
        <v>1280984.3815195069</v>
      </c>
    </row>
    <row r="208" spans="1:75" x14ac:dyDescent="0.3">
      <c r="A208" s="3">
        <f t="shared" si="165"/>
        <v>204</v>
      </c>
      <c r="B208" t="str">
        <f>INDEX(Employees!$A:$A,A208+1)</f>
        <v>E204</v>
      </c>
      <c r="C208" t="str">
        <f>INDEX(Employees!$A:$Z,MATCH(B208,Employees!$A:$A,0),MATCH("category",Employees!$1:$1,0))</f>
        <v>Sales</v>
      </c>
      <c r="D208" t="str">
        <f>INDEX(Employees!$A:$Z,MATCH(B208,Employees!$A:$A,0),MATCH("gender",Employees!$1:$1,0))</f>
        <v>M</v>
      </c>
      <c r="E208" s="3">
        <f>INDEX(Employees!$A:$Z,MATCH(B208,Employees!$A:$A,0),MATCH("grade",Employees!$1:$1,0))</f>
        <v>12</v>
      </c>
      <c r="F208" s="3">
        <f>INDEX(Employees!$A:$Z,MATCH(B208,Employees!$A:$A,0),MATCH("rating",Employees!$1:$1,0))</f>
        <v>4</v>
      </c>
      <c r="G208" s="22">
        <f>INDEX(Employees!$A:$Z,MATCH(B208,Employees!$A:$A,0),MATCH("hire_date",Employees!$1:$1,0))</f>
        <v>42935</v>
      </c>
      <c r="H208" s="22">
        <f>INDEX(Employees!$A:$Z,MATCH(B208,Employees!$A:$A,0),MATCH("last_change_date",Employees!$1:$1,0))</f>
        <v>46113</v>
      </c>
      <c r="I208" s="4">
        <f>INDEX(Employees!$A:$Z,MATCH(B208,Employees!$A:$A,0),MATCH("base_salary",Employees!$1:$1,0))</f>
        <v>99135.65</v>
      </c>
      <c r="J208" s="5">
        <f>INDEX(Employees!$A:$Z,MATCH(B208,Employees!$A:$A,0),MATCH("bonus_pct",Employees!$1:$1,0))/100</f>
        <v>0.26</v>
      </c>
      <c r="K208" s="7">
        <f>INDEX(Employees!$A:$Z,MATCH(B208,Employees!$A:$A,0),MATCH("fte",Employees!$1:$1,0))</f>
        <v>1</v>
      </c>
      <c r="L208" s="3">
        <f>IF(ISNA(MATCH(C208&amp;"|"&amp;E208,Bands!$F:$F,0)),0,1)</f>
        <v>1</v>
      </c>
      <c r="M208" s="4">
        <f>INDEX(Bands!$C:$C,MATCH(C208&amp;"|"&amp;E208,Bands!$F:$F,0))</f>
        <v>85600</v>
      </c>
      <c r="N208" s="4">
        <f>INDEX(Bands!$D:$D,MATCH(C208&amp;"|"&amp;E208,Bands!$F:$F,0))</f>
        <v>111300</v>
      </c>
      <c r="O208" s="4">
        <f>INDEX(Bands!$E:$E,MATCH(C208&amp;"|"&amp;E208,Bands!$F:$F,0))</f>
        <v>137000</v>
      </c>
      <c r="P208" s="7">
        <f t="shared" si="166"/>
        <v>9.7002053388090346</v>
      </c>
      <c r="Q208" s="4">
        <f t="shared" si="167"/>
        <v>124910.91899999999</v>
      </c>
      <c r="R208" s="7">
        <f t="shared" si="168"/>
        <v>144</v>
      </c>
      <c r="S208" s="7">
        <f t="shared" si="169"/>
        <v>94.093983615059301</v>
      </c>
      <c r="T208" s="7">
        <f t="shared" si="170"/>
        <v>116.40246406570841</v>
      </c>
      <c r="U208" s="7">
        <f t="shared" si="171"/>
        <v>1498931.0279999999</v>
      </c>
      <c r="V208" s="7">
        <f t="shared" si="172"/>
        <v>1211661.5633593427</v>
      </c>
      <c r="W208" s="4">
        <f t="shared" si="173"/>
        <v>124910.92</v>
      </c>
      <c r="X208" s="3">
        <f t="shared" si="174"/>
        <v>26</v>
      </c>
      <c r="Y208" s="4">
        <f>INDEX(Categories!$AH:$AH,MATCH(C208,Categories!$A:$A,0))</f>
        <v>85035.918249999988</v>
      </c>
      <c r="Z208" s="3">
        <f>IF(AND(D208="F",Q208&lt;Y208,INDEX(Categories!$AI:$AI,MATCH(C208,Categories!$A:$A,0))&gt;0),1,0)</f>
        <v>0</v>
      </c>
      <c r="AA208" s="4">
        <f t="shared" si="175"/>
        <v>0</v>
      </c>
      <c r="AB208" s="4">
        <f>IF(Z208=1,INDEX(Categories!$AI:$AI,MATCH(C208,Categories!$A:$A,0))*AA208/INDEX(Categories!$AJ:$AJ,MATCH(C208,Categories!$A:$A,0)),0)</f>
        <v>0</v>
      </c>
      <c r="AC208" s="4">
        <f t="shared" si="176"/>
        <v>0</v>
      </c>
      <c r="AD208" s="4">
        <f t="shared" si="177"/>
        <v>99135.65</v>
      </c>
      <c r="AE208" s="3">
        <f t="shared" si="178"/>
        <v>0</v>
      </c>
      <c r="AF208" s="3">
        <f t="shared" si="179"/>
        <v>116</v>
      </c>
      <c r="AG208" s="3">
        <f t="shared" si="180"/>
        <v>12</v>
      </c>
      <c r="AH208" s="3">
        <f t="shared" si="181"/>
        <v>1</v>
      </c>
      <c r="AI208" s="5">
        <f t="shared" si="182"/>
        <v>0.89070664869721472</v>
      </c>
      <c r="AJ208" s="3">
        <f>MATCH(AI208,Inputs!$B$31:$B$34,1)</f>
        <v>1</v>
      </c>
      <c r="AK208" s="5">
        <f>INDEX(Inputs!$C$21:$C$25,MATCH(F208,Inputs!$A$21:$A$25,0))</f>
        <v>1.05</v>
      </c>
      <c r="AL208" s="5">
        <f>INDEX(Inputs!$D$21:$D$25,MATCH(F208,Inputs!$A$21:$A$25,0))</f>
        <v>0.01</v>
      </c>
      <c r="AM208" s="4">
        <f t="shared" si="183"/>
        <v>116865</v>
      </c>
      <c r="AN208" s="4">
        <f t="shared" si="184"/>
        <v>17729.350000000006</v>
      </c>
      <c r="AO208" s="3">
        <f t="shared" si="185"/>
        <v>1</v>
      </c>
      <c r="AP208" s="4">
        <f t="shared" si="186"/>
        <v>29740.694999999996</v>
      </c>
      <c r="AQ208" s="4">
        <f t="shared" si="187"/>
        <v>991.35649999999998</v>
      </c>
      <c r="AR208" s="4">
        <f t="shared" si="188"/>
        <v>17729.350000000006</v>
      </c>
      <c r="AS208" s="3">
        <f t="shared" si="189"/>
        <v>0</v>
      </c>
      <c r="AT208" s="4">
        <f t="shared" si="190"/>
        <v>17729.350000000006</v>
      </c>
      <c r="AU208" s="4">
        <f t="shared" si="191"/>
        <v>37864.350000000006</v>
      </c>
      <c r="AV208" s="4">
        <f t="shared" si="192"/>
        <v>17729.350000000006</v>
      </c>
      <c r="AW208" s="4">
        <f t="shared" si="193"/>
        <v>17729.350000000006</v>
      </c>
      <c r="AX208" s="5">
        <f t="shared" si="194"/>
        <v>0.17883929746766181</v>
      </c>
      <c r="AY208" s="4">
        <f t="shared" si="195"/>
        <v>116865</v>
      </c>
      <c r="AZ208" s="3">
        <f t="shared" si="196"/>
        <v>0</v>
      </c>
      <c r="BA208" s="4">
        <f t="shared" si="197"/>
        <v>124910.91899999999</v>
      </c>
      <c r="BB208" s="4">
        <f t="shared" si="198"/>
        <v>20397.537019799995</v>
      </c>
      <c r="BC208" s="4">
        <f t="shared" si="199"/>
        <v>124910.91899999999</v>
      </c>
      <c r="BD208" s="4">
        <f t="shared" si="200"/>
        <v>20397.537019799995</v>
      </c>
      <c r="BE208" s="4">
        <f t="shared" si="201"/>
        <v>147249.9</v>
      </c>
      <c r="BF208" s="4">
        <f t="shared" si="202"/>
        <v>20670.072587999995</v>
      </c>
      <c r="BG208" s="4">
        <f t="shared" si="203"/>
        <v>0</v>
      </c>
      <c r="BH208" s="4">
        <f t="shared" si="204"/>
        <v>0</v>
      </c>
      <c r="BI208" s="4">
        <f t="shared" si="205"/>
        <v>0</v>
      </c>
      <c r="BJ208" s="4">
        <f t="shared" si="206"/>
        <v>17729.350000000006</v>
      </c>
      <c r="BK208" s="4">
        <f t="shared" si="207"/>
        <v>4609.6310000000012</v>
      </c>
      <c r="BL208" s="4">
        <f t="shared" si="208"/>
        <v>272.53556820000085</v>
      </c>
      <c r="BM208" s="4">
        <f t="shared" si="209"/>
        <v>99135.65</v>
      </c>
      <c r="BN208" s="4">
        <f t="shared" si="210"/>
        <v>3965.4259999999999</v>
      </c>
      <c r="BO208" s="4">
        <f t="shared" si="211"/>
        <v>3965.4259999999999</v>
      </c>
      <c r="BP208" s="4">
        <f t="shared" si="212"/>
        <v>1031.0107600000001</v>
      </c>
      <c r="BQ208" s="4">
        <f t="shared" si="213"/>
        <v>129907.35576000001</v>
      </c>
      <c r="BR208" s="4">
        <f t="shared" si="214"/>
        <v>20458.493548271996</v>
      </c>
      <c r="BS208" s="4">
        <f t="shared" si="215"/>
        <v>60.956528472001082</v>
      </c>
      <c r="BT208" s="4">
        <f t="shared" si="216"/>
        <v>124910.91899999999</v>
      </c>
      <c r="BU208" s="4">
        <f t="shared" si="217"/>
        <v>147249.9</v>
      </c>
      <c r="BV208" s="7">
        <f t="shared" si="218"/>
        <v>1766998.7999999998</v>
      </c>
      <c r="BW208" s="7">
        <f t="shared" si="219"/>
        <v>1428354.2661190964</v>
      </c>
    </row>
    <row r="209" spans="1:75" x14ac:dyDescent="0.3">
      <c r="A209" s="3">
        <f t="shared" si="165"/>
        <v>205</v>
      </c>
      <c r="B209" t="str">
        <f>INDEX(Employees!$A:$A,A209+1)</f>
        <v>E205</v>
      </c>
      <c r="C209" t="str">
        <f>INDEX(Employees!$A:$Z,MATCH(B209,Employees!$A:$A,0),MATCH("category",Employees!$1:$1,0))</f>
        <v>Sales</v>
      </c>
      <c r="D209" t="str">
        <f>INDEX(Employees!$A:$Z,MATCH(B209,Employees!$A:$A,0),MATCH("gender",Employees!$1:$1,0))</f>
        <v>F</v>
      </c>
      <c r="E209" s="3">
        <f>INDEX(Employees!$A:$Z,MATCH(B209,Employees!$A:$A,0),MATCH("grade",Employees!$1:$1,0))</f>
        <v>11</v>
      </c>
      <c r="F209" s="3">
        <f>INDEX(Employees!$A:$Z,MATCH(B209,Employees!$A:$A,0),MATCH("rating",Employees!$1:$1,0))</f>
        <v>3</v>
      </c>
      <c r="G209" s="22">
        <f>INDEX(Employees!$A:$Z,MATCH(B209,Employees!$A:$A,0),MATCH("hire_date",Employees!$1:$1,0))</f>
        <v>43629</v>
      </c>
      <c r="H209" s="22">
        <f>INDEX(Employees!$A:$Z,MATCH(B209,Employees!$A:$A,0),MATCH("last_change_date",Employees!$1:$1,0))</f>
        <v>46113</v>
      </c>
      <c r="I209" s="4">
        <f>INDEX(Employees!$A:$Z,MATCH(B209,Employees!$A:$A,0),MATCH("base_salary",Employees!$1:$1,0))</f>
        <v>86311.75</v>
      </c>
      <c r="J209" s="5">
        <f>INDEX(Employees!$A:$Z,MATCH(B209,Employees!$A:$A,0),MATCH("bonus_pct",Employees!$1:$1,0))/100</f>
        <v>0.13</v>
      </c>
      <c r="K209" s="7">
        <f>INDEX(Employees!$A:$Z,MATCH(B209,Employees!$A:$A,0),MATCH("fte",Employees!$1:$1,0))</f>
        <v>1</v>
      </c>
      <c r="L209" s="3">
        <f>IF(ISNA(MATCH(C209&amp;"|"&amp;E209,Bands!$F:$F,0)),0,1)</f>
        <v>1</v>
      </c>
      <c r="M209" s="4">
        <f>INDEX(Bands!$C:$C,MATCH(C209&amp;"|"&amp;E209,Bands!$F:$F,0))</f>
        <v>77500</v>
      </c>
      <c r="N209" s="4">
        <f>INDEX(Bands!$D:$D,MATCH(C209&amp;"|"&amp;E209,Bands!$F:$F,0))</f>
        <v>96900</v>
      </c>
      <c r="O209" s="4">
        <f>INDEX(Bands!$E:$E,MATCH(C209&amp;"|"&amp;E209,Bands!$F:$F,0))</f>
        <v>116300</v>
      </c>
      <c r="P209" s="7">
        <f t="shared" si="166"/>
        <v>7.8001368925393564</v>
      </c>
      <c r="Q209" s="4">
        <f t="shared" si="167"/>
        <v>97532.277499999997</v>
      </c>
      <c r="R209" s="7">
        <f t="shared" si="168"/>
        <v>121</v>
      </c>
      <c r="S209" s="7">
        <f t="shared" si="169"/>
        <v>60.842135542353525</v>
      </c>
      <c r="T209" s="7">
        <f t="shared" si="170"/>
        <v>85.80150581793292</v>
      </c>
      <c r="U209" s="7">
        <f t="shared" si="171"/>
        <v>1072855.0525</v>
      </c>
      <c r="V209" s="7">
        <f t="shared" si="172"/>
        <v>760765.11594113614</v>
      </c>
      <c r="W209" s="4">
        <f t="shared" si="173"/>
        <v>97532.28</v>
      </c>
      <c r="X209" s="3">
        <f t="shared" si="174"/>
        <v>19</v>
      </c>
      <c r="Y209" s="4">
        <f>INDEX(Categories!$AH:$AH,MATCH(C209,Categories!$A:$A,0))</f>
        <v>85035.918249999988</v>
      </c>
      <c r="Z209" s="3">
        <f>IF(AND(D209="F",Q209&lt;Y209,INDEX(Categories!$AI:$AI,MATCH(C209,Categories!$A:$A,0))&gt;0),1,0)</f>
        <v>0</v>
      </c>
      <c r="AA209" s="4">
        <f t="shared" si="175"/>
        <v>0</v>
      </c>
      <c r="AB209" s="4">
        <f>IF(Z209=1,INDEX(Categories!$AI:$AI,MATCH(C209,Categories!$A:$A,0))*AA209/INDEX(Categories!$AJ:$AJ,MATCH(C209,Categories!$A:$A,0)),0)</f>
        <v>0</v>
      </c>
      <c r="AC209" s="4">
        <f t="shared" si="176"/>
        <v>0</v>
      </c>
      <c r="AD209" s="4">
        <f t="shared" si="177"/>
        <v>86311.75</v>
      </c>
      <c r="AE209" s="3">
        <f t="shared" si="178"/>
        <v>0</v>
      </c>
      <c r="AF209" s="3">
        <f t="shared" si="179"/>
        <v>93</v>
      </c>
      <c r="AG209" s="3">
        <f t="shared" si="180"/>
        <v>12</v>
      </c>
      <c r="AH209" s="3">
        <f t="shared" si="181"/>
        <v>1</v>
      </c>
      <c r="AI209" s="5">
        <f t="shared" si="182"/>
        <v>0.89073013415892677</v>
      </c>
      <c r="AJ209" s="3">
        <f>MATCH(AI209,Inputs!$B$31:$B$34,1)</f>
        <v>1</v>
      </c>
      <c r="AK209" s="5">
        <f>INDEX(Inputs!$C$21:$C$25,MATCH(F209,Inputs!$A$21:$A$25,0))</f>
        <v>1</v>
      </c>
      <c r="AL209" s="5">
        <f>INDEX(Inputs!$D$21:$D$25,MATCH(F209,Inputs!$A$21:$A$25,0))</f>
        <v>0</v>
      </c>
      <c r="AM209" s="4">
        <f t="shared" si="183"/>
        <v>96900</v>
      </c>
      <c r="AN209" s="4">
        <f t="shared" si="184"/>
        <v>10588.25</v>
      </c>
      <c r="AO209" s="3">
        <f t="shared" si="185"/>
        <v>1</v>
      </c>
      <c r="AP209" s="4">
        <f t="shared" si="186"/>
        <v>25893.524999999998</v>
      </c>
      <c r="AQ209" s="4">
        <f t="shared" si="187"/>
        <v>0</v>
      </c>
      <c r="AR209" s="4">
        <f t="shared" si="188"/>
        <v>10588.25</v>
      </c>
      <c r="AS209" s="3">
        <f t="shared" si="189"/>
        <v>0</v>
      </c>
      <c r="AT209" s="4">
        <f t="shared" si="190"/>
        <v>10588.25</v>
      </c>
      <c r="AU209" s="4">
        <f t="shared" si="191"/>
        <v>29988.25</v>
      </c>
      <c r="AV209" s="4">
        <f t="shared" si="192"/>
        <v>10588.25</v>
      </c>
      <c r="AW209" s="4">
        <f t="shared" si="193"/>
        <v>10588.25</v>
      </c>
      <c r="AX209" s="5">
        <f t="shared" si="194"/>
        <v>0.12267449101657654</v>
      </c>
      <c r="AY209" s="4">
        <f t="shared" si="195"/>
        <v>96900</v>
      </c>
      <c r="AZ209" s="3">
        <f t="shared" si="196"/>
        <v>0</v>
      </c>
      <c r="BA209" s="4">
        <f t="shared" si="197"/>
        <v>97532.277499999997</v>
      </c>
      <c r="BB209" s="4">
        <f t="shared" si="198"/>
        <v>20063.517593499997</v>
      </c>
      <c r="BC209" s="4">
        <f t="shared" si="199"/>
        <v>97532.277499999997</v>
      </c>
      <c r="BD209" s="4">
        <f t="shared" si="200"/>
        <v>20063.517593499997</v>
      </c>
      <c r="BE209" s="4">
        <f t="shared" si="201"/>
        <v>109496.99999999999</v>
      </c>
      <c r="BF209" s="4">
        <f t="shared" si="202"/>
        <v>20209.487207999995</v>
      </c>
      <c r="BG209" s="4">
        <f t="shared" si="203"/>
        <v>0</v>
      </c>
      <c r="BH209" s="4">
        <f t="shared" si="204"/>
        <v>0</v>
      </c>
      <c r="BI209" s="4">
        <f t="shared" si="205"/>
        <v>0</v>
      </c>
      <c r="BJ209" s="4">
        <f t="shared" si="206"/>
        <v>10588.25</v>
      </c>
      <c r="BK209" s="4">
        <f t="shared" si="207"/>
        <v>1376.4725000000001</v>
      </c>
      <c r="BL209" s="4">
        <f t="shared" si="208"/>
        <v>145.96961449999799</v>
      </c>
      <c r="BM209" s="4">
        <f t="shared" si="209"/>
        <v>86311.75</v>
      </c>
      <c r="BN209" s="4">
        <f t="shared" si="210"/>
        <v>3452.4700000000003</v>
      </c>
      <c r="BO209" s="4">
        <f t="shared" si="211"/>
        <v>3452.4700000000003</v>
      </c>
      <c r="BP209" s="4">
        <f t="shared" si="212"/>
        <v>448.82110000000006</v>
      </c>
      <c r="BQ209" s="4">
        <f t="shared" si="213"/>
        <v>101433.5686</v>
      </c>
      <c r="BR209" s="4">
        <f t="shared" si="214"/>
        <v>20111.113344919995</v>
      </c>
      <c r="BS209" s="4">
        <f t="shared" si="215"/>
        <v>47.595751419998123</v>
      </c>
      <c r="BT209" s="4">
        <f t="shared" si="216"/>
        <v>97532.277499999997</v>
      </c>
      <c r="BU209" s="4">
        <f t="shared" si="217"/>
        <v>109496.99999999999</v>
      </c>
      <c r="BV209" s="7">
        <f t="shared" si="218"/>
        <v>1204466.9999999998</v>
      </c>
      <c r="BW209" s="7">
        <f t="shared" si="219"/>
        <v>854091.58932238177</v>
      </c>
    </row>
    <row r="210" spans="1:75" x14ac:dyDescent="0.3">
      <c r="A210" s="3">
        <f t="shared" si="165"/>
        <v>206</v>
      </c>
      <c r="B210" t="str">
        <f>INDEX(Employees!$A:$A,A210+1)</f>
        <v>E206</v>
      </c>
      <c r="C210" t="str">
        <f>INDEX(Employees!$A:$Z,MATCH(B210,Employees!$A:$A,0),MATCH("category",Employees!$1:$1,0))</f>
        <v>Sales</v>
      </c>
      <c r="D210" t="str">
        <f>INDEX(Employees!$A:$Z,MATCH(B210,Employees!$A:$A,0),MATCH("gender",Employees!$1:$1,0))</f>
        <v>M</v>
      </c>
      <c r="E210" s="3">
        <f>INDEX(Employees!$A:$Z,MATCH(B210,Employees!$A:$A,0),MATCH("grade",Employees!$1:$1,0))</f>
        <v>11</v>
      </c>
      <c r="F210" s="3">
        <f>INDEX(Employees!$A:$Z,MATCH(B210,Employees!$A:$A,0),MATCH("rating",Employees!$1:$1,0))</f>
        <v>3</v>
      </c>
      <c r="G210" s="22">
        <f>INDEX(Employees!$A:$Z,MATCH(B210,Employees!$A:$A,0),MATCH("hire_date",Employees!$1:$1,0))</f>
        <v>43629</v>
      </c>
      <c r="H210" s="22">
        <f>INDEX(Employees!$A:$Z,MATCH(B210,Employees!$A:$A,0),MATCH("last_change_date",Employees!$1:$1,0))</f>
        <v>46113</v>
      </c>
      <c r="I210" s="4">
        <f>INDEX(Employees!$A:$Z,MATCH(B210,Employees!$A:$A,0),MATCH("base_salary",Employees!$1:$1,0))</f>
        <v>86311.75</v>
      </c>
      <c r="J210" s="5">
        <f>INDEX(Employees!$A:$Z,MATCH(B210,Employees!$A:$A,0),MATCH("bonus_pct",Employees!$1:$1,0))/100</f>
        <v>0.26</v>
      </c>
      <c r="K210" s="7">
        <f>INDEX(Employees!$A:$Z,MATCH(B210,Employees!$A:$A,0),MATCH("fte",Employees!$1:$1,0))</f>
        <v>1</v>
      </c>
      <c r="L210" s="3">
        <f>IF(ISNA(MATCH(C210&amp;"|"&amp;E210,Bands!$F:$F,0)),0,1)</f>
        <v>1</v>
      </c>
      <c r="M210" s="4">
        <f>INDEX(Bands!$C:$C,MATCH(C210&amp;"|"&amp;E210,Bands!$F:$F,0))</f>
        <v>77500</v>
      </c>
      <c r="N210" s="4">
        <f>INDEX(Bands!$D:$D,MATCH(C210&amp;"|"&amp;E210,Bands!$F:$F,0))</f>
        <v>96900</v>
      </c>
      <c r="O210" s="4">
        <f>INDEX(Bands!$E:$E,MATCH(C210&amp;"|"&amp;E210,Bands!$F:$F,0))</f>
        <v>116300</v>
      </c>
      <c r="P210" s="7">
        <f t="shared" si="166"/>
        <v>7.8001368925393564</v>
      </c>
      <c r="Q210" s="4">
        <f t="shared" si="167"/>
        <v>108752.80500000001</v>
      </c>
      <c r="R210" s="7">
        <f t="shared" si="168"/>
        <v>121</v>
      </c>
      <c r="S210" s="7">
        <f t="shared" si="169"/>
        <v>60.842135542353525</v>
      </c>
      <c r="T210" s="7">
        <f t="shared" si="170"/>
        <v>85.80150581793292</v>
      </c>
      <c r="U210" s="7">
        <f t="shared" si="171"/>
        <v>1196280.855</v>
      </c>
      <c r="V210" s="7">
        <f t="shared" si="172"/>
        <v>848286.76644763863</v>
      </c>
      <c r="W210" s="4">
        <f t="shared" si="173"/>
        <v>108752.81</v>
      </c>
      <c r="X210" s="3">
        <f t="shared" si="174"/>
        <v>22</v>
      </c>
      <c r="Y210" s="4">
        <f>INDEX(Categories!$AH:$AH,MATCH(C210,Categories!$A:$A,0))</f>
        <v>85035.918249999988</v>
      </c>
      <c r="Z210" s="3">
        <f>IF(AND(D210="F",Q210&lt;Y210,INDEX(Categories!$AI:$AI,MATCH(C210,Categories!$A:$A,0))&gt;0),1,0)</f>
        <v>0</v>
      </c>
      <c r="AA210" s="4">
        <f t="shared" si="175"/>
        <v>0</v>
      </c>
      <c r="AB210" s="4">
        <f>IF(Z210=1,INDEX(Categories!$AI:$AI,MATCH(C210,Categories!$A:$A,0))*AA210/INDEX(Categories!$AJ:$AJ,MATCH(C210,Categories!$A:$A,0)),0)</f>
        <v>0</v>
      </c>
      <c r="AC210" s="4">
        <f t="shared" si="176"/>
        <v>0</v>
      </c>
      <c r="AD210" s="4">
        <f t="shared" si="177"/>
        <v>86311.75</v>
      </c>
      <c r="AE210" s="3">
        <f t="shared" si="178"/>
        <v>0</v>
      </c>
      <c r="AF210" s="3">
        <f t="shared" si="179"/>
        <v>93</v>
      </c>
      <c r="AG210" s="3">
        <f t="shared" si="180"/>
        <v>12</v>
      </c>
      <c r="AH210" s="3">
        <f t="shared" si="181"/>
        <v>1</v>
      </c>
      <c r="AI210" s="5">
        <f t="shared" si="182"/>
        <v>0.89073013415892677</v>
      </c>
      <c r="AJ210" s="3">
        <f>MATCH(AI210,Inputs!$B$31:$B$34,1)</f>
        <v>1</v>
      </c>
      <c r="AK210" s="5">
        <f>INDEX(Inputs!$C$21:$C$25,MATCH(F210,Inputs!$A$21:$A$25,0))</f>
        <v>1</v>
      </c>
      <c r="AL210" s="5">
        <f>INDEX(Inputs!$D$21:$D$25,MATCH(F210,Inputs!$A$21:$A$25,0))</f>
        <v>0</v>
      </c>
      <c r="AM210" s="4">
        <f t="shared" si="183"/>
        <v>96900</v>
      </c>
      <c r="AN210" s="4">
        <f t="shared" si="184"/>
        <v>10588.25</v>
      </c>
      <c r="AO210" s="3">
        <f t="shared" si="185"/>
        <v>1</v>
      </c>
      <c r="AP210" s="4">
        <f t="shared" si="186"/>
        <v>25893.524999999998</v>
      </c>
      <c r="AQ210" s="4">
        <f t="shared" si="187"/>
        <v>0</v>
      </c>
      <c r="AR210" s="4">
        <f t="shared" si="188"/>
        <v>10588.25</v>
      </c>
      <c r="AS210" s="3">
        <f t="shared" si="189"/>
        <v>0</v>
      </c>
      <c r="AT210" s="4">
        <f t="shared" si="190"/>
        <v>10588.25</v>
      </c>
      <c r="AU210" s="4">
        <f t="shared" si="191"/>
        <v>29988.25</v>
      </c>
      <c r="AV210" s="4">
        <f t="shared" si="192"/>
        <v>10588.25</v>
      </c>
      <c r="AW210" s="4">
        <f t="shared" si="193"/>
        <v>10588.25</v>
      </c>
      <c r="AX210" s="5">
        <f t="shared" si="194"/>
        <v>0.12267449101657654</v>
      </c>
      <c r="AY210" s="4">
        <f t="shared" si="195"/>
        <v>96900</v>
      </c>
      <c r="AZ210" s="3">
        <f t="shared" si="196"/>
        <v>0</v>
      </c>
      <c r="BA210" s="4">
        <f t="shared" si="197"/>
        <v>108752.80500000001</v>
      </c>
      <c r="BB210" s="4">
        <f t="shared" si="198"/>
        <v>20200.408028999995</v>
      </c>
      <c r="BC210" s="4">
        <f t="shared" si="199"/>
        <v>108752.80500000001</v>
      </c>
      <c r="BD210" s="4">
        <f t="shared" si="200"/>
        <v>20200.408028999995</v>
      </c>
      <c r="BE210" s="4">
        <f t="shared" si="201"/>
        <v>122094</v>
      </c>
      <c r="BF210" s="4">
        <f t="shared" si="202"/>
        <v>20363.170607999997</v>
      </c>
      <c r="BG210" s="4">
        <f t="shared" si="203"/>
        <v>0</v>
      </c>
      <c r="BH210" s="4">
        <f t="shared" si="204"/>
        <v>0</v>
      </c>
      <c r="BI210" s="4">
        <f t="shared" si="205"/>
        <v>0</v>
      </c>
      <c r="BJ210" s="4">
        <f t="shared" si="206"/>
        <v>10588.25</v>
      </c>
      <c r="BK210" s="4">
        <f t="shared" si="207"/>
        <v>2752.9450000000002</v>
      </c>
      <c r="BL210" s="4">
        <f t="shared" si="208"/>
        <v>162.76257900000201</v>
      </c>
      <c r="BM210" s="4">
        <f t="shared" si="209"/>
        <v>86311.75</v>
      </c>
      <c r="BN210" s="4">
        <f t="shared" si="210"/>
        <v>3452.4700000000003</v>
      </c>
      <c r="BO210" s="4">
        <f t="shared" si="211"/>
        <v>3452.4700000000003</v>
      </c>
      <c r="BP210" s="4">
        <f t="shared" si="212"/>
        <v>897.64220000000012</v>
      </c>
      <c r="BQ210" s="4">
        <f t="shared" si="213"/>
        <v>113102.9172</v>
      </c>
      <c r="BR210" s="4">
        <f t="shared" si="214"/>
        <v>20253.479397839998</v>
      </c>
      <c r="BS210" s="4">
        <f t="shared" si="215"/>
        <v>53.071368840002833</v>
      </c>
      <c r="BT210" s="4">
        <f t="shared" si="216"/>
        <v>108752.80500000001</v>
      </c>
      <c r="BU210" s="4">
        <f t="shared" si="217"/>
        <v>122094</v>
      </c>
      <c r="BV210" s="7">
        <f t="shared" si="218"/>
        <v>1343034</v>
      </c>
      <c r="BW210" s="7">
        <f t="shared" si="219"/>
        <v>952349.91375770012</v>
      </c>
    </row>
    <row r="211" spans="1:75" x14ac:dyDescent="0.3">
      <c r="A211" s="3">
        <f t="shared" si="165"/>
        <v>207</v>
      </c>
      <c r="B211" t="str">
        <f>INDEX(Employees!$A:$A,A211+1)</f>
        <v>E207</v>
      </c>
      <c r="C211" t="str">
        <f>INDEX(Employees!$A:$Z,MATCH(B211,Employees!$A:$A,0),MATCH("category",Employees!$1:$1,0))</f>
        <v>Sales</v>
      </c>
      <c r="D211" t="str">
        <f>INDEX(Employees!$A:$Z,MATCH(B211,Employees!$A:$A,0),MATCH("gender",Employees!$1:$1,0))</f>
        <v>F</v>
      </c>
      <c r="E211" s="3">
        <f>INDEX(Employees!$A:$Z,MATCH(B211,Employees!$A:$A,0),MATCH("grade",Employees!$1:$1,0))</f>
        <v>10</v>
      </c>
      <c r="F211" s="3">
        <f>INDEX(Employees!$A:$Z,MATCH(B211,Employees!$A:$A,0),MATCH("rating",Employees!$1:$1,0))</f>
        <v>2</v>
      </c>
      <c r="G211" s="22">
        <f>INDEX(Employees!$A:$Z,MATCH(B211,Employees!$A:$A,0),MATCH("hire_date",Employees!$1:$1,0))</f>
        <v>44652</v>
      </c>
      <c r="H211" s="22">
        <f>INDEX(Employees!$A:$Z,MATCH(B211,Employees!$A:$A,0),MATCH("last_change_date",Employees!$1:$1,0))</f>
        <v>46113</v>
      </c>
      <c r="I211" s="4">
        <f>INDEX(Employees!$A:$Z,MATCH(B211,Employees!$A:$A,0),MATCH("base_salary",Employees!$1:$1,0))</f>
        <v>74166.399999999994</v>
      </c>
      <c r="J211" s="5">
        <f>INDEX(Employees!$A:$Z,MATCH(B211,Employees!$A:$A,0),MATCH("bonus_pct",Employees!$1:$1,0))/100</f>
        <v>0.13</v>
      </c>
      <c r="K211" s="7">
        <f>INDEX(Employees!$A:$Z,MATCH(B211,Employees!$A:$A,0),MATCH("fte",Employees!$1:$1,0))</f>
        <v>1</v>
      </c>
      <c r="L211" s="3">
        <f>IF(ISNA(MATCH(C211&amp;"|"&amp;E211,Bands!$F:$F,0)),0,1)</f>
        <v>1</v>
      </c>
      <c r="M211" s="4">
        <f>INDEX(Bands!$C:$C,MATCH(C211&amp;"|"&amp;E211,Bands!$F:$F,0))</f>
        <v>67400</v>
      </c>
      <c r="N211" s="4">
        <f>INDEX(Bands!$D:$D,MATCH(C211&amp;"|"&amp;E211,Bands!$F:$F,0))</f>
        <v>84300</v>
      </c>
      <c r="O211" s="4">
        <f>INDEX(Bands!$E:$E,MATCH(C211&amp;"|"&amp;E211,Bands!$F:$F,0))</f>
        <v>101100</v>
      </c>
      <c r="P211" s="7">
        <f t="shared" si="166"/>
        <v>4.9993155373032172</v>
      </c>
      <c r="Q211" s="4">
        <f t="shared" si="167"/>
        <v>83808.031999999992</v>
      </c>
      <c r="R211" s="7">
        <f t="shared" si="168"/>
        <v>100</v>
      </c>
      <c r="S211" s="7">
        <f t="shared" si="169"/>
        <v>24.993155841521354</v>
      </c>
      <c r="T211" s="7">
        <f t="shared" si="170"/>
        <v>49.993155373032174</v>
      </c>
      <c r="U211" s="7">
        <f t="shared" si="171"/>
        <v>838080.32</v>
      </c>
      <c r="V211" s="7">
        <f t="shared" si="172"/>
        <v>418982.79652840516</v>
      </c>
      <c r="W211" s="4">
        <f t="shared" si="173"/>
        <v>83808.03</v>
      </c>
      <c r="X211" s="3">
        <f t="shared" si="174"/>
        <v>13</v>
      </c>
      <c r="Y211" s="4">
        <f>INDEX(Categories!$AH:$AH,MATCH(C211,Categories!$A:$A,0))</f>
        <v>85035.918249999988</v>
      </c>
      <c r="Z211" s="3">
        <f>IF(AND(D211="F",Q211&lt;Y211,INDEX(Categories!$AI:$AI,MATCH(C211,Categories!$A:$A,0))&gt;0),1,0)</f>
        <v>1</v>
      </c>
      <c r="AA211" s="4">
        <f t="shared" si="175"/>
        <v>1227.8862499999959</v>
      </c>
      <c r="AB211" s="4">
        <f>IF(Z211=1,INDEX(Categories!$AI:$AI,MATCH(C211,Categories!$A:$A,0))*AA211/INDEX(Categories!$AJ:$AJ,MATCH(C211,Categories!$A:$A,0)),0)</f>
        <v>1149.6214097515835</v>
      </c>
      <c r="AC211" s="4">
        <f t="shared" si="176"/>
        <v>1017.3640794261802</v>
      </c>
      <c r="AD211" s="4">
        <f t="shared" si="177"/>
        <v>75183.764079426168</v>
      </c>
      <c r="AE211" s="3">
        <f t="shared" si="178"/>
        <v>0</v>
      </c>
      <c r="AF211" s="3">
        <f t="shared" si="179"/>
        <v>60</v>
      </c>
      <c r="AG211" s="3">
        <f t="shared" si="180"/>
        <v>12</v>
      </c>
      <c r="AH211" s="3">
        <f t="shared" si="181"/>
        <v>1</v>
      </c>
      <c r="AI211" s="5">
        <f t="shared" si="182"/>
        <v>0.89185959762071376</v>
      </c>
      <c r="AJ211" s="3">
        <f>MATCH(AI211,Inputs!$B$31:$B$34,1)</f>
        <v>1</v>
      </c>
      <c r="AK211" s="5">
        <f>INDEX(Inputs!$C$21:$C$25,MATCH(F211,Inputs!$A$21:$A$25,0))</f>
        <v>0.95</v>
      </c>
      <c r="AL211" s="5">
        <f>INDEX(Inputs!$D$21:$D$25,MATCH(F211,Inputs!$A$21:$A$25,0))</f>
        <v>0</v>
      </c>
      <c r="AM211" s="4">
        <f t="shared" si="183"/>
        <v>80085</v>
      </c>
      <c r="AN211" s="4">
        <f t="shared" si="184"/>
        <v>4901.2359205738321</v>
      </c>
      <c r="AO211" s="3">
        <f t="shared" si="185"/>
        <v>1</v>
      </c>
      <c r="AP211" s="4">
        <f t="shared" si="186"/>
        <v>22555.129223827851</v>
      </c>
      <c r="AQ211" s="4">
        <f t="shared" si="187"/>
        <v>0</v>
      </c>
      <c r="AR211" s="4">
        <f t="shared" si="188"/>
        <v>4901.2359205738321</v>
      </c>
      <c r="AS211" s="3">
        <f t="shared" si="189"/>
        <v>0</v>
      </c>
      <c r="AT211" s="4">
        <f t="shared" si="190"/>
        <v>4901.2359205738321</v>
      </c>
      <c r="AU211" s="4">
        <f t="shared" si="191"/>
        <v>25916.235920573832</v>
      </c>
      <c r="AV211" s="4">
        <f t="shared" si="192"/>
        <v>4901.2359205738321</v>
      </c>
      <c r="AW211" s="4">
        <f t="shared" si="193"/>
        <v>4901.2359205738321</v>
      </c>
      <c r="AX211" s="5">
        <f t="shared" si="194"/>
        <v>6.5190084329856554E-2</v>
      </c>
      <c r="AY211" s="4">
        <f t="shared" si="195"/>
        <v>80085</v>
      </c>
      <c r="AZ211" s="3">
        <f t="shared" si="196"/>
        <v>0</v>
      </c>
      <c r="BA211" s="4">
        <f t="shared" si="197"/>
        <v>83808.031999999992</v>
      </c>
      <c r="BB211" s="4">
        <f t="shared" si="198"/>
        <v>19910.506220799998</v>
      </c>
      <c r="BC211" s="4">
        <f t="shared" si="199"/>
        <v>84957.653409751569</v>
      </c>
      <c r="BD211" s="4">
        <f t="shared" si="200"/>
        <v>19922.462283461413</v>
      </c>
      <c r="BE211" s="4">
        <f t="shared" si="201"/>
        <v>90496.049999999988</v>
      </c>
      <c r="BF211" s="4">
        <f t="shared" si="202"/>
        <v>19980.061607999996</v>
      </c>
      <c r="BG211" s="4">
        <f t="shared" si="203"/>
        <v>1017.3640794261802</v>
      </c>
      <c r="BH211" s="4">
        <f t="shared" si="204"/>
        <v>132.25733032540342</v>
      </c>
      <c r="BI211" s="4">
        <f t="shared" si="205"/>
        <v>11.956062661414762</v>
      </c>
      <c r="BJ211" s="4">
        <f t="shared" si="206"/>
        <v>4901.2359205738321</v>
      </c>
      <c r="BK211" s="4">
        <f t="shared" si="207"/>
        <v>637.16066967459824</v>
      </c>
      <c r="BL211" s="4">
        <f t="shared" si="208"/>
        <v>57.59932453858346</v>
      </c>
      <c r="BM211" s="4">
        <f t="shared" si="209"/>
        <v>75183.764079426168</v>
      </c>
      <c r="BN211" s="4">
        <f t="shared" si="210"/>
        <v>3007.3505631770468</v>
      </c>
      <c r="BO211" s="4">
        <f t="shared" si="211"/>
        <v>3007.3505631770468</v>
      </c>
      <c r="BP211" s="4">
        <f t="shared" si="212"/>
        <v>390.95557321301607</v>
      </c>
      <c r="BQ211" s="4">
        <f t="shared" si="213"/>
        <v>88355.959546141632</v>
      </c>
      <c r="BR211" s="4">
        <f t="shared" si="214"/>
        <v>19957.80466727987</v>
      </c>
      <c r="BS211" s="4">
        <f t="shared" si="215"/>
        <v>35.342383818457165</v>
      </c>
      <c r="BT211" s="4">
        <f t="shared" si="216"/>
        <v>84957.653409751569</v>
      </c>
      <c r="BU211" s="4">
        <f t="shared" si="217"/>
        <v>90496.049999999988</v>
      </c>
      <c r="BV211" s="7">
        <f t="shared" si="218"/>
        <v>904960.49999999988</v>
      </c>
      <c r="BW211" s="7">
        <f t="shared" si="219"/>
        <v>452418.30882956873</v>
      </c>
    </row>
    <row r="212" spans="1:75" x14ac:dyDescent="0.3">
      <c r="A212" s="3">
        <f t="shared" si="165"/>
        <v>208</v>
      </c>
      <c r="B212" t="str">
        <f>INDEX(Employees!$A:$A,A212+1)</f>
        <v>E208</v>
      </c>
      <c r="C212" t="str">
        <f>INDEX(Employees!$A:$Z,MATCH(B212,Employees!$A:$A,0),MATCH("category",Employees!$1:$1,0))</f>
        <v>Sales</v>
      </c>
      <c r="D212" t="str">
        <f>INDEX(Employees!$A:$Z,MATCH(B212,Employees!$A:$A,0),MATCH("gender",Employees!$1:$1,0))</f>
        <v>M</v>
      </c>
      <c r="E212" s="3">
        <f>INDEX(Employees!$A:$Z,MATCH(B212,Employees!$A:$A,0),MATCH("grade",Employees!$1:$1,0))</f>
        <v>10</v>
      </c>
      <c r="F212" s="3">
        <f>INDEX(Employees!$A:$Z,MATCH(B212,Employees!$A:$A,0),MATCH("rating",Employees!$1:$1,0))</f>
        <v>4</v>
      </c>
      <c r="G212" s="22">
        <f>INDEX(Employees!$A:$Z,MATCH(B212,Employees!$A:$A,0),MATCH("hire_date",Employees!$1:$1,0))</f>
        <v>44652</v>
      </c>
      <c r="H212" s="22">
        <f>INDEX(Employees!$A:$Z,MATCH(B212,Employees!$A:$A,0),MATCH("last_change_date",Employees!$1:$1,0))</f>
        <v>46113</v>
      </c>
      <c r="I212" s="4">
        <f>INDEX(Employees!$A:$Z,MATCH(B212,Employees!$A:$A,0),MATCH("base_salary",Employees!$1:$1,0))</f>
        <v>74166.399999999994</v>
      </c>
      <c r="J212" s="5">
        <f>INDEX(Employees!$A:$Z,MATCH(B212,Employees!$A:$A,0),MATCH("bonus_pct",Employees!$1:$1,0))/100</f>
        <v>0.26</v>
      </c>
      <c r="K212" s="7">
        <f>INDEX(Employees!$A:$Z,MATCH(B212,Employees!$A:$A,0),MATCH("fte",Employees!$1:$1,0))</f>
        <v>1</v>
      </c>
      <c r="L212" s="3">
        <f>IF(ISNA(MATCH(C212&amp;"|"&amp;E212,Bands!$F:$F,0)),0,1)</f>
        <v>1</v>
      </c>
      <c r="M212" s="4">
        <f>INDEX(Bands!$C:$C,MATCH(C212&amp;"|"&amp;E212,Bands!$F:$F,0))</f>
        <v>67400</v>
      </c>
      <c r="N212" s="4">
        <f>INDEX(Bands!$D:$D,MATCH(C212&amp;"|"&amp;E212,Bands!$F:$F,0))</f>
        <v>84300</v>
      </c>
      <c r="O212" s="4">
        <f>INDEX(Bands!$E:$E,MATCH(C212&amp;"|"&amp;E212,Bands!$F:$F,0))</f>
        <v>101100</v>
      </c>
      <c r="P212" s="7">
        <f t="shared" si="166"/>
        <v>4.9993155373032172</v>
      </c>
      <c r="Q212" s="4">
        <f t="shared" si="167"/>
        <v>93449.66399999999</v>
      </c>
      <c r="R212" s="7">
        <f t="shared" si="168"/>
        <v>100</v>
      </c>
      <c r="S212" s="7">
        <f t="shared" si="169"/>
        <v>24.993155841521354</v>
      </c>
      <c r="T212" s="7">
        <f t="shared" si="170"/>
        <v>49.993155373032174</v>
      </c>
      <c r="U212" s="7">
        <f t="shared" si="171"/>
        <v>934496.6399999999</v>
      </c>
      <c r="V212" s="7">
        <f t="shared" si="172"/>
        <v>467184.35719096503</v>
      </c>
      <c r="W212" s="4">
        <f t="shared" si="173"/>
        <v>93449.66</v>
      </c>
      <c r="X212" s="3">
        <f t="shared" si="174"/>
        <v>16</v>
      </c>
      <c r="Y212" s="4">
        <f>INDEX(Categories!$AH:$AH,MATCH(C212,Categories!$A:$A,0))</f>
        <v>85035.918249999988</v>
      </c>
      <c r="Z212" s="3">
        <f>IF(AND(D212="F",Q212&lt;Y212,INDEX(Categories!$AI:$AI,MATCH(C212,Categories!$A:$A,0))&gt;0),1,0)</f>
        <v>0</v>
      </c>
      <c r="AA212" s="4">
        <f t="shared" si="175"/>
        <v>0</v>
      </c>
      <c r="AB212" s="4">
        <f>IF(Z212=1,INDEX(Categories!$AI:$AI,MATCH(C212,Categories!$A:$A,0))*AA212/INDEX(Categories!$AJ:$AJ,MATCH(C212,Categories!$A:$A,0)),0)</f>
        <v>0</v>
      </c>
      <c r="AC212" s="4">
        <f t="shared" si="176"/>
        <v>0</v>
      </c>
      <c r="AD212" s="4">
        <f t="shared" si="177"/>
        <v>74166.399999999994</v>
      </c>
      <c r="AE212" s="3">
        <f t="shared" si="178"/>
        <v>0</v>
      </c>
      <c r="AF212" s="3">
        <f t="shared" si="179"/>
        <v>60</v>
      </c>
      <c r="AG212" s="3">
        <f t="shared" si="180"/>
        <v>12</v>
      </c>
      <c r="AH212" s="3">
        <f t="shared" si="181"/>
        <v>1</v>
      </c>
      <c r="AI212" s="5">
        <f t="shared" si="182"/>
        <v>0.87979122182680891</v>
      </c>
      <c r="AJ212" s="3">
        <f>MATCH(AI212,Inputs!$B$31:$B$34,1)</f>
        <v>1</v>
      </c>
      <c r="AK212" s="5">
        <f>INDEX(Inputs!$C$21:$C$25,MATCH(F212,Inputs!$A$21:$A$25,0))</f>
        <v>1.05</v>
      </c>
      <c r="AL212" s="5">
        <f>INDEX(Inputs!$D$21:$D$25,MATCH(F212,Inputs!$A$21:$A$25,0))</f>
        <v>0.01</v>
      </c>
      <c r="AM212" s="4">
        <f t="shared" si="183"/>
        <v>88515</v>
      </c>
      <c r="AN212" s="4">
        <f t="shared" si="184"/>
        <v>14348.600000000006</v>
      </c>
      <c r="AO212" s="3">
        <f t="shared" si="185"/>
        <v>1</v>
      </c>
      <c r="AP212" s="4">
        <f t="shared" si="186"/>
        <v>22249.919999999998</v>
      </c>
      <c r="AQ212" s="4">
        <f t="shared" si="187"/>
        <v>741.66399999999999</v>
      </c>
      <c r="AR212" s="4">
        <f t="shared" si="188"/>
        <v>14348.600000000006</v>
      </c>
      <c r="AS212" s="3">
        <f t="shared" si="189"/>
        <v>0</v>
      </c>
      <c r="AT212" s="4">
        <f t="shared" si="190"/>
        <v>14348.600000000006</v>
      </c>
      <c r="AU212" s="4">
        <f t="shared" si="191"/>
        <v>26933.600000000006</v>
      </c>
      <c r="AV212" s="4">
        <f t="shared" si="192"/>
        <v>14348.600000000006</v>
      </c>
      <c r="AW212" s="4">
        <f t="shared" si="193"/>
        <v>14348.600000000006</v>
      </c>
      <c r="AX212" s="5">
        <f t="shared" si="194"/>
        <v>0.19346496526729096</v>
      </c>
      <c r="AY212" s="4">
        <f t="shared" si="195"/>
        <v>88515</v>
      </c>
      <c r="AZ212" s="3">
        <f t="shared" si="196"/>
        <v>0</v>
      </c>
      <c r="BA212" s="4">
        <f t="shared" si="197"/>
        <v>93449.66399999999</v>
      </c>
      <c r="BB212" s="4">
        <f t="shared" si="198"/>
        <v>20013.709708799997</v>
      </c>
      <c r="BC212" s="4">
        <f t="shared" si="199"/>
        <v>93449.66399999999</v>
      </c>
      <c r="BD212" s="4">
        <f t="shared" si="200"/>
        <v>20013.709708799997</v>
      </c>
      <c r="BE212" s="4">
        <f t="shared" si="201"/>
        <v>111528.9</v>
      </c>
      <c r="BF212" s="4">
        <f t="shared" si="202"/>
        <v>20234.276387999995</v>
      </c>
      <c r="BG212" s="4">
        <f t="shared" si="203"/>
        <v>0</v>
      </c>
      <c r="BH212" s="4">
        <f t="shared" si="204"/>
        <v>0</v>
      </c>
      <c r="BI212" s="4">
        <f t="shared" si="205"/>
        <v>0</v>
      </c>
      <c r="BJ212" s="4">
        <f t="shared" si="206"/>
        <v>14348.600000000006</v>
      </c>
      <c r="BK212" s="4">
        <f t="shared" si="207"/>
        <v>3730.6360000000018</v>
      </c>
      <c r="BL212" s="4">
        <f t="shared" si="208"/>
        <v>220.56667919999745</v>
      </c>
      <c r="BM212" s="4">
        <f t="shared" si="209"/>
        <v>74166.399999999994</v>
      </c>
      <c r="BN212" s="4">
        <f t="shared" si="210"/>
        <v>2966.6559999999999</v>
      </c>
      <c r="BO212" s="4">
        <f t="shared" si="211"/>
        <v>2966.6559999999999</v>
      </c>
      <c r="BP212" s="4">
        <f t="shared" si="212"/>
        <v>771.33055999999999</v>
      </c>
      <c r="BQ212" s="4">
        <f t="shared" si="213"/>
        <v>97187.650559999995</v>
      </c>
      <c r="BR212" s="4">
        <f t="shared" si="214"/>
        <v>20059.313144831995</v>
      </c>
      <c r="BS212" s="4">
        <f t="shared" si="215"/>
        <v>45.603436031997262</v>
      </c>
      <c r="BT212" s="4">
        <f t="shared" si="216"/>
        <v>93449.66399999999</v>
      </c>
      <c r="BU212" s="4">
        <f t="shared" si="217"/>
        <v>111528.9</v>
      </c>
      <c r="BV212" s="7">
        <f t="shared" si="218"/>
        <v>1115289</v>
      </c>
      <c r="BW212" s="7">
        <f t="shared" si="219"/>
        <v>557568.16262833681</v>
      </c>
    </row>
    <row r="213" spans="1:75" x14ac:dyDescent="0.3">
      <c r="A213" s="3">
        <f t="shared" si="165"/>
        <v>209</v>
      </c>
      <c r="B213" t="str">
        <f>INDEX(Employees!$A:$A,A213+1)</f>
        <v>E209</v>
      </c>
      <c r="C213" t="str">
        <f>INDEX(Employees!$A:$Z,MATCH(B213,Employees!$A:$A,0),MATCH("category",Employees!$1:$1,0))</f>
        <v>Sales</v>
      </c>
      <c r="D213" t="str">
        <f>INDEX(Employees!$A:$Z,MATCH(B213,Employees!$A:$A,0),MATCH("gender",Employees!$1:$1,0))</f>
        <v>F</v>
      </c>
      <c r="E213" s="3">
        <f>INDEX(Employees!$A:$Z,MATCH(B213,Employees!$A:$A,0),MATCH("grade",Employees!$1:$1,0))</f>
        <v>11</v>
      </c>
      <c r="F213" s="3">
        <f>INDEX(Employees!$A:$Z,MATCH(B213,Employees!$A:$A,0),MATCH("rating",Employees!$1:$1,0))</f>
        <v>4</v>
      </c>
      <c r="G213" s="22">
        <f>INDEX(Employees!$A:$Z,MATCH(B213,Employees!$A:$A,0),MATCH("hire_date",Employees!$1:$1,0))</f>
        <v>42132</v>
      </c>
      <c r="H213" s="22">
        <f>INDEX(Employees!$A:$Z,MATCH(B213,Employees!$A:$A,0),MATCH("last_change_date",Employees!$1:$1,0))</f>
        <v>46113</v>
      </c>
      <c r="I213" s="4">
        <f>INDEX(Employees!$A:$Z,MATCH(B213,Employees!$A:$A,0),MATCH("base_salary",Employees!$1:$1,0))</f>
        <v>91063.92</v>
      </c>
      <c r="J213" s="5">
        <f>INDEX(Employees!$A:$Z,MATCH(B213,Employees!$A:$A,0),MATCH("bonus_pct",Employees!$1:$1,0))/100</f>
        <v>0.13</v>
      </c>
      <c r="K213" s="7">
        <f>INDEX(Employees!$A:$Z,MATCH(B213,Employees!$A:$A,0),MATCH("fte",Employees!$1:$1,0))</f>
        <v>1</v>
      </c>
      <c r="L213" s="3">
        <f>IF(ISNA(MATCH(C213&amp;"|"&amp;E213,Bands!$F:$F,0)),0,1)</f>
        <v>1</v>
      </c>
      <c r="M213" s="4">
        <f>INDEX(Bands!$C:$C,MATCH(C213&amp;"|"&amp;E213,Bands!$F:$F,0))</f>
        <v>77500</v>
      </c>
      <c r="N213" s="4">
        <f>INDEX(Bands!$D:$D,MATCH(C213&amp;"|"&amp;E213,Bands!$F:$F,0))</f>
        <v>96900</v>
      </c>
      <c r="O213" s="4">
        <f>INDEX(Bands!$E:$E,MATCH(C213&amp;"|"&amp;E213,Bands!$F:$F,0))</f>
        <v>116300</v>
      </c>
      <c r="P213" s="7">
        <f t="shared" si="166"/>
        <v>11.898699520876113</v>
      </c>
      <c r="Q213" s="4">
        <f t="shared" si="167"/>
        <v>102902.22959999999</v>
      </c>
      <c r="R213" s="7">
        <f t="shared" si="168"/>
        <v>121</v>
      </c>
      <c r="S213" s="7">
        <f t="shared" si="169"/>
        <v>141.57905028809742</v>
      </c>
      <c r="T213" s="7">
        <f t="shared" si="170"/>
        <v>130.88569472963724</v>
      </c>
      <c r="U213" s="7">
        <f t="shared" si="171"/>
        <v>1131924.5255999998</v>
      </c>
      <c r="V213" s="7">
        <f t="shared" si="172"/>
        <v>1224402.7100386035</v>
      </c>
      <c r="W213" s="4">
        <f t="shared" si="173"/>
        <v>102902.23</v>
      </c>
      <c r="X213" s="3">
        <f t="shared" si="174"/>
        <v>21</v>
      </c>
      <c r="Y213" s="4">
        <f>INDEX(Categories!$AH:$AH,MATCH(C213,Categories!$A:$A,0))</f>
        <v>85035.918249999988</v>
      </c>
      <c r="Z213" s="3">
        <f>IF(AND(D213="F",Q213&lt;Y213,INDEX(Categories!$AI:$AI,MATCH(C213,Categories!$A:$A,0))&gt;0),1,0)</f>
        <v>0</v>
      </c>
      <c r="AA213" s="4">
        <f t="shared" si="175"/>
        <v>0</v>
      </c>
      <c r="AB213" s="4">
        <f>IF(Z213=1,INDEX(Categories!$AI:$AI,MATCH(C213,Categories!$A:$A,0))*AA213/INDEX(Categories!$AJ:$AJ,MATCH(C213,Categories!$A:$A,0)),0)</f>
        <v>0</v>
      </c>
      <c r="AC213" s="4">
        <f t="shared" si="176"/>
        <v>0</v>
      </c>
      <c r="AD213" s="4">
        <f t="shared" si="177"/>
        <v>91063.92</v>
      </c>
      <c r="AE213" s="3">
        <f t="shared" si="178"/>
        <v>0</v>
      </c>
      <c r="AF213" s="3">
        <f t="shared" si="179"/>
        <v>142</v>
      </c>
      <c r="AG213" s="3">
        <f t="shared" si="180"/>
        <v>12</v>
      </c>
      <c r="AH213" s="3">
        <f t="shared" si="181"/>
        <v>1</v>
      </c>
      <c r="AI213" s="5">
        <f t="shared" si="182"/>
        <v>0.93977213622291023</v>
      </c>
      <c r="AJ213" s="3">
        <f>MATCH(AI213,Inputs!$B$31:$B$34,1)</f>
        <v>2</v>
      </c>
      <c r="AK213" s="5">
        <f>INDEX(Inputs!$C$21:$C$25,MATCH(F213,Inputs!$A$21:$A$25,0))</f>
        <v>1.05</v>
      </c>
      <c r="AL213" s="5">
        <f>INDEX(Inputs!$D$21:$D$25,MATCH(F213,Inputs!$A$21:$A$25,0))</f>
        <v>0.01</v>
      </c>
      <c r="AM213" s="4">
        <f t="shared" si="183"/>
        <v>101745</v>
      </c>
      <c r="AN213" s="4">
        <f t="shared" si="184"/>
        <v>10681.080000000002</v>
      </c>
      <c r="AO213" s="3">
        <f t="shared" si="185"/>
        <v>1</v>
      </c>
      <c r="AP213" s="4">
        <f t="shared" si="186"/>
        <v>27319.175999999999</v>
      </c>
      <c r="AQ213" s="4">
        <f t="shared" si="187"/>
        <v>910.63919999999996</v>
      </c>
      <c r="AR213" s="4">
        <f t="shared" si="188"/>
        <v>10681.080000000002</v>
      </c>
      <c r="AS213" s="3">
        <f t="shared" si="189"/>
        <v>0</v>
      </c>
      <c r="AT213" s="4">
        <f t="shared" si="190"/>
        <v>10681.080000000002</v>
      </c>
      <c r="AU213" s="4">
        <f t="shared" si="191"/>
        <v>25236.080000000002</v>
      </c>
      <c r="AV213" s="4">
        <f t="shared" si="192"/>
        <v>10681.080000000002</v>
      </c>
      <c r="AW213" s="4">
        <f t="shared" si="193"/>
        <v>10681.080000000002</v>
      </c>
      <c r="AX213" s="5">
        <f t="shared" si="194"/>
        <v>0.11729211744893039</v>
      </c>
      <c r="AY213" s="4">
        <f t="shared" si="195"/>
        <v>101745</v>
      </c>
      <c r="AZ213" s="3">
        <f t="shared" si="196"/>
        <v>0</v>
      </c>
      <c r="BA213" s="4">
        <f t="shared" si="197"/>
        <v>102902.22959999999</v>
      </c>
      <c r="BB213" s="4">
        <f t="shared" si="198"/>
        <v>20129.031009119997</v>
      </c>
      <c r="BC213" s="4">
        <f t="shared" si="199"/>
        <v>102902.22959999999</v>
      </c>
      <c r="BD213" s="4">
        <f t="shared" si="200"/>
        <v>20129.031009119997</v>
      </c>
      <c r="BE213" s="4">
        <f t="shared" si="201"/>
        <v>114971.84999999999</v>
      </c>
      <c r="BF213" s="4">
        <f t="shared" si="202"/>
        <v>20276.280377999996</v>
      </c>
      <c r="BG213" s="4">
        <f t="shared" si="203"/>
        <v>0</v>
      </c>
      <c r="BH213" s="4">
        <f t="shared" si="204"/>
        <v>0</v>
      </c>
      <c r="BI213" s="4">
        <f t="shared" si="205"/>
        <v>0</v>
      </c>
      <c r="BJ213" s="4">
        <f t="shared" si="206"/>
        <v>10681.080000000002</v>
      </c>
      <c r="BK213" s="4">
        <f t="shared" si="207"/>
        <v>1388.5404000000003</v>
      </c>
      <c r="BL213" s="4">
        <f t="shared" si="208"/>
        <v>147.24936887999866</v>
      </c>
      <c r="BM213" s="4">
        <f t="shared" si="209"/>
        <v>91063.92</v>
      </c>
      <c r="BN213" s="4">
        <f t="shared" si="210"/>
        <v>3642.5567999999998</v>
      </c>
      <c r="BO213" s="4">
        <f t="shared" si="211"/>
        <v>3642.5567999999998</v>
      </c>
      <c r="BP213" s="4">
        <f t="shared" si="212"/>
        <v>473.53238399999998</v>
      </c>
      <c r="BQ213" s="4">
        <f t="shared" si="213"/>
        <v>107018.31878399999</v>
      </c>
      <c r="BR213" s="4">
        <f t="shared" si="214"/>
        <v>20179.247297164795</v>
      </c>
      <c r="BS213" s="4">
        <f t="shared" si="215"/>
        <v>50.216288044797693</v>
      </c>
      <c r="BT213" s="4">
        <f t="shared" si="216"/>
        <v>102902.22959999999</v>
      </c>
      <c r="BU213" s="4">
        <f t="shared" si="217"/>
        <v>114971.84999999999</v>
      </c>
      <c r="BV213" s="7">
        <f t="shared" si="218"/>
        <v>1264690.3499999999</v>
      </c>
      <c r="BW213" s="7">
        <f t="shared" si="219"/>
        <v>1368015.4965092402</v>
      </c>
    </row>
    <row r="214" spans="1:75" x14ac:dyDescent="0.3">
      <c r="A214" s="3">
        <f t="shared" si="165"/>
        <v>210</v>
      </c>
      <c r="B214" t="str">
        <f>INDEX(Employees!$A:$A,A214+1)</f>
        <v>E210</v>
      </c>
      <c r="C214" t="str">
        <f>INDEX(Employees!$A:$Z,MATCH(B214,Employees!$A:$A,0),MATCH("category",Employees!$1:$1,0))</f>
        <v>Sales</v>
      </c>
      <c r="D214" t="str">
        <f>INDEX(Employees!$A:$Z,MATCH(B214,Employees!$A:$A,0),MATCH("gender",Employees!$1:$1,0))</f>
        <v>M</v>
      </c>
      <c r="E214" s="3">
        <f>INDEX(Employees!$A:$Z,MATCH(B214,Employees!$A:$A,0),MATCH("grade",Employees!$1:$1,0))</f>
        <v>11</v>
      </c>
      <c r="F214" s="3">
        <f>INDEX(Employees!$A:$Z,MATCH(B214,Employees!$A:$A,0),MATCH("rating",Employees!$1:$1,0))</f>
        <v>4</v>
      </c>
      <c r="G214" s="22">
        <f>INDEX(Employees!$A:$Z,MATCH(B214,Employees!$A:$A,0),MATCH("hire_date",Employees!$1:$1,0))</f>
        <v>42132</v>
      </c>
      <c r="H214" s="22">
        <f>INDEX(Employees!$A:$Z,MATCH(B214,Employees!$A:$A,0),MATCH("last_change_date",Employees!$1:$1,0))</f>
        <v>46113</v>
      </c>
      <c r="I214" s="4">
        <f>INDEX(Employees!$A:$Z,MATCH(B214,Employees!$A:$A,0),MATCH("base_salary",Employees!$1:$1,0))</f>
        <v>91063.92</v>
      </c>
      <c r="J214" s="5">
        <f>INDEX(Employees!$A:$Z,MATCH(B214,Employees!$A:$A,0),MATCH("bonus_pct",Employees!$1:$1,0))/100</f>
        <v>0.26</v>
      </c>
      <c r="K214" s="7">
        <f>INDEX(Employees!$A:$Z,MATCH(B214,Employees!$A:$A,0),MATCH("fte",Employees!$1:$1,0))</f>
        <v>1</v>
      </c>
      <c r="L214" s="3">
        <f>IF(ISNA(MATCH(C214&amp;"|"&amp;E214,Bands!$F:$F,0)),0,1)</f>
        <v>1</v>
      </c>
      <c r="M214" s="4">
        <f>INDEX(Bands!$C:$C,MATCH(C214&amp;"|"&amp;E214,Bands!$F:$F,0))</f>
        <v>77500</v>
      </c>
      <c r="N214" s="4">
        <f>INDEX(Bands!$D:$D,MATCH(C214&amp;"|"&amp;E214,Bands!$F:$F,0))</f>
        <v>96900</v>
      </c>
      <c r="O214" s="4">
        <f>INDEX(Bands!$E:$E,MATCH(C214&amp;"|"&amp;E214,Bands!$F:$F,0))</f>
        <v>116300</v>
      </c>
      <c r="P214" s="7">
        <f t="shared" si="166"/>
        <v>11.898699520876113</v>
      </c>
      <c r="Q214" s="4">
        <f t="shared" si="167"/>
        <v>114740.5392</v>
      </c>
      <c r="R214" s="7">
        <f t="shared" si="168"/>
        <v>121</v>
      </c>
      <c r="S214" s="7">
        <f t="shared" si="169"/>
        <v>141.57905028809742</v>
      </c>
      <c r="T214" s="7">
        <f t="shared" si="170"/>
        <v>130.88569472963724</v>
      </c>
      <c r="U214" s="7">
        <f t="shared" si="171"/>
        <v>1262145.9312</v>
      </c>
      <c r="V214" s="7">
        <f t="shared" si="172"/>
        <v>1365263.1988041068</v>
      </c>
      <c r="W214" s="4">
        <f t="shared" si="173"/>
        <v>114740.54</v>
      </c>
      <c r="X214" s="3">
        <f t="shared" si="174"/>
        <v>25</v>
      </c>
      <c r="Y214" s="4">
        <f>INDEX(Categories!$AH:$AH,MATCH(C214,Categories!$A:$A,0))</f>
        <v>85035.918249999988</v>
      </c>
      <c r="Z214" s="3">
        <f>IF(AND(D214="F",Q214&lt;Y214,INDEX(Categories!$AI:$AI,MATCH(C214,Categories!$A:$A,0))&gt;0),1,0)</f>
        <v>0</v>
      </c>
      <c r="AA214" s="4">
        <f t="shared" si="175"/>
        <v>0</v>
      </c>
      <c r="AB214" s="4">
        <f>IF(Z214=1,INDEX(Categories!$AI:$AI,MATCH(C214,Categories!$A:$A,0))*AA214/INDEX(Categories!$AJ:$AJ,MATCH(C214,Categories!$A:$A,0)),0)</f>
        <v>0</v>
      </c>
      <c r="AC214" s="4">
        <f t="shared" si="176"/>
        <v>0</v>
      </c>
      <c r="AD214" s="4">
        <f t="shared" si="177"/>
        <v>91063.92</v>
      </c>
      <c r="AE214" s="3">
        <f t="shared" si="178"/>
        <v>0</v>
      </c>
      <c r="AF214" s="3">
        <f t="shared" si="179"/>
        <v>142</v>
      </c>
      <c r="AG214" s="3">
        <f t="shared" si="180"/>
        <v>12</v>
      </c>
      <c r="AH214" s="3">
        <f t="shared" si="181"/>
        <v>1</v>
      </c>
      <c r="AI214" s="5">
        <f t="shared" si="182"/>
        <v>0.93977213622291023</v>
      </c>
      <c r="AJ214" s="3">
        <f>MATCH(AI214,Inputs!$B$31:$B$34,1)</f>
        <v>2</v>
      </c>
      <c r="AK214" s="5">
        <f>INDEX(Inputs!$C$21:$C$25,MATCH(F214,Inputs!$A$21:$A$25,0))</f>
        <v>1.05</v>
      </c>
      <c r="AL214" s="5">
        <f>INDEX(Inputs!$D$21:$D$25,MATCH(F214,Inputs!$A$21:$A$25,0))</f>
        <v>0.01</v>
      </c>
      <c r="AM214" s="4">
        <f t="shared" si="183"/>
        <v>101745</v>
      </c>
      <c r="AN214" s="4">
        <f t="shared" si="184"/>
        <v>10681.080000000002</v>
      </c>
      <c r="AO214" s="3">
        <f t="shared" si="185"/>
        <v>1</v>
      </c>
      <c r="AP214" s="4">
        <f t="shared" si="186"/>
        <v>27319.175999999999</v>
      </c>
      <c r="AQ214" s="4">
        <f t="shared" si="187"/>
        <v>910.63919999999996</v>
      </c>
      <c r="AR214" s="4">
        <f t="shared" si="188"/>
        <v>10681.080000000002</v>
      </c>
      <c r="AS214" s="3">
        <f t="shared" si="189"/>
        <v>0</v>
      </c>
      <c r="AT214" s="4">
        <f t="shared" si="190"/>
        <v>10681.080000000002</v>
      </c>
      <c r="AU214" s="4">
        <f t="shared" si="191"/>
        <v>25236.080000000002</v>
      </c>
      <c r="AV214" s="4">
        <f t="shared" si="192"/>
        <v>10681.080000000002</v>
      </c>
      <c r="AW214" s="4">
        <f t="shared" si="193"/>
        <v>10681.080000000002</v>
      </c>
      <c r="AX214" s="5">
        <f t="shared" si="194"/>
        <v>0.11729211744893039</v>
      </c>
      <c r="AY214" s="4">
        <f t="shared" si="195"/>
        <v>101745</v>
      </c>
      <c r="AZ214" s="3">
        <f t="shared" si="196"/>
        <v>0</v>
      </c>
      <c r="BA214" s="4">
        <f t="shared" si="197"/>
        <v>114740.5392</v>
      </c>
      <c r="BB214" s="4">
        <f t="shared" si="198"/>
        <v>20273.458386239996</v>
      </c>
      <c r="BC214" s="4">
        <f t="shared" si="199"/>
        <v>114740.5392</v>
      </c>
      <c r="BD214" s="4">
        <f t="shared" si="200"/>
        <v>20273.458386239996</v>
      </c>
      <c r="BE214" s="4">
        <f t="shared" si="201"/>
        <v>128198.7</v>
      </c>
      <c r="BF214" s="4">
        <f t="shared" si="202"/>
        <v>20437.647947999994</v>
      </c>
      <c r="BG214" s="4">
        <f t="shared" si="203"/>
        <v>0</v>
      </c>
      <c r="BH214" s="4">
        <f t="shared" si="204"/>
        <v>0</v>
      </c>
      <c r="BI214" s="4">
        <f t="shared" si="205"/>
        <v>0</v>
      </c>
      <c r="BJ214" s="4">
        <f t="shared" si="206"/>
        <v>10681.080000000002</v>
      </c>
      <c r="BK214" s="4">
        <f t="shared" si="207"/>
        <v>2777.0808000000006</v>
      </c>
      <c r="BL214" s="4">
        <f t="shared" si="208"/>
        <v>164.18956175999847</v>
      </c>
      <c r="BM214" s="4">
        <f t="shared" si="209"/>
        <v>91063.92</v>
      </c>
      <c r="BN214" s="4">
        <f t="shared" si="210"/>
        <v>3642.5567999999998</v>
      </c>
      <c r="BO214" s="4">
        <f t="shared" si="211"/>
        <v>3642.5567999999998</v>
      </c>
      <c r="BP214" s="4">
        <f t="shared" si="212"/>
        <v>947.06476799999996</v>
      </c>
      <c r="BQ214" s="4">
        <f t="shared" si="213"/>
        <v>119330.160768</v>
      </c>
      <c r="BR214" s="4">
        <f t="shared" si="214"/>
        <v>20329.451769369596</v>
      </c>
      <c r="BS214" s="4">
        <f t="shared" si="215"/>
        <v>55.993383129600261</v>
      </c>
      <c r="BT214" s="4">
        <f t="shared" si="216"/>
        <v>114740.5392</v>
      </c>
      <c r="BU214" s="4">
        <f t="shared" si="217"/>
        <v>128198.7</v>
      </c>
      <c r="BV214" s="7">
        <f t="shared" si="218"/>
        <v>1410185.7</v>
      </c>
      <c r="BW214" s="7">
        <f t="shared" si="219"/>
        <v>1525397.8102669404</v>
      </c>
    </row>
    <row r="215" spans="1:75" x14ac:dyDescent="0.3">
      <c r="A215" s="3">
        <f t="shared" si="165"/>
        <v>211</v>
      </c>
      <c r="B215" t="str">
        <f>INDEX(Employees!$A:$A,A215+1)</f>
        <v>E211</v>
      </c>
      <c r="C215" t="str">
        <f>INDEX(Employees!$A:$Z,MATCH(B215,Employees!$A:$A,0),MATCH("category",Employees!$1:$1,0))</f>
        <v>Sales</v>
      </c>
      <c r="D215" t="str">
        <f>INDEX(Employees!$A:$Z,MATCH(B215,Employees!$A:$A,0),MATCH("gender",Employees!$1:$1,0))</f>
        <v>F</v>
      </c>
      <c r="E215" s="3">
        <f>INDEX(Employees!$A:$Z,MATCH(B215,Employees!$A:$A,0),MATCH("grade",Employees!$1:$1,0))</f>
        <v>9</v>
      </c>
      <c r="F215" s="3">
        <f>INDEX(Employees!$A:$Z,MATCH(B215,Employees!$A:$A,0),MATCH("rating",Employees!$1:$1,0))</f>
        <v>3</v>
      </c>
      <c r="G215" s="22">
        <f>INDEX(Employees!$A:$Z,MATCH(B215,Employees!$A:$A,0),MATCH("hire_date",Employees!$1:$1,0))</f>
        <v>45127</v>
      </c>
      <c r="H215" s="22">
        <f>INDEX(Employees!$A:$Z,MATCH(B215,Employees!$A:$A,0),MATCH("last_change_date",Employees!$1:$1,0))</f>
        <v>46113</v>
      </c>
      <c r="I215" s="4">
        <f>INDEX(Employees!$A:$Z,MATCH(B215,Employees!$A:$A,0),MATCH("base_salary",Employees!$1:$1,0))</f>
        <v>65018.8</v>
      </c>
      <c r="J215" s="5">
        <f>INDEX(Employees!$A:$Z,MATCH(B215,Employees!$A:$A,0),MATCH("bonus_pct",Employees!$1:$1,0))/100</f>
        <v>0.13</v>
      </c>
      <c r="K215" s="7">
        <f>INDEX(Employees!$A:$Z,MATCH(B215,Employees!$A:$A,0),MATCH("fte",Employees!$1:$1,0))</f>
        <v>1</v>
      </c>
      <c r="L215" s="3">
        <f>IF(ISNA(MATCH(C215&amp;"|"&amp;E215,Bands!$F:$F,0)),0,1)</f>
        <v>1</v>
      </c>
      <c r="M215" s="4">
        <f>INDEX(Bands!$C:$C,MATCH(C215&amp;"|"&amp;E215,Bands!$F:$F,0))</f>
        <v>61100</v>
      </c>
      <c r="N215" s="4">
        <f>INDEX(Bands!$D:$D,MATCH(C215&amp;"|"&amp;E215,Bands!$F:$F,0))</f>
        <v>73300</v>
      </c>
      <c r="O215" s="4">
        <f>INDEX(Bands!$E:$E,MATCH(C215&amp;"|"&amp;E215,Bands!$F:$F,0))</f>
        <v>85500</v>
      </c>
      <c r="P215" s="7">
        <f t="shared" si="166"/>
        <v>3.698836413415469</v>
      </c>
      <c r="Q215" s="4">
        <f t="shared" si="167"/>
        <v>73471.243999999992</v>
      </c>
      <c r="R215" s="7">
        <f t="shared" si="168"/>
        <v>81</v>
      </c>
      <c r="S215" s="7">
        <f t="shared" si="169"/>
        <v>13.68139081320821</v>
      </c>
      <c r="T215" s="7">
        <f t="shared" si="170"/>
        <v>33.289527720739223</v>
      </c>
      <c r="U215" s="7">
        <f t="shared" si="171"/>
        <v>661241.19599999988</v>
      </c>
      <c r="V215" s="7">
        <f t="shared" si="172"/>
        <v>271758.11264613277</v>
      </c>
      <c r="W215" s="4">
        <f t="shared" si="173"/>
        <v>73471.240000000005</v>
      </c>
      <c r="X215" s="3">
        <f t="shared" si="174"/>
        <v>10</v>
      </c>
      <c r="Y215" s="4">
        <f>INDEX(Categories!$AH:$AH,MATCH(C215,Categories!$A:$A,0))</f>
        <v>85035.918249999988</v>
      </c>
      <c r="Z215" s="3">
        <f>IF(AND(D215="F",Q215&lt;Y215,INDEX(Categories!$AI:$AI,MATCH(C215,Categories!$A:$A,0))&gt;0),1,0)</f>
        <v>1</v>
      </c>
      <c r="AA215" s="4">
        <f t="shared" si="175"/>
        <v>11564.674249999996</v>
      </c>
      <c r="AB215" s="4">
        <f>IF(Z215=1,INDEX(Categories!$AI:$AI,MATCH(C215,Categories!$A:$A,0))*AA215/INDEX(Categories!$AJ:$AJ,MATCH(C215,Categories!$A:$A,0)),0)</f>
        <v>10827.547840529101</v>
      </c>
      <c r="AC215" s="4">
        <f t="shared" si="176"/>
        <v>9581.9007438310637</v>
      </c>
      <c r="AD215" s="4">
        <f t="shared" si="177"/>
        <v>74600.700743831068</v>
      </c>
      <c r="AE215" s="3">
        <f t="shared" si="178"/>
        <v>0</v>
      </c>
      <c r="AF215" s="3">
        <f t="shared" si="179"/>
        <v>44</v>
      </c>
      <c r="AG215" s="3">
        <f t="shared" si="180"/>
        <v>12</v>
      </c>
      <c r="AH215" s="3">
        <f t="shared" si="181"/>
        <v>1</v>
      </c>
      <c r="AI215" s="5">
        <f t="shared" si="182"/>
        <v>1.0177448941859628</v>
      </c>
      <c r="AJ215" s="3">
        <f>MATCH(AI215,Inputs!$B$31:$B$34,1)</f>
        <v>3</v>
      </c>
      <c r="AK215" s="5">
        <f>INDEX(Inputs!$C$21:$C$25,MATCH(F215,Inputs!$A$21:$A$25,0))</f>
        <v>1</v>
      </c>
      <c r="AL215" s="5">
        <f>INDEX(Inputs!$D$21:$D$25,MATCH(F215,Inputs!$A$21:$A$25,0))</f>
        <v>0</v>
      </c>
      <c r="AM215" s="4">
        <f t="shared" si="183"/>
        <v>73300</v>
      </c>
      <c r="AN215" s="4">
        <f t="shared" si="184"/>
        <v>0</v>
      </c>
      <c r="AO215" s="3">
        <f t="shared" si="185"/>
        <v>1</v>
      </c>
      <c r="AP215" s="4">
        <f t="shared" si="186"/>
        <v>22380.210223149319</v>
      </c>
      <c r="AQ215" s="4">
        <f t="shared" si="187"/>
        <v>0</v>
      </c>
      <c r="AR215" s="4">
        <f t="shared" si="188"/>
        <v>0</v>
      </c>
      <c r="AS215" s="3">
        <f t="shared" si="189"/>
        <v>0</v>
      </c>
      <c r="AT215" s="4">
        <f t="shared" si="190"/>
        <v>0</v>
      </c>
      <c r="AU215" s="4">
        <f t="shared" si="191"/>
        <v>10899.299256168932</v>
      </c>
      <c r="AV215" s="4">
        <f t="shared" si="192"/>
        <v>0</v>
      </c>
      <c r="AW215" s="4">
        <f t="shared" si="193"/>
        <v>0</v>
      </c>
      <c r="AX215" s="5">
        <f t="shared" si="194"/>
        <v>0</v>
      </c>
      <c r="AY215" s="4">
        <f t="shared" si="195"/>
        <v>74600.700743831068</v>
      </c>
      <c r="AZ215" s="3">
        <f t="shared" si="196"/>
        <v>0</v>
      </c>
      <c r="BA215" s="4">
        <f t="shared" si="197"/>
        <v>73471.243999999992</v>
      </c>
      <c r="BB215" s="4">
        <f t="shared" si="198"/>
        <v>19803.003625599998</v>
      </c>
      <c r="BC215" s="4">
        <f t="shared" si="199"/>
        <v>84298.791840529098</v>
      </c>
      <c r="BD215" s="4">
        <f t="shared" si="200"/>
        <v>19915.610123141501</v>
      </c>
      <c r="BE215" s="4">
        <f t="shared" si="201"/>
        <v>84298.791840529098</v>
      </c>
      <c r="BF215" s="4">
        <f t="shared" si="202"/>
        <v>19915.610123141501</v>
      </c>
      <c r="BG215" s="4">
        <f t="shared" si="203"/>
        <v>9581.9007438310637</v>
      </c>
      <c r="BH215" s="4">
        <f t="shared" si="204"/>
        <v>1245.6470966980382</v>
      </c>
      <c r="BI215" s="4">
        <f t="shared" si="205"/>
        <v>112.6064975415029</v>
      </c>
      <c r="BJ215" s="4">
        <f t="shared" si="206"/>
        <v>0</v>
      </c>
      <c r="BK215" s="4">
        <f t="shared" si="207"/>
        <v>0</v>
      </c>
      <c r="BL215" s="4">
        <f t="shared" si="208"/>
        <v>0</v>
      </c>
      <c r="BM215" s="4">
        <f t="shared" si="209"/>
        <v>74600.700743831068</v>
      </c>
      <c r="BN215" s="4">
        <f t="shared" si="210"/>
        <v>2984.0280297532427</v>
      </c>
      <c r="BO215" s="4">
        <f t="shared" si="211"/>
        <v>2984.0280297532427</v>
      </c>
      <c r="BP215" s="4">
        <f t="shared" si="212"/>
        <v>387.92364386792156</v>
      </c>
      <c r="BQ215" s="4">
        <f t="shared" si="213"/>
        <v>87670.743514150265</v>
      </c>
      <c r="BR215" s="4">
        <f t="shared" si="214"/>
        <v>19950.678420547159</v>
      </c>
      <c r="BS215" s="4">
        <f t="shared" si="215"/>
        <v>35.068297405658086</v>
      </c>
      <c r="BT215" s="4">
        <f t="shared" si="216"/>
        <v>84298.791840529098</v>
      </c>
      <c r="BU215" s="4">
        <f t="shared" si="217"/>
        <v>84298.791840529098</v>
      </c>
      <c r="BV215" s="7">
        <f t="shared" si="218"/>
        <v>758689.12656476186</v>
      </c>
      <c r="BW215" s="7">
        <f t="shared" si="219"/>
        <v>311807.44086667983</v>
      </c>
    </row>
    <row r="216" spans="1:75" x14ac:dyDescent="0.3">
      <c r="A216" s="3">
        <f t="shared" si="165"/>
        <v>212</v>
      </c>
      <c r="B216" t="str">
        <f>INDEX(Employees!$A:$A,A216+1)</f>
        <v>E212</v>
      </c>
      <c r="C216" t="str">
        <f>INDEX(Employees!$A:$Z,MATCH(B216,Employees!$A:$A,0),MATCH("category",Employees!$1:$1,0))</f>
        <v>Sales</v>
      </c>
      <c r="D216" t="str">
        <f>INDEX(Employees!$A:$Z,MATCH(B216,Employees!$A:$A,0),MATCH("gender",Employees!$1:$1,0))</f>
        <v>M</v>
      </c>
      <c r="E216" s="3">
        <f>INDEX(Employees!$A:$Z,MATCH(B216,Employees!$A:$A,0),MATCH("grade",Employees!$1:$1,0))</f>
        <v>9</v>
      </c>
      <c r="F216" s="3">
        <f>INDEX(Employees!$A:$Z,MATCH(B216,Employees!$A:$A,0),MATCH("rating",Employees!$1:$1,0))</f>
        <v>3</v>
      </c>
      <c r="G216" s="22">
        <f>INDEX(Employees!$A:$Z,MATCH(B216,Employees!$A:$A,0),MATCH("hire_date",Employees!$1:$1,0))</f>
        <v>45127</v>
      </c>
      <c r="H216" s="22">
        <f>INDEX(Employees!$A:$Z,MATCH(B216,Employees!$A:$A,0),MATCH("last_change_date",Employees!$1:$1,0))</f>
        <v>46113</v>
      </c>
      <c r="I216" s="4">
        <f>INDEX(Employees!$A:$Z,MATCH(B216,Employees!$A:$A,0),MATCH("base_salary",Employees!$1:$1,0))</f>
        <v>54620.08</v>
      </c>
      <c r="J216" s="5">
        <f>INDEX(Employees!$A:$Z,MATCH(B216,Employees!$A:$A,0),MATCH("bonus_pct",Employees!$1:$1,0))/100</f>
        <v>0.26</v>
      </c>
      <c r="K216" s="7">
        <f>INDEX(Employees!$A:$Z,MATCH(B216,Employees!$A:$A,0),MATCH("fte",Employees!$1:$1,0))</f>
        <v>1</v>
      </c>
      <c r="L216" s="3">
        <f>IF(ISNA(MATCH(C216&amp;"|"&amp;E216,Bands!$F:$F,0)),0,1)</f>
        <v>1</v>
      </c>
      <c r="M216" s="4">
        <f>INDEX(Bands!$C:$C,MATCH(C216&amp;"|"&amp;E216,Bands!$F:$F,0))</f>
        <v>61100</v>
      </c>
      <c r="N216" s="4">
        <f>INDEX(Bands!$D:$D,MATCH(C216&amp;"|"&amp;E216,Bands!$F:$F,0))</f>
        <v>73300</v>
      </c>
      <c r="O216" s="4">
        <f>INDEX(Bands!$E:$E,MATCH(C216&amp;"|"&amp;E216,Bands!$F:$F,0))</f>
        <v>85500</v>
      </c>
      <c r="P216" s="7">
        <f t="shared" si="166"/>
        <v>3.698836413415469</v>
      </c>
      <c r="Q216" s="4">
        <f t="shared" si="167"/>
        <v>68821.300799999997</v>
      </c>
      <c r="R216" s="7">
        <f t="shared" si="168"/>
        <v>81</v>
      </c>
      <c r="S216" s="7">
        <f t="shared" si="169"/>
        <v>13.68139081320821</v>
      </c>
      <c r="T216" s="7">
        <f t="shared" si="170"/>
        <v>33.289527720739223</v>
      </c>
      <c r="U216" s="7">
        <f t="shared" si="171"/>
        <v>619391.70719999995</v>
      </c>
      <c r="V216" s="7">
        <f t="shared" si="172"/>
        <v>254558.73341765912</v>
      </c>
      <c r="W216" s="4">
        <f t="shared" si="173"/>
        <v>68821.3</v>
      </c>
      <c r="X216" s="3">
        <f t="shared" si="174"/>
        <v>5</v>
      </c>
      <c r="Y216" s="4">
        <f>INDEX(Categories!$AH:$AH,MATCH(C216,Categories!$A:$A,0))</f>
        <v>85035.918249999988</v>
      </c>
      <c r="Z216" s="3">
        <f>IF(AND(D216="F",Q216&lt;Y216,INDEX(Categories!$AI:$AI,MATCH(C216,Categories!$A:$A,0))&gt;0),1,0)</f>
        <v>0</v>
      </c>
      <c r="AA216" s="4">
        <f t="shared" si="175"/>
        <v>0</v>
      </c>
      <c r="AB216" s="4">
        <f>IF(Z216=1,INDEX(Categories!$AI:$AI,MATCH(C216,Categories!$A:$A,0))*AA216/INDEX(Categories!$AJ:$AJ,MATCH(C216,Categories!$A:$A,0)),0)</f>
        <v>0</v>
      </c>
      <c r="AC216" s="4">
        <f t="shared" si="176"/>
        <v>0</v>
      </c>
      <c r="AD216" s="4">
        <f t="shared" si="177"/>
        <v>54620.08</v>
      </c>
      <c r="AE216" s="3">
        <f t="shared" si="178"/>
        <v>0</v>
      </c>
      <c r="AF216" s="3">
        <f t="shared" si="179"/>
        <v>44</v>
      </c>
      <c r="AG216" s="3">
        <f t="shared" si="180"/>
        <v>12</v>
      </c>
      <c r="AH216" s="3">
        <f t="shared" si="181"/>
        <v>1</v>
      </c>
      <c r="AI216" s="5">
        <f t="shared" si="182"/>
        <v>0.7451579809004093</v>
      </c>
      <c r="AJ216" s="3">
        <f>MATCH(AI216,Inputs!$B$31:$B$34,1)</f>
        <v>1</v>
      </c>
      <c r="AK216" s="5">
        <f>INDEX(Inputs!$C$21:$C$25,MATCH(F216,Inputs!$A$21:$A$25,0))</f>
        <v>1</v>
      </c>
      <c r="AL216" s="5">
        <f>INDEX(Inputs!$D$21:$D$25,MATCH(F216,Inputs!$A$21:$A$25,0))</f>
        <v>0</v>
      </c>
      <c r="AM216" s="4">
        <f t="shared" si="183"/>
        <v>73300</v>
      </c>
      <c r="AN216" s="4">
        <f t="shared" si="184"/>
        <v>18679.919999999998</v>
      </c>
      <c r="AO216" s="3">
        <f t="shared" si="185"/>
        <v>1</v>
      </c>
      <c r="AP216" s="4">
        <f t="shared" si="186"/>
        <v>16386.024000000001</v>
      </c>
      <c r="AQ216" s="4">
        <f t="shared" si="187"/>
        <v>0</v>
      </c>
      <c r="AR216" s="4">
        <f t="shared" si="188"/>
        <v>16386.024000000001</v>
      </c>
      <c r="AS216" s="3">
        <f t="shared" si="189"/>
        <v>0</v>
      </c>
      <c r="AT216" s="4">
        <f t="shared" si="190"/>
        <v>16386.024000000001</v>
      </c>
      <c r="AU216" s="4">
        <f t="shared" si="191"/>
        <v>30879.919999999998</v>
      </c>
      <c r="AV216" s="4">
        <f t="shared" si="192"/>
        <v>16386.024000000001</v>
      </c>
      <c r="AW216" s="4">
        <f t="shared" si="193"/>
        <v>16386.024000000001</v>
      </c>
      <c r="AX216" s="5">
        <f t="shared" si="194"/>
        <v>0.3</v>
      </c>
      <c r="AY216" s="4">
        <f t="shared" si="195"/>
        <v>71006.104000000007</v>
      </c>
      <c r="AZ216" s="3">
        <f t="shared" si="196"/>
        <v>0</v>
      </c>
      <c r="BA216" s="4">
        <f t="shared" si="197"/>
        <v>68821.300799999997</v>
      </c>
      <c r="BB216" s="4">
        <f t="shared" si="198"/>
        <v>19754.644216319997</v>
      </c>
      <c r="BC216" s="4">
        <f t="shared" si="199"/>
        <v>68821.300799999997</v>
      </c>
      <c r="BD216" s="4">
        <f t="shared" si="200"/>
        <v>19754.644216319997</v>
      </c>
      <c r="BE216" s="4">
        <f t="shared" si="201"/>
        <v>89467.691040000005</v>
      </c>
      <c r="BF216" s="4">
        <f t="shared" si="202"/>
        <v>19969.366674815999</v>
      </c>
      <c r="BG216" s="4">
        <f t="shared" si="203"/>
        <v>0</v>
      </c>
      <c r="BH216" s="4">
        <f t="shared" si="204"/>
        <v>0</v>
      </c>
      <c r="BI216" s="4">
        <f t="shared" si="205"/>
        <v>0</v>
      </c>
      <c r="BJ216" s="4">
        <f t="shared" si="206"/>
        <v>16386.024000000001</v>
      </c>
      <c r="BK216" s="4">
        <f t="shared" si="207"/>
        <v>4260.3662400000003</v>
      </c>
      <c r="BL216" s="4">
        <f t="shared" si="208"/>
        <v>214.72245849600222</v>
      </c>
      <c r="BM216" s="4">
        <f t="shared" si="209"/>
        <v>54620.08</v>
      </c>
      <c r="BN216" s="4">
        <f t="shared" si="210"/>
        <v>2184.8032000000003</v>
      </c>
      <c r="BO216" s="4">
        <f t="shared" si="211"/>
        <v>2184.8032000000003</v>
      </c>
      <c r="BP216" s="4">
        <f t="shared" si="212"/>
        <v>568.04883200000006</v>
      </c>
      <c r="BQ216" s="4">
        <f t="shared" si="213"/>
        <v>71574.152832000007</v>
      </c>
      <c r="BR216" s="4">
        <f t="shared" si="214"/>
        <v>19783.273877452797</v>
      </c>
      <c r="BS216" s="4">
        <f t="shared" si="215"/>
        <v>28.629661132799811</v>
      </c>
      <c r="BT216" s="4">
        <f t="shared" si="216"/>
        <v>68821.300799999997</v>
      </c>
      <c r="BU216" s="4">
        <f t="shared" si="217"/>
        <v>89467.691040000005</v>
      </c>
      <c r="BV216" s="7">
        <f t="shared" si="218"/>
        <v>805209.21935999999</v>
      </c>
      <c r="BW216" s="7">
        <f t="shared" si="219"/>
        <v>330926.35344295693</v>
      </c>
    </row>
  </sheetData>
  <conditionalFormatting sqref="AE5:AE216">
    <cfRule type="cellIs" dxfId="0" priority="1" operator="equal">
      <formula>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53" width="14" customWidth="1"/>
  </cols>
  <sheetData>
    <row r="1" spans="1:53" x14ac:dyDescent="0.3">
      <c r="A1" s="19" t="s">
        <v>464</v>
      </c>
      <c r="B1" s="20"/>
      <c r="C1" s="20"/>
      <c r="D1" s="20"/>
      <c r="E1" s="20"/>
      <c r="F1" s="20"/>
      <c r="G1" s="20"/>
      <c r="H1" s="19" t="s">
        <v>465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19" t="s">
        <v>466</v>
      </c>
      <c r="Z1" s="20"/>
      <c r="AA1" s="20"/>
      <c r="AB1" s="20"/>
      <c r="AC1" s="20"/>
      <c r="AD1" s="20"/>
      <c r="AE1" s="20"/>
      <c r="AF1" s="19" t="s">
        <v>467</v>
      </c>
      <c r="AG1" s="20"/>
      <c r="AH1" s="20"/>
      <c r="AI1" s="20"/>
      <c r="AJ1" s="20"/>
      <c r="AK1" s="19" t="s">
        <v>468</v>
      </c>
      <c r="AL1" s="20"/>
      <c r="AM1" s="20"/>
      <c r="AN1" s="20"/>
      <c r="AO1" s="20"/>
      <c r="AP1" s="20"/>
      <c r="AQ1" s="19" t="s">
        <v>469</v>
      </c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3" ht="60" customHeight="1" x14ac:dyDescent="0.3">
      <c r="A2" s="9" t="s">
        <v>470</v>
      </c>
      <c r="B2" s="9"/>
      <c r="C2" s="9"/>
      <c r="D2" s="9"/>
      <c r="E2" s="9" t="s">
        <v>471</v>
      </c>
      <c r="F2" s="9"/>
      <c r="G2" s="9" t="s">
        <v>472</v>
      </c>
      <c r="H2" s="9" t="s">
        <v>473</v>
      </c>
      <c r="I2" s="9"/>
      <c r="J2" s="9"/>
      <c r="K2" s="9"/>
      <c r="L2" s="9"/>
      <c r="M2" s="9"/>
      <c r="N2" s="9"/>
      <c r="O2" s="9"/>
      <c r="P2" s="9" t="s">
        <v>474</v>
      </c>
      <c r="Q2" s="9"/>
      <c r="R2" s="9"/>
      <c r="S2" s="9"/>
      <c r="T2" s="9"/>
      <c r="U2" s="9" t="s">
        <v>475</v>
      </c>
      <c r="V2" s="9"/>
      <c r="W2" s="9"/>
      <c r="X2" s="9"/>
      <c r="Y2" s="9"/>
      <c r="Z2" s="9"/>
      <c r="AA2" s="9"/>
      <c r="AB2" s="9"/>
      <c r="AC2" s="9" t="s">
        <v>476</v>
      </c>
      <c r="AD2" s="9" t="s">
        <v>477</v>
      </c>
      <c r="AE2" s="9" t="s">
        <v>478</v>
      </c>
      <c r="AF2" s="9" t="s">
        <v>479</v>
      </c>
      <c r="AG2" s="9"/>
      <c r="AH2" s="9" t="s">
        <v>480</v>
      </c>
      <c r="AI2" s="9" t="s">
        <v>481</v>
      </c>
      <c r="AJ2" s="9"/>
      <c r="AK2" s="9"/>
      <c r="AL2" s="9"/>
      <c r="AM2" s="9"/>
      <c r="AN2" s="9"/>
      <c r="AO2" s="9"/>
      <c r="AP2" s="9" t="s">
        <v>482</v>
      </c>
      <c r="AQ2" s="9" t="s">
        <v>483</v>
      </c>
      <c r="AR2" s="9" t="s">
        <v>484</v>
      </c>
      <c r="AS2" s="9"/>
      <c r="AT2" s="9"/>
      <c r="AU2" s="9"/>
      <c r="AV2" s="9"/>
      <c r="AW2" s="9"/>
      <c r="AX2" s="9"/>
      <c r="AY2" s="9"/>
      <c r="AZ2" s="9" t="s">
        <v>477</v>
      </c>
      <c r="BA2" s="9" t="s">
        <v>485</v>
      </c>
    </row>
    <row r="4" spans="1:53" ht="43.2" x14ac:dyDescent="0.3">
      <c r="A4" s="21" t="s">
        <v>101</v>
      </c>
      <c r="B4" s="21" t="s">
        <v>2</v>
      </c>
      <c r="C4" s="21" t="s">
        <v>486</v>
      </c>
      <c r="D4" s="21" t="s">
        <v>487</v>
      </c>
      <c r="E4" s="21" t="s">
        <v>488</v>
      </c>
      <c r="F4" s="21" t="s">
        <v>489</v>
      </c>
      <c r="G4" s="21" t="s">
        <v>490</v>
      </c>
      <c r="H4" s="21" t="s">
        <v>491</v>
      </c>
      <c r="I4" s="21" t="s">
        <v>492</v>
      </c>
      <c r="J4" s="21" t="s">
        <v>493</v>
      </c>
      <c r="K4" s="21" t="s">
        <v>494</v>
      </c>
      <c r="L4" s="21" t="s">
        <v>495</v>
      </c>
      <c r="M4" s="21" t="s">
        <v>496</v>
      </c>
      <c r="N4" s="21" t="s">
        <v>497</v>
      </c>
      <c r="O4" s="21" t="s">
        <v>498</v>
      </c>
      <c r="P4" s="21" t="s">
        <v>499</v>
      </c>
      <c r="Q4" s="21" t="s">
        <v>500</v>
      </c>
      <c r="R4" s="21" t="s">
        <v>501</v>
      </c>
      <c r="S4" s="21" t="s">
        <v>502</v>
      </c>
      <c r="T4" s="21" t="s">
        <v>503</v>
      </c>
      <c r="U4" s="21" t="s">
        <v>504</v>
      </c>
      <c r="V4" s="21" t="s">
        <v>505</v>
      </c>
      <c r="W4" s="21" t="s">
        <v>506</v>
      </c>
      <c r="X4" s="21" t="s">
        <v>507</v>
      </c>
      <c r="Y4" s="21" t="s">
        <v>508</v>
      </c>
      <c r="Z4" s="21" t="s">
        <v>509</v>
      </c>
      <c r="AA4" s="21" t="s">
        <v>510</v>
      </c>
      <c r="AB4" s="21" t="s">
        <v>511</v>
      </c>
      <c r="AC4" s="21" t="s">
        <v>512</v>
      </c>
      <c r="AD4" s="21" t="s">
        <v>513</v>
      </c>
      <c r="AE4" s="21" t="s">
        <v>514</v>
      </c>
      <c r="AF4" s="21" t="s">
        <v>515</v>
      </c>
      <c r="AG4" s="21" t="s">
        <v>516</v>
      </c>
      <c r="AH4" s="21" t="s">
        <v>517</v>
      </c>
      <c r="AI4" s="21" t="s">
        <v>518</v>
      </c>
      <c r="AJ4" s="21" t="s">
        <v>519</v>
      </c>
      <c r="AK4" s="21" t="s">
        <v>520</v>
      </c>
      <c r="AL4" s="21" t="s">
        <v>521</v>
      </c>
      <c r="AM4" s="21" t="s">
        <v>522</v>
      </c>
      <c r="AN4" s="21" t="s">
        <v>523</v>
      </c>
      <c r="AO4" s="21" t="s">
        <v>524</v>
      </c>
      <c r="AP4" s="21" t="s">
        <v>525</v>
      </c>
      <c r="AQ4" s="21" t="s">
        <v>526</v>
      </c>
      <c r="AR4" s="21" t="s">
        <v>527</v>
      </c>
      <c r="AS4" s="21" t="s">
        <v>528</v>
      </c>
      <c r="AT4" s="21" t="s">
        <v>529</v>
      </c>
      <c r="AU4" s="21" t="s">
        <v>530</v>
      </c>
      <c r="AV4" s="21" t="s">
        <v>531</v>
      </c>
      <c r="AW4" s="21" t="s">
        <v>532</v>
      </c>
      <c r="AX4" s="21" t="s">
        <v>533</v>
      </c>
      <c r="AY4" s="21" t="s">
        <v>534</v>
      </c>
      <c r="AZ4" s="21" t="s">
        <v>535</v>
      </c>
      <c r="BA4" s="21" t="s">
        <v>536</v>
      </c>
    </row>
    <row r="5" spans="1:53" x14ac:dyDescent="0.3">
      <c r="A5" s="17" t="s">
        <v>111</v>
      </c>
      <c r="B5" s="3">
        <f>COUNTIFS(Calc!$C:$C,$A5)</f>
        <v>44</v>
      </c>
      <c r="C5" s="3">
        <f>COUNTIFS(Calc!$C:$C,$A5,Calc!$D:$D,"F")</f>
        <v>12</v>
      </c>
      <c r="D5" s="3">
        <f>COUNTIFS(Calc!$C:$C,$A5,Calc!$D:$D,"M")</f>
        <v>32</v>
      </c>
      <c r="E5" s="4">
        <f>IF(D5&gt;0,SUMIFS(Calc!$Q:$Q,Calc!$C:$C,$A5,Calc!$D:$D,"M")/D5,0)</f>
        <v>74136.058336156231</v>
      </c>
      <c r="F5" s="4">
        <f>IF(C5&gt;0,SUMIFS(Calc!$Q:$Q,Calc!$C:$C,$A5,Calc!$D:$D,"F")/C5,0)</f>
        <v>65301.370933749982</v>
      </c>
      <c r="G5" s="5">
        <f t="shared" ref="G5:G11" si="0">IF(AND(C5&gt;0,D5&gt;0,E5&gt;0),(E5-F5)/E5,0)</f>
        <v>0.11916856116556662</v>
      </c>
      <c r="H5" s="7">
        <f>SUMIFS(Calc!$E:$E,Calc!$C:$C,$A5)</f>
        <v>401</v>
      </c>
      <c r="I5" s="7">
        <f>SUMIFS(Calc!$P:$P,Calc!$C:$C,$A5)</f>
        <v>305.00752908966456</v>
      </c>
      <c r="J5" s="7">
        <f>SUMIFS(Calc!$Q:$Q,Calc!$C:$C,$A5)</f>
        <v>3155970.3179619992</v>
      </c>
      <c r="K5" s="7">
        <f>SUMIFS(Calc!$R:$R,Calc!$C:$C,$A5)</f>
        <v>3745</v>
      </c>
      <c r="L5" s="7">
        <f>SUMIFS(Calc!$S:$S,Calc!$C:$C,$A5)</f>
        <v>2444.4561904052484</v>
      </c>
      <c r="M5" s="7">
        <f>SUMIFS(Calc!$T:$T,Calc!$C:$C,$A5)</f>
        <v>2917.1800136892543</v>
      </c>
      <c r="N5" s="7">
        <f>SUMIFS(Calc!$U:$U,Calc!$C:$C,$A5)</f>
        <v>29671257.735980999</v>
      </c>
      <c r="O5" s="7">
        <f>SUMIFS(Calc!$V:$V,Calc!$C:$C,$A5)</f>
        <v>23394903.39483181</v>
      </c>
      <c r="P5" s="23">
        <f t="shared" ref="P5:P11" si="1">IF(B5&gt;0,K5-H5^2/B5,0)</f>
        <v>90.431818181818016</v>
      </c>
      <c r="Q5" s="23">
        <f t="shared" ref="Q5:Q11" si="2">IF(B5&gt;0,L5-I5^2/B5,0)</f>
        <v>330.14726310109882</v>
      </c>
      <c r="R5" s="23">
        <f t="shared" ref="R5:R11" si="3">IF(B5&gt;0,M5-H5*I5/B5,0)</f>
        <v>137.45230539481145</v>
      </c>
      <c r="S5" s="7">
        <f t="shared" ref="S5:S11" si="4">IF(B5&gt;0,N5-H5*J5/B5,0)</f>
        <v>908891.88364550844</v>
      </c>
      <c r="T5" s="7">
        <f t="shared" ref="T5:T11" si="5">IF(B5&gt;0,O5-I5*J5/B5,0)</f>
        <v>1517750.9275156185</v>
      </c>
      <c r="U5" s="23">
        <f t="shared" ref="U5:U11" si="6">P5*Q5-R5^2</f>
        <v>10962.68101163489</v>
      </c>
      <c r="V5" s="3">
        <f t="shared" ref="V5:V11" si="7">IF(AND(B5&gt;=4,ABS(U5)&gt;0.000000001),1,0)</f>
        <v>1</v>
      </c>
      <c r="W5" s="4">
        <f t="shared" ref="W5:W11" si="8">IF(V5=1,(S5*Q5-T5*R5)/U5,0)</f>
        <v>8341.9196217763256</v>
      </c>
      <c r="X5" s="4">
        <f t="shared" ref="X5:X11" si="9">IF(V5=1,(T5*P5-S5*R5)/U5,0)</f>
        <v>1124.1493889670649</v>
      </c>
      <c r="Y5" s="7">
        <f>IF(D5&gt;0,SUMIFS(Calc!$E:$E,Calc!$C:$C,$A5,Calc!$D:$D,"M")/D5,0)</f>
        <v>9.15625</v>
      </c>
      <c r="Z5" s="7">
        <f>IF(C5&gt;0,SUMIFS(Calc!$E:$E,Calc!$C:$C,$A5,Calc!$D:$D,"F")/C5,0)</f>
        <v>9</v>
      </c>
      <c r="AA5" s="7">
        <f>IF(D5&gt;0,SUMIFS(Calc!$P:$P,Calc!$C:$C,$A5,Calc!$D:$D,"M")/D5,0)</f>
        <v>7.0125770020533906</v>
      </c>
      <c r="AB5" s="7">
        <f>IF(C5&gt;0,SUMIFS(Calc!$P:$P,Calc!$C:$C,$A5,Calc!$D:$D,"F")/C5,0)</f>
        <v>6.71708875199635</v>
      </c>
      <c r="AC5" s="5">
        <f t="shared" ref="AC5:AC11" si="10">IF(AND(V5=1,C5&gt;0,D5&gt;0,E5&gt;0),(W5*(Y5-Z5)+X5*(AA5-AB5))/E5,0)</f>
        <v>2.2062110036047567E-2</v>
      </c>
      <c r="AD5" s="5">
        <f t="shared" ref="AD5:AD11" si="11">IF(G5&gt;=0,MAX(0,MIN(AC5,G5)),MIN(0,MAX(AC5,G5)))</f>
        <v>2.2062110036047567E-2</v>
      </c>
      <c r="AE5" s="5">
        <f t="shared" ref="AE5:AE11" si="12">G5-AD5</f>
        <v>9.7106451129519059E-2</v>
      </c>
      <c r="AF5" s="3">
        <f t="shared" ref="AF5:AF11" si="13">INT((B5+1)/2)</f>
        <v>22</v>
      </c>
      <c r="AG5" s="3">
        <f t="shared" ref="AG5:AG11" si="14">INT(B5/2)+1</f>
        <v>23</v>
      </c>
      <c r="AH5" s="4">
        <f>(SUMIFS(Calc!$Q:$Q,Calc!$C:$C,$A5,Calc!$X:$X,AF5)+SUMIFS(Calc!$Q:$Q,Calc!$C:$C,$A5,Calc!$X:$X,AG5))/2</f>
        <v>71955.39427199999</v>
      </c>
      <c r="AI5" s="4">
        <f t="shared" ref="AI5:AI11" si="15">IF(AND(G5&gt;=0,AE5&gt;0.000000000001),AE5*E5*C5,0)</f>
        <v>86389.074309061543</v>
      </c>
      <c r="AJ5" s="4">
        <f>SUMIFS(Calc!$AA:$AA,Calc!$C:$C,$A5)</f>
        <v>110188.28189699992</v>
      </c>
      <c r="AK5" s="4">
        <f>IF(D5&gt;0,SUMIFS(Calc!$BT:$BT,Calc!$C:$C,$A5,Calc!$D:$D,"M")/D5,0)</f>
        <v>74136.058336156231</v>
      </c>
      <c r="AL5" s="4">
        <f>IF(C5&gt;0,SUMIFS(Calc!$BT:$BT,Calc!$C:$C,$A5,Calc!$D:$D,"F")/C5,0)</f>
        <v>72500.460459505135</v>
      </c>
      <c r="AM5" s="5">
        <f t="shared" ref="AM5:AM11" si="16">IF(AK5&gt;0,(AK5-AL5)/AK5,0)</f>
        <v>2.2062110036047241E-2</v>
      </c>
      <c r="AN5" s="4">
        <f>IF(D5&gt;0,SUMIFS(Calc!$BU:$BU,Calc!$C:$C,$A5,Calc!$D:$D,"M")/D5,0)</f>
        <v>77950.866197929368</v>
      </c>
      <c r="AO5" s="4">
        <f>IF(C5&gt;0,SUMIFS(Calc!$BU:$BU,Calc!$C:$C,$A5,Calc!$D:$D,"F")/C5,0)</f>
        <v>78644.75867779406</v>
      </c>
      <c r="AP5" s="5">
        <f t="shared" ref="AP5:AP11" si="17">IF(AN5&gt;0,(AN5-AO5)/AN5,0)</f>
        <v>-8.9016647756394434E-3</v>
      </c>
      <c r="AQ5" s="5">
        <f t="shared" ref="AQ5:AQ11" si="18">IF(AND(AI5&gt;0,AJ5&gt;0),0,AE5)</f>
        <v>0</v>
      </c>
      <c r="AR5" s="7">
        <f>SUMIFS(Calc!$BU:$BU,Calc!$C:$C,$A5)</f>
        <v>3438164.8224672684</v>
      </c>
      <c r="AS5" s="7">
        <f>SUMIFS(Calc!$BV:$BV,Calc!$C:$C,$A5)</f>
        <v>32198699.356540371</v>
      </c>
      <c r="AT5" s="7">
        <f>SUMIFS(Calc!$BW:$BW,Calc!$C:$C,$A5)</f>
        <v>25165041.072842449</v>
      </c>
      <c r="AU5" s="7">
        <f t="shared" ref="AU5:AU11" si="19">IF(B5&gt;0,AS5-H5*AR5/B5,0)</f>
        <v>864515.40632731095</v>
      </c>
      <c r="AV5" s="7">
        <f t="shared" ref="AV5:AV11" si="20">IF(B5&gt;0,AT5-I5*AR5/B5,0)</f>
        <v>1331719.3204845674</v>
      </c>
      <c r="AW5" s="4">
        <f t="shared" ref="AW5:AW11" si="21">IF(V5=1,(AU5*Q5-AV5*R5)/U5,0)</f>
        <v>9337.9990222860597</v>
      </c>
      <c r="AX5" s="4">
        <f t="shared" ref="AX5:AX11" si="22">IF(V5=1,(AV5*P5-AU5*R5)/U5,0)</f>
        <v>145.96464209396342</v>
      </c>
      <c r="AY5" s="5">
        <f t="shared" ref="AY5:AY11" si="23">IF(AND(V5=1,C5&gt;0,D5&gt;0,AN5&gt;0),(AW5*(Y5-Z5)+AX5*(AA5-AB5))/AN5,0)</f>
        <v>1.9271026188220183E-2</v>
      </c>
      <c r="AZ5" s="5">
        <f t="shared" ref="AZ5:AZ11" si="24">IF(AP5&gt;=0,MAX(0,MIN(AY5,AP5)),MIN(0,MAX(AY5,AP5)))</f>
        <v>0</v>
      </c>
      <c r="BA5" s="5">
        <f t="shared" ref="BA5:BA11" si="25">AP5-AZ5</f>
        <v>-8.9016647756394434E-3</v>
      </c>
    </row>
    <row r="6" spans="1:53" x14ac:dyDescent="0.3">
      <c r="A6" s="17" t="s">
        <v>109</v>
      </c>
      <c r="B6" s="3">
        <f>COUNTIFS(Calc!$C:$C,$A6)</f>
        <v>38</v>
      </c>
      <c r="C6" s="3">
        <f>COUNTIFS(Calc!$C:$C,$A6,Calc!$D:$D,"F")</f>
        <v>19</v>
      </c>
      <c r="D6" s="3">
        <f>COUNTIFS(Calc!$C:$C,$A6,Calc!$D:$D,"M")</f>
        <v>19</v>
      </c>
      <c r="E6" s="4">
        <f>IF(D6&gt;0,SUMIFS(Calc!$Q:$Q,Calc!$C:$C,$A6,Calc!$D:$D,"M")/D6,0)</f>
        <v>57158.659886684211</v>
      </c>
      <c r="F6" s="4">
        <f>IF(C6&gt;0,SUMIFS(Calc!$Q:$Q,Calc!$C:$C,$A6,Calc!$D:$D,"F")/C6,0)</f>
        <v>50601.222932526318</v>
      </c>
      <c r="G6" s="5">
        <f t="shared" si="0"/>
        <v>0.1147234201634165</v>
      </c>
      <c r="H6" s="7">
        <f>SUMIFS(Calc!$E:$E,Calc!$C:$C,$A6)</f>
        <v>253</v>
      </c>
      <c r="I6" s="7">
        <f>SUMIFS(Calc!$P:$P,Calc!$C:$C,$A6)</f>
        <v>212.59137577002053</v>
      </c>
      <c r="J6" s="7">
        <f>SUMIFS(Calc!$Q:$Q,Calc!$C:$C,$A6)</f>
        <v>2047437.7735649999</v>
      </c>
      <c r="K6" s="7">
        <f>SUMIFS(Calc!$R:$R,Calc!$C:$C,$A6)</f>
        <v>1767</v>
      </c>
      <c r="L6" s="7">
        <f>SUMIFS(Calc!$S:$S,Calc!$C:$C,$A6)</f>
        <v>1428.4607066409744</v>
      </c>
      <c r="M6" s="7">
        <f>SUMIFS(Calc!$T:$T,Calc!$C:$C,$A6)</f>
        <v>1520.4763860369612</v>
      </c>
      <c r="N6" s="7">
        <f>SUMIFS(Calc!$U:$U,Calc!$C:$C,$A6)</f>
        <v>14274209.041411996</v>
      </c>
      <c r="O6" s="7">
        <f>SUMIFS(Calc!$V:$V,Calc!$C:$C,$A6)</f>
        <v>12360230.203076091</v>
      </c>
      <c r="P6" s="23">
        <f t="shared" si="1"/>
        <v>82.552631578947285</v>
      </c>
      <c r="Q6" s="23">
        <f t="shared" si="2"/>
        <v>239.1161526464989</v>
      </c>
      <c r="R6" s="23">
        <f t="shared" si="3"/>
        <v>105.06538419971935</v>
      </c>
      <c r="S6" s="7">
        <f t="shared" si="4"/>
        <v>642583.86478186399</v>
      </c>
      <c r="T6" s="7">
        <f t="shared" si="5"/>
        <v>905819.33240000904</v>
      </c>
      <c r="U6" s="23">
        <f t="shared" si="6"/>
        <v>8700.9326969671074</v>
      </c>
      <c r="V6" s="3">
        <f t="shared" si="7"/>
        <v>1</v>
      </c>
      <c r="W6" s="4">
        <f t="shared" si="8"/>
        <v>6721.3398105702245</v>
      </c>
      <c r="X6" s="4">
        <f t="shared" si="9"/>
        <v>834.90462963712775</v>
      </c>
      <c r="Y6" s="7">
        <f>IF(D6&gt;0,SUMIFS(Calc!$E:$E,Calc!$C:$C,$A6,Calc!$D:$D,"M")/D6,0)</f>
        <v>7</v>
      </c>
      <c r="Z6" s="7">
        <f>IF(C6&gt;0,SUMIFS(Calc!$E:$E,Calc!$C:$C,$A6,Calc!$D:$D,"F")/C6,0)</f>
        <v>6.3157894736842106</v>
      </c>
      <c r="AA6" s="7">
        <f>IF(D6&gt;0,SUMIFS(Calc!$P:$P,Calc!$C:$C,$A6,Calc!$D:$D,"M")/D6,0)</f>
        <v>6.5205518930797215</v>
      </c>
      <c r="AB6" s="7">
        <f>IF(C6&gt;0,SUMIFS(Calc!$P:$P,Calc!$C:$C,$A6,Calc!$D:$D,"F")/C6,0)</f>
        <v>4.6684678842897798</v>
      </c>
      <c r="AC6" s="5">
        <f t="shared" si="10"/>
        <v>0.10750995518326899</v>
      </c>
      <c r="AD6" s="5">
        <f t="shared" si="11"/>
        <v>0.10750995518326899</v>
      </c>
      <c r="AE6" s="5">
        <f t="shared" si="12"/>
        <v>7.2134649801475076E-3</v>
      </c>
      <c r="AF6" s="3">
        <f t="shared" si="13"/>
        <v>19</v>
      </c>
      <c r="AG6" s="3">
        <f t="shared" si="14"/>
        <v>20</v>
      </c>
      <c r="AH6" s="4">
        <f>(SUMIFS(Calc!$Q:$Q,Calc!$C:$C,$A6,Calc!$X:$X,AF6)+SUMIFS(Calc!$Q:$Q,Calc!$C:$C,$A6,Calc!$X:$X,AG6))/2</f>
        <v>51811.839122000005</v>
      </c>
      <c r="AI6" s="4">
        <f t="shared" si="15"/>
        <v>7833.9278366904146</v>
      </c>
      <c r="AJ6" s="4">
        <f>SUMIFS(Calc!$AA:$AA,Calc!$C:$C,$A6)</f>
        <v>99523.988733000064</v>
      </c>
      <c r="AK6" s="4">
        <f>IF(D6&gt;0,SUMIFS(Calc!$BT:$BT,Calc!$C:$C,$A6,Calc!$D:$D,"M")/D6,0)</f>
        <v>57158.659886684211</v>
      </c>
      <c r="AL6" s="4">
        <f>IF(C6&gt;0,SUMIFS(Calc!$BT:$BT,Calc!$C:$C,$A6,Calc!$D:$D,"F")/C6,0)</f>
        <v>51013.534923931067</v>
      </c>
      <c r="AM6" s="5">
        <f t="shared" si="16"/>
        <v>0.10750995518326914</v>
      </c>
      <c r="AN6" s="4">
        <f>IF(D6&gt;0,SUMIFS(Calc!$BU:$BU,Calc!$C:$C,$A6,Calc!$D:$D,"M")/D6,0)</f>
        <v>58547.605418937354</v>
      </c>
      <c r="AO6" s="4">
        <f>IF(C6&gt;0,SUMIFS(Calc!$BU:$BU,Calc!$C:$C,$A6,Calc!$D:$D,"F")/C6,0)</f>
        <v>52621.372114313213</v>
      </c>
      <c r="AP6" s="5">
        <f t="shared" si="17"/>
        <v>0.10122076321002339</v>
      </c>
      <c r="AQ6" s="5">
        <f t="shared" si="18"/>
        <v>0</v>
      </c>
      <c r="AR6" s="7">
        <f>SUMIFS(Calc!$BU:$BU,Calc!$C:$C,$A6)</f>
        <v>2112210.5731317606</v>
      </c>
      <c r="AS6" s="7">
        <f>SUMIFS(Calc!$BV:$BV,Calc!$C:$C,$A6)</f>
        <v>14715812.512301182</v>
      </c>
      <c r="AT6" s="7">
        <f>SUMIFS(Calc!$BW:$BW,Calc!$C:$C,$A6)</f>
        <v>12691166.746360742</v>
      </c>
      <c r="AU6" s="7">
        <f t="shared" si="19"/>
        <v>652936.85434498638</v>
      </c>
      <c r="AV6" s="7">
        <f t="shared" si="20"/>
        <v>874383.80799062178</v>
      </c>
      <c r="AW6" s="4">
        <f t="shared" si="21"/>
        <v>7385.4470601676476</v>
      </c>
      <c r="AX6" s="4">
        <f t="shared" si="22"/>
        <v>411.63666292730329</v>
      </c>
      <c r="AY6" s="5">
        <f t="shared" si="23"/>
        <v>9.9330899348326812E-2</v>
      </c>
      <c r="AZ6" s="5">
        <f t="shared" si="24"/>
        <v>9.9330899348326812E-2</v>
      </c>
      <c r="BA6" s="5">
        <f t="shared" si="25"/>
        <v>1.8898638616965807E-3</v>
      </c>
    </row>
    <row r="7" spans="1:53" x14ac:dyDescent="0.3">
      <c r="A7" s="17" t="s">
        <v>113</v>
      </c>
      <c r="B7" s="3">
        <f>COUNTIFS(Calc!$C:$C,$A7)</f>
        <v>8</v>
      </c>
      <c r="C7" s="3">
        <f>COUNTIFS(Calc!$C:$C,$A7,Calc!$D:$D,"F")</f>
        <v>3</v>
      </c>
      <c r="D7" s="3">
        <f>COUNTIFS(Calc!$C:$C,$A7,Calc!$D:$D,"M")</f>
        <v>5</v>
      </c>
      <c r="E7" s="4">
        <f>IF(D7&gt;0,SUMIFS(Calc!$Q:$Q,Calc!$C:$C,$A7,Calc!$D:$D,"M")/D7,0)</f>
        <v>88370.569890999992</v>
      </c>
      <c r="F7" s="4">
        <f>IF(C7&gt;0,SUMIFS(Calc!$Q:$Q,Calc!$C:$C,$A7,Calc!$D:$D,"F")/C7,0)</f>
        <v>78581.02608299999</v>
      </c>
      <c r="G7" s="5">
        <f t="shared" si="0"/>
        <v>0.11077832608836675</v>
      </c>
      <c r="H7" s="7">
        <f>SUMIFS(Calc!$E:$E,Calc!$C:$C,$A7)</f>
        <v>81</v>
      </c>
      <c r="I7" s="7">
        <f>SUMIFS(Calc!$P:$P,Calc!$C:$C,$A7)</f>
        <v>44.276522929500345</v>
      </c>
      <c r="J7" s="7">
        <f>SUMIFS(Calc!$Q:$Q,Calc!$C:$C,$A7)</f>
        <v>677595.92770400003</v>
      </c>
      <c r="K7" s="7">
        <f>SUMIFS(Calc!$R:$R,Calc!$C:$C,$A7)</f>
        <v>827</v>
      </c>
      <c r="L7" s="7">
        <f>SUMIFS(Calc!$S:$S,Calc!$C:$C,$A7)</f>
        <v>299.01135477233532</v>
      </c>
      <c r="M7" s="7">
        <f>SUMIFS(Calc!$T:$T,Calc!$C:$C,$A7)</f>
        <v>458.29158110882958</v>
      </c>
      <c r="N7" s="7">
        <f>SUMIFS(Calc!$U:$U,Calc!$C:$C,$A7)</f>
        <v>6956476.215104999</v>
      </c>
      <c r="O7" s="7">
        <f>SUMIFS(Calc!$V:$V,Calc!$C:$C,$A7)</f>
        <v>3983109.0676533552</v>
      </c>
      <c r="P7" s="23">
        <f t="shared" si="1"/>
        <v>6.875</v>
      </c>
      <c r="Q7" s="23">
        <f t="shared" si="2"/>
        <v>53.960044431514092</v>
      </c>
      <c r="R7" s="23">
        <f t="shared" si="3"/>
        <v>9.9917864476385603</v>
      </c>
      <c r="S7" s="7">
        <f t="shared" si="4"/>
        <v>95817.447101999074</v>
      </c>
      <c r="T7" s="7">
        <f t="shared" si="5"/>
        <v>232910.11391307833</v>
      </c>
      <c r="U7" s="23">
        <f t="shared" si="6"/>
        <v>271.13950905144577</v>
      </c>
      <c r="V7" s="3">
        <f t="shared" si="7"/>
        <v>1</v>
      </c>
      <c r="W7" s="4">
        <f t="shared" si="8"/>
        <v>10485.840271563004</v>
      </c>
      <c r="X7" s="4">
        <f t="shared" si="9"/>
        <v>2374.6799793355358</v>
      </c>
      <c r="Y7" s="7">
        <f>IF(D7&gt;0,SUMIFS(Calc!$E:$E,Calc!$C:$C,$A7,Calc!$D:$D,"M")/D7,0)</f>
        <v>10.4</v>
      </c>
      <c r="Z7" s="7">
        <f>IF(C7&gt;0,SUMIFS(Calc!$E:$E,Calc!$C:$C,$A7,Calc!$D:$D,"F")/C7,0)</f>
        <v>9.6666666666666661</v>
      </c>
      <c r="AA7" s="7">
        <f>IF(D7&gt;0,SUMIFS(Calc!$P:$P,Calc!$C:$C,$A7,Calc!$D:$D,"M")/D7,0)</f>
        <v>5.1953456536618754</v>
      </c>
      <c r="AB7" s="7">
        <f>IF(C7&gt;0,SUMIFS(Calc!$P:$P,Calc!$C:$C,$A7,Calc!$D:$D,"F")/C7,0)</f>
        <v>6.0999315537303218</v>
      </c>
      <c r="AC7" s="5">
        <f t="shared" si="10"/>
        <v>6.2707688538159209E-2</v>
      </c>
      <c r="AD7" s="5">
        <f t="shared" si="11"/>
        <v>6.2707688538159209E-2</v>
      </c>
      <c r="AE7" s="5">
        <f t="shared" si="12"/>
        <v>4.8070637550207546E-2</v>
      </c>
      <c r="AF7" s="3">
        <f t="shared" si="13"/>
        <v>4</v>
      </c>
      <c r="AG7" s="3">
        <f t="shared" si="14"/>
        <v>5</v>
      </c>
      <c r="AH7" s="4">
        <f>(SUMIFS(Calc!$Q:$Q,Calc!$C:$C,$A7,Calc!$X:$X,AF7)+SUMIFS(Calc!$Q:$Q,Calc!$C:$C,$A7,Calc!$X:$X,AG7))/2</f>
        <v>80332.662391999998</v>
      </c>
      <c r="AI7" s="4">
        <f t="shared" si="15"/>
        <v>12744.088906006633</v>
      </c>
      <c r="AJ7" s="4">
        <f>SUMIFS(Calc!$AA:$AA,Calc!$C:$C,$A7)</f>
        <v>6404.2070170000079</v>
      </c>
      <c r="AK7" s="4">
        <f>IF(D7&gt;0,SUMIFS(Calc!$BT:$BT,Calc!$C:$C,$A7,Calc!$D:$D,"M")/D7,0)</f>
        <v>88370.569890999992</v>
      </c>
      <c r="AL7" s="4">
        <f>IF(C7&gt;0,SUMIFS(Calc!$BT:$BT,Calc!$C:$C,$A7,Calc!$D:$D,"F")/C7,0)</f>
        <v>82829.055718335541</v>
      </c>
      <c r="AM7" s="5">
        <f t="shared" si="16"/>
        <v>6.2707688538159126E-2</v>
      </c>
      <c r="AN7" s="4">
        <f>IF(D7&gt;0,SUMIFS(Calc!$BU:$BU,Calc!$C:$C,$A7,Calc!$D:$D,"M")/D7,0)</f>
        <v>92652.759614139999</v>
      </c>
      <c r="AO7" s="4">
        <f>IF(C7&gt;0,SUMIFS(Calc!$BU:$BU,Calc!$C:$C,$A7,Calc!$D:$D,"F")/C7,0)</f>
        <v>89540.367333333314</v>
      </c>
      <c r="AP7" s="5">
        <f t="shared" si="17"/>
        <v>3.3592008416894414E-2</v>
      </c>
      <c r="AQ7" s="5">
        <f t="shared" si="18"/>
        <v>0</v>
      </c>
      <c r="AR7" s="7">
        <f>SUMIFS(Calc!$BU:$BU,Calc!$C:$C,$A7)</f>
        <v>731884.90007069998</v>
      </c>
      <c r="AS7" s="7">
        <f>SUMIFS(Calc!$BV:$BV,Calc!$C:$C,$A7)</f>
        <v>7490546.7289409991</v>
      </c>
      <c r="AT7" s="7">
        <f>SUMIFS(Calc!$BW:$BW,Calc!$C:$C,$A7)</f>
        <v>4248745.9333879743</v>
      </c>
      <c r="AU7" s="7">
        <f t="shared" si="19"/>
        <v>80212.115725161508</v>
      </c>
      <c r="AV7" s="7">
        <f t="shared" si="20"/>
        <v>198081.11342104711</v>
      </c>
      <c r="AW7" s="4">
        <f t="shared" si="21"/>
        <v>8663.6770571719971</v>
      </c>
      <c r="AX7" s="4">
        <f t="shared" si="22"/>
        <v>2066.6310339312995</v>
      </c>
      <c r="AY7" s="5">
        <f t="shared" si="23"/>
        <v>4.8394865948893341E-2</v>
      </c>
      <c r="AZ7" s="5">
        <f t="shared" si="24"/>
        <v>3.3592008416894414E-2</v>
      </c>
      <c r="BA7" s="5">
        <f t="shared" si="25"/>
        <v>0</v>
      </c>
    </row>
    <row r="8" spans="1:53" x14ac:dyDescent="0.3">
      <c r="A8" s="17" t="s">
        <v>110</v>
      </c>
      <c r="B8" s="3">
        <f>COUNTIFS(Calc!$C:$C,$A8)</f>
        <v>26</v>
      </c>
      <c r="C8" s="3">
        <f>COUNTIFS(Calc!$C:$C,$A8,Calc!$D:$D,"F")</f>
        <v>12</v>
      </c>
      <c r="D8" s="3">
        <f>COUNTIFS(Calc!$C:$C,$A8,Calc!$D:$D,"M")</f>
        <v>14</v>
      </c>
      <c r="E8" s="4">
        <f>IF(D8&gt;0,SUMIFS(Calc!$Q:$Q,Calc!$C:$C,$A8,Calc!$D:$D,"M")/D8,0)</f>
        <v>68396.187373714289</v>
      </c>
      <c r="F8" s="4">
        <f>IF(C8&gt;0,SUMIFS(Calc!$Q:$Q,Calc!$C:$C,$A8,Calc!$D:$D,"F")/C8,0)</f>
        <v>77723.67320075001</v>
      </c>
      <c r="G8" s="5">
        <f t="shared" si="0"/>
        <v>-0.13637435338421244</v>
      </c>
      <c r="H8" s="7">
        <f>SUMIFS(Calc!$E:$E,Calc!$C:$C,$A8)</f>
        <v>223</v>
      </c>
      <c r="I8" s="7">
        <f>SUMIFS(Calc!$P:$P,Calc!$C:$C,$A8)</f>
        <v>204.30663928815883</v>
      </c>
      <c r="J8" s="7">
        <f>SUMIFS(Calc!$Q:$Q,Calc!$C:$C,$A8)</f>
        <v>1890230.7016409999</v>
      </c>
      <c r="K8" s="7">
        <f>SUMIFS(Calc!$R:$R,Calc!$C:$C,$A8)</f>
        <v>1957</v>
      </c>
      <c r="L8" s="7">
        <f>SUMIFS(Calc!$S:$S,Calc!$C:$C,$A8)</f>
        <v>1795.2458954491433</v>
      </c>
      <c r="M8" s="7">
        <f>SUMIFS(Calc!$T:$T,Calc!$C:$C,$A8)</f>
        <v>1821.7522245037644</v>
      </c>
      <c r="N8" s="7">
        <f>SUMIFS(Calc!$U:$U,Calc!$C:$C,$A8)</f>
        <v>16567959.190387001</v>
      </c>
      <c r="O8" s="7">
        <f>SUMIFS(Calc!$V:$V,Calc!$C:$C,$A8)</f>
        <v>15479768.427302852</v>
      </c>
      <c r="P8" s="23">
        <f t="shared" si="1"/>
        <v>44.346153846153811</v>
      </c>
      <c r="Q8" s="23">
        <f t="shared" si="2"/>
        <v>189.815016325226</v>
      </c>
      <c r="R8" s="23">
        <f t="shared" si="3"/>
        <v>69.429895224555821</v>
      </c>
      <c r="S8" s="7">
        <f t="shared" si="4"/>
        <v>355595.86477380991</v>
      </c>
      <c r="T8" s="7">
        <f t="shared" si="5"/>
        <v>626434.49916549958</v>
      </c>
      <c r="U8" s="23">
        <f t="shared" si="6"/>
        <v>3597.0555653758702</v>
      </c>
      <c r="V8" s="3">
        <f t="shared" si="7"/>
        <v>1</v>
      </c>
      <c r="W8" s="4">
        <f t="shared" si="8"/>
        <v>6673.278407532066</v>
      </c>
      <c r="X8" s="4">
        <f t="shared" si="9"/>
        <v>859.30755998138932</v>
      </c>
      <c r="Y8" s="7">
        <f>IF(D8&gt;0,SUMIFS(Calc!$E:$E,Calc!$C:$C,$A8,Calc!$D:$D,"M")/D8,0)</f>
        <v>8.3571428571428577</v>
      </c>
      <c r="Z8" s="7">
        <f>IF(C8&gt;0,SUMIFS(Calc!$E:$E,Calc!$C:$C,$A8,Calc!$D:$D,"F")/C8,0)</f>
        <v>8.8333333333333339</v>
      </c>
      <c r="AA8" s="7">
        <f>IF(D8&gt;0,SUMIFS(Calc!$P:$P,Calc!$C:$C,$A8,Calc!$D:$D,"M")/D8,0)</f>
        <v>7.2359440696196335</v>
      </c>
      <c r="AB8" s="7">
        <f>IF(C8&gt;0,SUMIFS(Calc!$P:$P,Calc!$C:$C,$A8,Calc!$D:$D,"F")/C8,0)</f>
        <v>8.5836185261236597</v>
      </c>
      <c r="AC8" s="5">
        <f t="shared" si="10"/>
        <v>-6.3392692458298636E-2</v>
      </c>
      <c r="AD8" s="5">
        <f t="shared" si="11"/>
        <v>-6.3392692458298636E-2</v>
      </c>
      <c r="AE8" s="5">
        <f t="shared" si="12"/>
        <v>-7.2981660925913808E-2</v>
      </c>
      <c r="AF8" s="3">
        <f t="shared" si="13"/>
        <v>13</v>
      </c>
      <c r="AG8" s="3">
        <f t="shared" si="14"/>
        <v>14</v>
      </c>
      <c r="AH8" s="4">
        <f>(SUMIFS(Calc!$Q:$Q,Calc!$C:$C,$A8,Calc!$X:$X,AF8)+SUMIFS(Calc!$Q:$Q,Calc!$C:$C,$A8,Calc!$X:$X,AG8))/2</f>
        <v>75605.01810049999</v>
      </c>
      <c r="AI8" s="4">
        <f t="shared" si="15"/>
        <v>0</v>
      </c>
      <c r="AJ8" s="4">
        <f>SUMIFS(Calc!$AA:$AA,Calc!$C:$C,$A8)</f>
        <v>0</v>
      </c>
      <c r="AK8" s="4">
        <f>IF(D8&gt;0,SUMIFS(Calc!$BT:$BT,Calc!$C:$C,$A8,Calc!$D:$D,"M")/D8,0)</f>
        <v>68396.187373714289</v>
      </c>
      <c r="AL8" s="4">
        <f>IF(C8&gt;0,SUMIFS(Calc!$BT:$BT,Calc!$C:$C,$A8,Calc!$D:$D,"F")/C8,0)</f>
        <v>77723.67320075001</v>
      </c>
      <c r="AM8" s="5">
        <f t="shared" si="16"/>
        <v>-0.13637435338421244</v>
      </c>
      <c r="AN8" s="4">
        <f>IF(D8&gt;0,SUMIFS(Calc!$BU:$BU,Calc!$C:$C,$A8,Calc!$D:$D,"M")/D8,0)</f>
        <v>74102.99428142856</v>
      </c>
      <c r="AO8" s="4">
        <f>IF(C8&gt;0,SUMIFS(Calc!$BU:$BU,Calc!$C:$C,$A8,Calc!$D:$D,"F")/C8,0)</f>
        <v>80239.983393956689</v>
      </c>
      <c r="AP8" s="5">
        <f t="shared" si="17"/>
        <v>-8.2817019366600131E-2</v>
      </c>
      <c r="AQ8" s="5">
        <f t="shared" si="18"/>
        <v>-7.2981660925913808E-2</v>
      </c>
      <c r="AR8" s="7">
        <f>SUMIFS(Calc!$BU:$BU,Calc!$C:$C,$A8)</f>
        <v>2000321.7206674798</v>
      </c>
      <c r="AS8" s="7">
        <f>SUMIFS(Calc!$BV:$BV,Calc!$C:$C,$A8)</f>
        <v>17586574.417108878</v>
      </c>
      <c r="AT8" s="7">
        <f>SUMIFS(Calc!$BW:$BW,Calc!$C:$C,$A8)</f>
        <v>16398310.030016646</v>
      </c>
      <c r="AU8" s="7">
        <f t="shared" si="19"/>
        <v>429968.88984549418</v>
      </c>
      <c r="AV8" s="7">
        <f t="shared" si="20"/>
        <v>679886.635990493</v>
      </c>
      <c r="AW8" s="4">
        <f t="shared" si="21"/>
        <v>9566.1835961576198</v>
      </c>
      <c r="AX8" s="4">
        <f t="shared" si="22"/>
        <v>82.751678526275214</v>
      </c>
      <c r="AY8" s="5">
        <f t="shared" si="23"/>
        <v>-6.2977857920811481E-2</v>
      </c>
      <c r="AZ8" s="5">
        <f t="shared" si="24"/>
        <v>-6.2977857920811481E-2</v>
      </c>
      <c r="BA8" s="5">
        <f t="shared" si="25"/>
        <v>-1.983916144578865E-2</v>
      </c>
    </row>
    <row r="9" spans="1:53" x14ac:dyDescent="0.3">
      <c r="A9" s="17" t="s">
        <v>108</v>
      </c>
      <c r="B9" s="3">
        <f>COUNTIFS(Calc!$C:$C,$A9)</f>
        <v>40</v>
      </c>
      <c r="C9" s="3">
        <f>COUNTIFS(Calc!$C:$C,$A9,Calc!$D:$D,"F")</f>
        <v>19</v>
      </c>
      <c r="D9" s="3">
        <f>COUNTIFS(Calc!$C:$C,$A9,Calc!$D:$D,"M")</f>
        <v>21</v>
      </c>
      <c r="E9" s="4">
        <f>IF(D9&gt;0,SUMIFS(Calc!$Q:$Q,Calc!$C:$C,$A9,Calc!$D:$D,"M")/D9,0)</f>
        <v>54294.288564380957</v>
      </c>
      <c r="F9" s="4">
        <f>IF(C9&gt;0,SUMIFS(Calc!$Q:$Q,Calc!$C:$C,$A9,Calc!$D:$D,"F")/C9,0)</f>
        <v>45818.939389368425</v>
      </c>
      <c r="G9" s="5">
        <f t="shared" si="0"/>
        <v>0.15610019762875524</v>
      </c>
      <c r="H9" s="7">
        <f>SUMIFS(Calc!$E:$E,Calc!$C:$C,$A9)</f>
        <v>230</v>
      </c>
      <c r="I9" s="7">
        <f>SUMIFS(Calc!$P:$P,Calc!$C:$C,$A9)</f>
        <v>411.1019849418206</v>
      </c>
      <c r="J9" s="7">
        <f>SUMIFS(Calc!$Q:$Q,Calc!$C:$C,$A9)</f>
        <v>2010739.9082500001</v>
      </c>
      <c r="K9" s="7">
        <f>SUMIFS(Calc!$R:$R,Calc!$C:$C,$A9)</f>
        <v>1386</v>
      </c>
      <c r="L9" s="7">
        <f>SUMIFS(Calc!$S:$S,Calc!$C:$C,$A9)</f>
        <v>5002.5323039688992</v>
      </c>
      <c r="M9" s="7">
        <f>SUMIFS(Calc!$T:$T,Calc!$C:$C,$A9)</f>
        <v>2527.006160164271</v>
      </c>
      <c r="N9" s="7">
        <f>SUMIFS(Calc!$U:$U,Calc!$C:$C,$A9)</f>
        <v>12046070.456655001</v>
      </c>
      <c r="O9" s="7">
        <f>SUMIFS(Calc!$V:$V,Calc!$C:$C,$A9)</f>
        <v>22170648.146602385</v>
      </c>
      <c r="P9" s="23">
        <f t="shared" si="1"/>
        <v>63.5</v>
      </c>
      <c r="Q9" s="23">
        <f t="shared" si="2"/>
        <v>777.41125339127666</v>
      </c>
      <c r="R9" s="23">
        <f t="shared" si="3"/>
        <v>163.16974674880248</v>
      </c>
      <c r="S9" s="7">
        <f t="shared" si="4"/>
        <v>484315.98421750031</v>
      </c>
      <c r="T9" s="7">
        <f t="shared" si="5"/>
        <v>1505168.9595196545</v>
      </c>
      <c r="U9" s="23">
        <f t="shared" si="6"/>
        <v>22741.248336277735</v>
      </c>
      <c r="V9" s="3">
        <f t="shared" si="7"/>
        <v>1</v>
      </c>
      <c r="W9" s="4">
        <f t="shared" si="8"/>
        <v>5756.7050169420954</v>
      </c>
      <c r="X9" s="4">
        <f t="shared" si="9"/>
        <v>727.86296484552679</v>
      </c>
      <c r="Y9" s="7">
        <f>IF(D9&gt;0,SUMIFS(Calc!$E:$E,Calc!$C:$C,$A9,Calc!$D:$D,"M")/D9,0)</f>
        <v>6</v>
      </c>
      <c r="Z9" s="7">
        <f>IF(C9&gt;0,SUMIFS(Calc!$E:$E,Calc!$C:$C,$A9,Calc!$D:$D,"F")/C9,0)</f>
        <v>5.4736842105263159</v>
      </c>
      <c r="AA9" s="7">
        <f>IF(D9&gt;0,SUMIFS(Calc!$P:$P,Calc!$C:$C,$A9,Calc!$D:$D,"M")/D9,0)</f>
        <v>11.471464424236496</v>
      </c>
      <c r="AB9" s="7">
        <f>IF(C9&gt;0,SUMIFS(Calc!$P:$P,Calc!$C:$C,$A9,Calc!$D:$D,"F")/C9,0)</f>
        <v>8.9579595806765369</v>
      </c>
      <c r="AC9" s="5">
        <f t="shared" si="10"/>
        <v>8.9499871198865669E-2</v>
      </c>
      <c r="AD9" s="5">
        <f t="shared" si="11"/>
        <v>8.9499871198865669E-2</v>
      </c>
      <c r="AE9" s="5">
        <f t="shared" si="12"/>
        <v>6.660032642988957E-2</v>
      </c>
      <c r="AF9" s="3">
        <f t="shared" si="13"/>
        <v>20</v>
      </c>
      <c r="AG9" s="3">
        <f t="shared" si="14"/>
        <v>21</v>
      </c>
      <c r="AH9" s="4">
        <f>(SUMIFS(Calc!$Q:$Q,Calc!$C:$C,$A9,Calc!$X:$X,AF9)+SUMIFS(Calc!$Q:$Q,Calc!$C:$C,$A9,Calc!$X:$X,AG9))/2</f>
        <v>48803.730524999999</v>
      </c>
      <c r="AI9" s="4">
        <f t="shared" si="15"/>
        <v>68704.329491661454</v>
      </c>
      <c r="AJ9" s="4">
        <f>SUMIFS(Calc!$AA:$AA,Calc!$C:$C,$A9)</f>
        <v>105697.82527099998</v>
      </c>
      <c r="AK9" s="4">
        <f>IF(D9&gt;0,SUMIFS(Calc!$BT:$BT,Calc!$C:$C,$A9,Calc!$D:$D,"M")/D9,0)</f>
        <v>54294.288564380957</v>
      </c>
      <c r="AL9" s="4">
        <f>IF(C9&gt;0,SUMIFS(Calc!$BT:$BT,Calc!$C:$C,$A9,Calc!$D:$D,"F")/C9,0)</f>
        <v>49434.956731034821</v>
      </c>
      <c r="AM9" s="5">
        <f t="shared" si="16"/>
        <v>8.9499871198865572E-2</v>
      </c>
      <c r="AN9" s="4">
        <f>IF(D9&gt;0,SUMIFS(Calc!$BU:$BU,Calc!$C:$C,$A9,Calc!$D:$D,"M")/D9,0)</f>
        <v>54445.174449445716</v>
      </c>
      <c r="AO9" s="4">
        <f>IF(C9&gt;0,SUMIFS(Calc!$BU:$BU,Calc!$C:$C,$A9,Calc!$D:$D,"F")/C9,0)</f>
        <v>50691.71681903088</v>
      </c>
      <c r="AP9" s="5">
        <f t="shared" si="17"/>
        <v>6.8940134150916446E-2</v>
      </c>
      <c r="AQ9" s="5">
        <f t="shared" si="18"/>
        <v>0</v>
      </c>
      <c r="AR9" s="7">
        <f>SUMIFS(Calc!$BU:$BU,Calc!$C:$C,$A9)</f>
        <v>2106491.2829999467</v>
      </c>
      <c r="AS9" s="7">
        <f>SUMIFS(Calc!$BV:$BV,Calc!$C:$C,$A9)</f>
        <v>12531894.621660318</v>
      </c>
      <c r="AT9" s="7">
        <f>SUMIFS(Calc!$BW:$BW,Calc!$C:$C,$A9)</f>
        <v>22938437.322046842</v>
      </c>
      <c r="AU9" s="7">
        <f t="shared" si="19"/>
        <v>419569.74441062473</v>
      </c>
      <c r="AV9" s="7">
        <f t="shared" si="20"/>
        <v>1288868.6294488311</v>
      </c>
      <c r="AW9" s="4">
        <f t="shared" si="21"/>
        <v>5095.3171661571841</v>
      </c>
      <c r="AX9" s="4">
        <f t="shared" si="22"/>
        <v>588.44918419503608</v>
      </c>
      <c r="AY9" s="5">
        <f t="shared" si="23"/>
        <v>7.6422121770432172E-2</v>
      </c>
      <c r="AZ9" s="5">
        <f t="shared" si="24"/>
        <v>6.8940134150916446E-2</v>
      </c>
      <c r="BA9" s="5">
        <f t="shared" si="25"/>
        <v>0</v>
      </c>
    </row>
    <row r="10" spans="1:53" x14ac:dyDescent="0.3">
      <c r="A10" s="17" t="s">
        <v>107</v>
      </c>
      <c r="B10" s="3">
        <f>COUNTIFS(Calc!$C:$C,$A10)</f>
        <v>30</v>
      </c>
      <c r="C10" s="3">
        <f>COUNTIFS(Calc!$C:$C,$A10,Calc!$D:$D,"F")</f>
        <v>13</v>
      </c>
      <c r="D10" s="3">
        <f>COUNTIFS(Calc!$C:$C,$A10,Calc!$D:$D,"M")</f>
        <v>17</v>
      </c>
      <c r="E10" s="4">
        <f>IF(D10&gt;0,SUMIFS(Calc!$Q:$Q,Calc!$C:$C,$A10,Calc!$D:$D,"M")/D10,0)</f>
        <v>40975.545102176467</v>
      </c>
      <c r="F10" s="4">
        <f>IF(C10&gt;0,SUMIFS(Calc!$Q:$Q,Calc!$C:$C,$A10,Calc!$D:$D,"F")/C10,0)</f>
        <v>34745.223831230767</v>
      </c>
      <c r="G10" s="5">
        <f t="shared" si="0"/>
        <v>0.15204974712135724</v>
      </c>
      <c r="H10" s="7">
        <f>SUMIFS(Calc!$E:$E,Calc!$C:$C,$A10)</f>
        <v>129</v>
      </c>
      <c r="I10" s="7">
        <f>SUMIFS(Calc!$P:$P,Calc!$C:$C,$A10)</f>
        <v>190.04243668720056</v>
      </c>
      <c r="J10" s="7">
        <f>SUMIFS(Calc!$Q:$Q,Calc!$C:$C,$A10)</f>
        <v>1148272.1765429999</v>
      </c>
      <c r="K10" s="7">
        <f>SUMIFS(Calc!$R:$R,Calc!$C:$C,$A10)</f>
        <v>589</v>
      </c>
      <c r="L10" s="7">
        <f>SUMIFS(Calc!$S:$S,Calc!$C:$C,$A10)</f>
        <v>1474.032111185601</v>
      </c>
      <c r="M10" s="7">
        <f>SUMIFS(Calc!$T:$T,Calc!$C:$C,$A10)</f>
        <v>889.92744695414115</v>
      </c>
      <c r="N10" s="7">
        <f>SUMIFS(Calc!$U:$U,Calc!$C:$C,$A10)</f>
        <v>5166324.9377880013</v>
      </c>
      <c r="O10" s="7">
        <f>SUMIFS(Calc!$V:$V,Calc!$C:$C,$A10)</f>
        <v>7877652.6469531152</v>
      </c>
      <c r="P10" s="23">
        <f t="shared" si="1"/>
        <v>34.299999999999955</v>
      </c>
      <c r="Q10" s="23">
        <f t="shared" si="2"/>
        <v>270.1611864519798</v>
      </c>
      <c r="R10" s="23">
        <f t="shared" si="3"/>
        <v>72.74496919917874</v>
      </c>
      <c r="S10" s="7">
        <f t="shared" si="4"/>
        <v>228754.57865310181</v>
      </c>
      <c r="T10" s="7">
        <f t="shared" si="5"/>
        <v>603637.89994154684</v>
      </c>
      <c r="U10" s="23">
        <f t="shared" si="6"/>
        <v>3974.6981515134321</v>
      </c>
      <c r="V10" s="3">
        <f t="shared" si="7"/>
        <v>1</v>
      </c>
      <c r="W10" s="4">
        <f t="shared" si="8"/>
        <v>4500.716093303442</v>
      </c>
      <c r="X10" s="4">
        <f t="shared" si="9"/>
        <v>1022.4764333755957</v>
      </c>
      <c r="Y10" s="7">
        <f>IF(D10&gt;0,SUMIFS(Calc!$E:$E,Calc!$C:$C,$A10,Calc!$D:$D,"M")/D10,0)</f>
        <v>4.6470588235294121</v>
      </c>
      <c r="Z10" s="7">
        <f>IF(C10&gt;0,SUMIFS(Calc!$E:$E,Calc!$C:$C,$A10,Calc!$D:$D,"F")/C10,0)</f>
        <v>3.8461538461538463</v>
      </c>
      <c r="AA10" s="7">
        <f>IF(D10&gt;0,SUMIFS(Calc!$P:$P,Calc!$C:$C,$A10,Calc!$D:$D,"M")/D10,0)</f>
        <v>6.999879212465272</v>
      </c>
      <c r="AB10" s="7">
        <f>IF(C10&gt;0,SUMIFS(Calc!$P:$P,Calc!$C:$C,$A10,Calc!$D:$D,"F")/C10,0)</f>
        <v>5.4649607750223765</v>
      </c>
      <c r="AC10" s="5">
        <f t="shared" si="10"/>
        <v>0.12627199558707677</v>
      </c>
      <c r="AD10" s="5">
        <f t="shared" si="11"/>
        <v>0.12627199558707677</v>
      </c>
      <c r="AE10" s="5">
        <f t="shared" si="12"/>
        <v>2.5777751534280469E-2</v>
      </c>
      <c r="AF10" s="3">
        <f t="shared" si="13"/>
        <v>15</v>
      </c>
      <c r="AG10" s="3">
        <f t="shared" si="14"/>
        <v>16</v>
      </c>
      <c r="AH10" s="4">
        <f>(SUMIFS(Calc!$Q:$Q,Calc!$C:$C,$A10,Calc!$X:$X,AF10)+SUMIFS(Calc!$Q:$Q,Calc!$C:$C,$A10,Calc!$X:$X,AG10))/2</f>
        <v>37853.452052499997</v>
      </c>
      <c r="AI10" s="4">
        <f t="shared" si="15"/>
        <v>13731.346468132902</v>
      </c>
      <c r="AJ10" s="4">
        <f>SUMIFS(Calc!$AA:$AA,Calc!$C:$C,$A10)</f>
        <v>57617.544936999955</v>
      </c>
      <c r="AK10" s="4">
        <f>IF(D10&gt;0,SUMIFS(Calc!$BT:$BT,Calc!$C:$C,$A10,Calc!$D:$D,"M")/D10,0)</f>
        <v>40975.545102176467</v>
      </c>
      <c r="AL10" s="4">
        <f>IF(C10&gt;0,SUMIFS(Calc!$BT:$BT,Calc!$C:$C,$A10,Calc!$D:$D,"F")/C10,0)</f>
        <v>35801.481251856378</v>
      </c>
      <c r="AM10" s="5">
        <f t="shared" si="16"/>
        <v>0.12627199558707672</v>
      </c>
      <c r="AN10" s="4">
        <f>IF(D10&gt;0,SUMIFS(Calc!$BU:$BU,Calc!$C:$C,$A10,Calc!$D:$D,"M")/D10,0)</f>
        <v>42382.121427871178</v>
      </c>
      <c r="AO10" s="4">
        <f>IF(C10&gt;0,SUMIFS(Calc!$BU:$BU,Calc!$C:$C,$A10,Calc!$D:$D,"F")/C10,0)</f>
        <v>37590.236749150106</v>
      </c>
      <c r="AP10" s="5">
        <f t="shared" si="17"/>
        <v>0.11306382307634676</v>
      </c>
      <c r="AQ10" s="5">
        <f t="shared" si="18"/>
        <v>0</v>
      </c>
      <c r="AR10" s="7">
        <f>SUMIFS(Calc!$BU:$BU,Calc!$C:$C,$A10)</f>
        <v>1209169.1420127619</v>
      </c>
      <c r="AS10" s="7">
        <f>SUMIFS(Calc!$BV:$BV,Calc!$C:$C,$A10)</f>
        <v>5415853.7741937516</v>
      </c>
      <c r="AT10" s="7">
        <f>SUMIFS(Calc!$BW:$BW,Calc!$C:$C,$A10)</f>
        <v>8186338.1702605616</v>
      </c>
      <c r="AU10" s="7">
        <f t="shared" si="19"/>
        <v>216426.46353887487</v>
      </c>
      <c r="AV10" s="7">
        <f t="shared" si="20"/>
        <v>526556.49975799769</v>
      </c>
      <c r="AW10" s="4">
        <f t="shared" si="21"/>
        <v>5073.515785108676</v>
      </c>
      <c r="AX10" s="4">
        <f t="shared" si="22"/>
        <v>582.92515037763178</v>
      </c>
      <c r="AY10" s="5">
        <f t="shared" si="23"/>
        <v>0.11698674910572744</v>
      </c>
      <c r="AZ10" s="5">
        <f t="shared" si="24"/>
        <v>0.11306382307634676</v>
      </c>
      <c r="BA10" s="5">
        <f t="shared" si="25"/>
        <v>0</v>
      </c>
    </row>
    <row r="11" spans="1:53" x14ac:dyDescent="0.3">
      <c r="A11" s="17" t="s">
        <v>112</v>
      </c>
      <c r="B11" s="3">
        <f>COUNTIFS(Calc!$C:$C,$A11)</f>
        <v>26</v>
      </c>
      <c r="C11" s="3">
        <f>COUNTIFS(Calc!$C:$C,$A11,Calc!$D:$D,"F")</f>
        <v>13</v>
      </c>
      <c r="D11" s="3">
        <f>COUNTIFS(Calc!$C:$C,$A11,Calc!$D:$D,"M")</f>
        <v>13</v>
      </c>
      <c r="E11" s="4">
        <f>IF(D11&gt;0,SUMIFS(Calc!$Q:$Q,Calc!$C:$C,$A11,Calc!$D:$D,"M")/D11,0)</f>
        <v>90492.928615384633</v>
      </c>
      <c r="F11" s="4">
        <f>IF(C11&gt;0,SUMIFS(Calc!$Q:$Q,Calc!$C:$C,$A11,Calc!$D:$D,"F")/C11,0)</f>
        <v>82623.244384615376</v>
      </c>
      <c r="G11" s="5">
        <f t="shared" si="0"/>
        <v>8.6964631946184326E-2</v>
      </c>
      <c r="H11" s="7">
        <f>SUMIFS(Calc!$E:$E,Calc!$C:$C,$A11)</f>
        <v>252</v>
      </c>
      <c r="I11" s="7">
        <f>SUMIFS(Calc!$P:$P,Calc!$C:$C,$A11)</f>
        <v>160.19164955509927</v>
      </c>
      <c r="J11" s="7">
        <f>SUMIFS(Calc!$Q:$Q,Calc!$C:$C,$A11)</f>
        <v>2250510.2489999994</v>
      </c>
      <c r="K11" s="7">
        <f>SUMIFS(Calc!$R:$R,Calc!$C:$C,$A11)</f>
        <v>2484</v>
      </c>
      <c r="L11" s="7">
        <f>SUMIFS(Calc!$S:$S,Calc!$C:$C,$A11)</f>
        <v>1269.4042738394237</v>
      </c>
      <c r="M11" s="7">
        <f>SUMIFS(Calc!$T:$T,Calc!$C:$C,$A11)</f>
        <v>1647.3100616016422</v>
      </c>
      <c r="N11" s="7">
        <f>SUMIFS(Calc!$U:$U,Calc!$C:$C,$A11)</f>
        <v>22402659.959899995</v>
      </c>
      <c r="O11" s="7">
        <f>SUMIFS(Calc!$V:$V,Calc!$C:$C,$A11)</f>
        <v>15303024.840956606</v>
      </c>
      <c r="P11" s="23">
        <f t="shared" si="1"/>
        <v>41.538461538461434</v>
      </c>
      <c r="Q11" s="23">
        <f t="shared" si="2"/>
        <v>282.42871279389533</v>
      </c>
      <c r="R11" s="23">
        <f t="shared" si="3"/>
        <v>94.683304375295393</v>
      </c>
      <c r="S11" s="7">
        <f t="shared" si="4"/>
        <v>590022.16190000251</v>
      </c>
      <c r="T11" s="7">
        <f t="shared" si="5"/>
        <v>1437142.1821886394</v>
      </c>
      <c r="U11" s="23">
        <f t="shared" si="6"/>
        <v>2766.7260963215595</v>
      </c>
      <c r="V11" s="3">
        <f t="shared" si="7"/>
        <v>1</v>
      </c>
      <c r="W11" s="4">
        <f t="shared" si="8"/>
        <v>11047.652703743959</v>
      </c>
      <c r="X11" s="4">
        <f t="shared" si="9"/>
        <v>1384.8235001974251</v>
      </c>
      <c r="Y11" s="7">
        <f>IF(D11&gt;0,SUMIFS(Calc!$E:$E,Calc!$C:$C,$A11,Calc!$D:$D,"M")/D11,0)</f>
        <v>9.6923076923076916</v>
      </c>
      <c r="Z11" s="7">
        <f>IF(C11&gt;0,SUMIFS(Calc!$E:$E,Calc!$C:$C,$A11,Calc!$D:$D,"F")/C11,0)</f>
        <v>9.6923076923076916</v>
      </c>
      <c r="AA11" s="7">
        <f>IF(D11&gt;0,SUMIFS(Calc!$P:$P,Calc!$C:$C,$A11,Calc!$D:$D,"M")/D11,0)</f>
        <v>6.1612172905807387</v>
      </c>
      <c r="AB11" s="7">
        <f>IF(C11&gt;0,SUMIFS(Calc!$P:$P,Calc!$C:$C,$A11,Calc!$D:$D,"F")/C11,0)</f>
        <v>6.1612172905807387</v>
      </c>
      <c r="AC11" s="5">
        <f t="shared" si="10"/>
        <v>0</v>
      </c>
      <c r="AD11" s="5">
        <f t="shared" si="11"/>
        <v>0</v>
      </c>
      <c r="AE11" s="5">
        <f t="shared" si="12"/>
        <v>8.6964631946184326E-2</v>
      </c>
      <c r="AF11" s="3">
        <f t="shared" si="13"/>
        <v>13</v>
      </c>
      <c r="AG11" s="3">
        <f t="shared" si="14"/>
        <v>14</v>
      </c>
      <c r="AH11" s="4">
        <f>(SUMIFS(Calc!$Q:$Q,Calc!$C:$C,$A11,Calc!$X:$X,AF11)+SUMIFS(Calc!$Q:$Q,Calc!$C:$C,$A11,Calc!$X:$X,AG11))/2</f>
        <v>85035.918249999988</v>
      </c>
      <c r="AI11" s="4">
        <f t="shared" si="15"/>
        <v>102305.89500000032</v>
      </c>
      <c r="AJ11" s="4">
        <f>SUMIFS(Calc!$AA:$AA,Calc!$C:$C,$A11)</f>
        <v>109270.75704999996</v>
      </c>
      <c r="AK11" s="4">
        <f>IF(D11&gt;0,SUMIFS(Calc!$BT:$BT,Calc!$C:$C,$A11,Calc!$D:$D,"M")/D11,0)</f>
        <v>90492.928615384633</v>
      </c>
      <c r="AL11" s="4">
        <f>IF(C11&gt;0,SUMIFS(Calc!$BT:$BT,Calc!$C:$C,$A11,Calc!$D:$D,"F")/C11,0)</f>
        <v>90492.928615384633</v>
      </c>
      <c r="AM11" s="5">
        <f t="shared" si="16"/>
        <v>0</v>
      </c>
      <c r="AN11" s="4">
        <f>IF(D11&gt;0,SUMIFS(Calc!$BU:$BU,Calc!$C:$C,$A11,Calc!$D:$D,"M")/D11,0)</f>
        <v>104399.12467384615</v>
      </c>
      <c r="AO11" s="4">
        <f>IF(C11&gt;0,SUMIFS(Calc!$BU:$BU,Calc!$C:$C,$A11,Calc!$D:$D,"F")/C11,0)</f>
        <v>96182.02017617297</v>
      </c>
      <c r="AP11" s="5">
        <f t="shared" si="17"/>
        <v>7.8708557407394728E-2</v>
      </c>
      <c r="AQ11" s="5">
        <f t="shared" si="18"/>
        <v>0</v>
      </c>
      <c r="AR11" s="7">
        <f>SUMIFS(Calc!$BU:$BU,Calc!$C:$C,$A11)</f>
        <v>2607554.8830502485</v>
      </c>
      <c r="AS11" s="7">
        <f>SUMIFS(Calc!$BV:$BV,Calc!$C:$C,$A11)</f>
        <v>25858042.149959385</v>
      </c>
      <c r="AT11" s="7">
        <f>SUMIFS(Calc!$BW:$BW,Calc!$C:$C,$A11)</f>
        <v>17454661.375680376</v>
      </c>
      <c r="AU11" s="7">
        <f t="shared" si="19"/>
        <v>584817.89885697886</v>
      </c>
      <c r="AV11" s="7">
        <f t="shared" si="20"/>
        <v>1388949.1440929435</v>
      </c>
      <c r="AW11" s="4">
        <f t="shared" si="21"/>
        <v>12165.668248042159</v>
      </c>
      <c r="AX11" s="4">
        <f t="shared" si="22"/>
        <v>839.37455257143256</v>
      </c>
      <c r="AY11" s="5">
        <f t="shared" si="23"/>
        <v>0</v>
      </c>
      <c r="AZ11" s="5">
        <f t="shared" si="24"/>
        <v>0</v>
      </c>
      <c r="BA11" s="5">
        <f t="shared" si="25"/>
        <v>7.8708557407394728E-2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/>
  </sheetViews>
  <sheetFormatPr defaultRowHeight="14.4" x14ac:dyDescent="0.3"/>
  <cols>
    <col min="1" max="1" width="26" customWidth="1"/>
    <col min="2" max="5" width="14" customWidth="1"/>
  </cols>
  <sheetData>
    <row r="1" spans="1:5" ht="17.399999999999999" x14ac:dyDescent="0.35">
      <c r="A1" s="1" t="s">
        <v>537</v>
      </c>
    </row>
    <row r="2" spans="1:5" x14ac:dyDescent="0.3">
      <c r="A2" t="s">
        <v>538</v>
      </c>
    </row>
    <row r="5" spans="1:5" x14ac:dyDescent="0.3">
      <c r="A5" s="2" t="s">
        <v>539</v>
      </c>
    </row>
    <row r="6" spans="1:5" x14ac:dyDescent="0.3">
      <c r="B6" s="2" t="str">
        <f>"CR &lt; "&amp;TEXT(INDEX(Inputs!$B$31:$B$34,2),"0%")</f>
        <v>CR &lt; 90%</v>
      </c>
      <c r="C6" s="2" t="str">
        <f>"CR "&amp;TEXT(INDEX(Inputs!$B$31:$B$34,2),"0%")&amp;" to "&amp;TEXT(INDEX(Inputs!$B$31:$B$34,3),"0%")</f>
        <v>CR 90% to 100%</v>
      </c>
      <c r="D6" s="2" t="str">
        <f>"CR "&amp;TEXT(INDEX(Inputs!$B$31:$B$34,3),"0%")&amp;" to "&amp;TEXT(INDEX(Inputs!$B$31:$B$34,4),"0%")</f>
        <v>CR 100% to 110%</v>
      </c>
      <c r="E6" s="2" t="str">
        <f>"CR ≥ "&amp;TEXT(INDEX(Inputs!$B$31:$B$34,4),"0%")</f>
        <v>CR ≥ 110%</v>
      </c>
    </row>
    <row r="7" spans="1:5" x14ac:dyDescent="0.3">
      <c r="A7" t="str">
        <f>INDEX(Inputs!$A$21:$A$25,1)&amp;" "&amp;INDEX(Inputs!$B$21:$B$25,1)</f>
        <v>1 Unsatisfactory</v>
      </c>
      <c r="B7" s="5">
        <f>IF(SUMIFS(Calc!$BM:$BM,Calc!$F:$F,INDEX(Inputs!$A$21:$A$25,1),Calc!$AJ:$AJ,1,Calc!$AH:$AH,1)&gt;0,SUMIFS(Calc!$BJ:$BJ,Calc!$F:$F,INDEX(Inputs!$A$21:$A$25,1),Calc!$AJ:$AJ,1,Calc!$AH:$AH,1)/SUMIFS(Calc!$BM:$BM,Calc!$F:$F,INDEX(Inputs!$A$21:$A$25,1),Calc!$AJ:$AJ,1,Calc!$AH:$AH,1),0)</f>
        <v>0</v>
      </c>
      <c r="C7" s="5">
        <f>IF(SUMIFS(Calc!$BM:$BM,Calc!$F:$F,INDEX(Inputs!$A$21:$A$25,1),Calc!$AJ:$AJ,2,Calc!$AH:$AH,1)&gt;0,SUMIFS(Calc!$BJ:$BJ,Calc!$F:$F,INDEX(Inputs!$A$21:$A$25,1),Calc!$AJ:$AJ,2,Calc!$AH:$AH,1)/SUMIFS(Calc!$BM:$BM,Calc!$F:$F,INDEX(Inputs!$A$21:$A$25,1),Calc!$AJ:$AJ,2,Calc!$AH:$AH,1),0)</f>
        <v>0</v>
      </c>
      <c r="D7" s="5">
        <f>IF(SUMIFS(Calc!$BM:$BM,Calc!$F:$F,INDEX(Inputs!$A$21:$A$25,1),Calc!$AJ:$AJ,3,Calc!$AH:$AH,1)&gt;0,SUMIFS(Calc!$BJ:$BJ,Calc!$F:$F,INDEX(Inputs!$A$21:$A$25,1),Calc!$AJ:$AJ,3,Calc!$AH:$AH,1)/SUMIFS(Calc!$BM:$BM,Calc!$F:$F,INDEX(Inputs!$A$21:$A$25,1),Calc!$AJ:$AJ,3,Calc!$AH:$AH,1),0)</f>
        <v>0</v>
      </c>
      <c r="E7" s="5">
        <f>IF(SUMIFS(Calc!$BM:$BM,Calc!$F:$F,INDEX(Inputs!$A$21:$A$25,1),Calc!$AJ:$AJ,4,Calc!$AH:$AH,1)&gt;0,SUMIFS(Calc!$BJ:$BJ,Calc!$F:$F,INDEX(Inputs!$A$21:$A$25,1),Calc!$AJ:$AJ,4,Calc!$AH:$AH,1)/SUMIFS(Calc!$BM:$BM,Calc!$F:$F,INDEX(Inputs!$A$21:$A$25,1),Calc!$AJ:$AJ,4,Calc!$AH:$AH,1),0)</f>
        <v>0</v>
      </c>
    </row>
    <row r="8" spans="1:5" x14ac:dyDescent="0.3">
      <c r="A8" t="str">
        <f>INDEX(Inputs!$A$21:$A$25,2)&amp;" "&amp;INDEX(Inputs!$B$21:$B$25,2)</f>
        <v>2 Partially meets</v>
      </c>
      <c r="B8" s="5">
        <f>IF(SUMIFS(Calc!$BM:$BM,Calc!$F:$F,INDEX(Inputs!$A$21:$A$25,2),Calc!$AJ:$AJ,1,Calc!$AH:$AH,1)&gt;0,SUMIFS(Calc!$BJ:$BJ,Calc!$F:$F,INDEX(Inputs!$A$21:$A$25,2),Calc!$AJ:$AJ,1,Calc!$AH:$AH,1)/SUMIFS(Calc!$BM:$BM,Calc!$F:$F,INDEX(Inputs!$A$21:$A$25,2),Calc!$AJ:$AJ,1,Calc!$AH:$AH,1),0)</f>
        <v>0.14889929047112749</v>
      </c>
      <c r="C8" s="5">
        <f>IF(SUMIFS(Calc!$BM:$BM,Calc!$F:$F,INDEX(Inputs!$A$21:$A$25,2),Calc!$AJ:$AJ,2,Calc!$AH:$AH,1)&gt;0,SUMIFS(Calc!$BJ:$BJ,Calc!$F:$F,INDEX(Inputs!$A$21:$A$25,2),Calc!$AJ:$AJ,2,Calc!$AH:$AH,1)/SUMIFS(Calc!$BM:$BM,Calc!$F:$F,INDEX(Inputs!$A$21:$A$25,2),Calc!$AJ:$AJ,2,Calc!$AH:$AH,1),0)</f>
        <v>1.5002761664774636E-2</v>
      </c>
      <c r="D8" s="5">
        <f>IF(SUMIFS(Calc!$BM:$BM,Calc!$F:$F,INDEX(Inputs!$A$21:$A$25,2),Calc!$AJ:$AJ,3,Calc!$AH:$AH,1)&gt;0,SUMIFS(Calc!$BJ:$BJ,Calc!$F:$F,INDEX(Inputs!$A$21:$A$25,2),Calc!$AJ:$AJ,3,Calc!$AH:$AH,1)/SUMIFS(Calc!$BM:$BM,Calc!$F:$F,INDEX(Inputs!$A$21:$A$25,2),Calc!$AJ:$AJ,3,Calc!$AH:$AH,1),0)</f>
        <v>0</v>
      </c>
      <c r="E8" s="5">
        <f>IF(SUMIFS(Calc!$BM:$BM,Calc!$F:$F,INDEX(Inputs!$A$21:$A$25,2),Calc!$AJ:$AJ,4,Calc!$AH:$AH,1)&gt;0,SUMIFS(Calc!$BJ:$BJ,Calc!$F:$F,INDEX(Inputs!$A$21:$A$25,2),Calc!$AJ:$AJ,4,Calc!$AH:$AH,1)/SUMIFS(Calc!$BM:$BM,Calc!$F:$F,INDEX(Inputs!$A$21:$A$25,2),Calc!$AJ:$AJ,4,Calc!$AH:$AH,1),0)</f>
        <v>0</v>
      </c>
    </row>
    <row r="9" spans="1:5" x14ac:dyDescent="0.3">
      <c r="A9" t="str">
        <f>INDEX(Inputs!$A$21:$A$25,3)&amp;" "&amp;INDEX(Inputs!$B$21:$B$25,3)</f>
        <v>3 Meets</v>
      </c>
      <c r="B9" s="5">
        <f>IF(SUMIFS(Calc!$BM:$BM,Calc!$F:$F,INDEX(Inputs!$A$21:$A$25,3),Calc!$AJ:$AJ,1,Calc!$AH:$AH,1)&gt;0,SUMIFS(Calc!$BJ:$BJ,Calc!$F:$F,INDEX(Inputs!$A$21:$A$25,3),Calc!$AJ:$AJ,1,Calc!$AH:$AH,1)/SUMIFS(Calc!$BM:$BM,Calc!$F:$F,INDEX(Inputs!$A$21:$A$25,3),Calc!$AJ:$AJ,1,Calc!$AH:$AH,1),0)</f>
        <v>0.19074458717285694</v>
      </c>
      <c r="C9" s="5">
        <f>IF(SUMIFS(Calc!$BM:$BM,Calc!$F:$F,INDEX(Inputs!$A$21:$A$25,3),Calc!$AJ:$AJ,2,Calc!$AH:$AH,1)&gt;0,SUMIFS(Calc!$BJ:$BJ,Calc!$F:$F,INDEX(Inputs!$A$21:$A$25,3),Calc!$AJ:$AJ,2,Calc!$AH:$AH,1)/SUMIFS(Calc!$BM:$BM,Calc!$F:$F,INDEX(Inputs!$A$21:$A$25,3),Calc!$AJ:$AJ,2,Calc!$AH:$AH,1),0)</f>
        <v>4.3052848965668952E-2</v>
      </c>
      <c r="D9" s="5">
        <f>IF(SUMIFS(Calc!$BM:$BM,Calc!$F:$F,INDEX(Inputs!$A$21:$A$25,3),Calc!$AJ:$AJ,3,Calc!$AH:$AH,1)&gt;0,SUMIFS(Calc!$BJ:$BJ,Calc!$F:$F,INDEX(Inputs!$A$21:$A$25,3),Calc!$AJ:$AJ,3,Calc!$AH:$AH,1)/SUMIFS(Calc!$BM:$BM,Calc!$F:$F,INDEX(Inputs!$A$21:$A$25,3),Calc!$AJ:$AJ,3,Calc!$AH:$AH,1),0)</f>
        <v>0</v>
      </c>
      <c r="E9" s="5">
        <f>IF(SUMIFS(Calc!$BM:$BM,Calc!$F:$F,INDEX(Inputs!$A$21:$A$25,3),Calc!$AJ:$AJ,4,Calc!$AH:$AH,1)&gt;0,SUMIFS(Calc!$BJ:$BJ,Calc!$F:$F,INDEX(Inputs!$A$21:$A$25,3),Calc!$AJ:$AJ,4,Calc!$AH:$AH,1)/SUMIFS(Calc!$BM:$BM,Calc!$F:$F,INDEX(Inputs!$A$21:$A$25,3),Calc!$AJ:$AJ,4,Calc!$AH:$AH,1),0)</f>
        <v>0</v>
      </c>
    </row>
    <row r="10" spans="1:5" x14ac:dyDescent="0.3">
      <c r="A10" t="str">
        <f>INDEX(Inputs!$A$21:$A$25,4)&amp;" "&amp;INDEX(Inputs!$B$21:$B$25,4)</f>
        <v>4 Exceeds</v>
      </c>
      <c r="B10" s="5">
        <f>IF(SUMIFS(Calc!$BM:$BM,Calc!$F:$F,INDEX(Inputs!$A$21:$A$25,4),Calc!$AJ:$AJ,1,Calc!$AH:$AH,1)&gt;0,SUMIFS(Calc!$BJ:$BJ,Calc!$F:$F,INDEX(Inputs!$A$21:$A$25,4),Calc!$AJ:$AJ,1,Calc!$AH:$AH,1)/SUMIFS(Calc!$BM:$BM,Calc!$F:$F,INDEX(Inputs!$A$21:$A$25,4),Calc!$AJ:$AJ,1,Calc!$AH:$AH,1),0)</f>
        <v>0.20824508448925297</v>
      </c>
      <c r="C10" s="5">
        <f>IF(SUMIFS(Calc!$BM:$BM,Calc!$F:$F,INDEX(Inputs!$A$21:$A$25,4),Calc!$AJ:$AJ,2,Calc!$AH:$AH,1)&gt;0,SUMIFS(Calc!$BJ:$BJ,Calc!$F:$F,INDEX(Inputs!$A$21:$A$25,4),Calc!$AJ:$AJ,2,Calc!$AH:$AH,1)/SUMIFS(Calc!$BM:$BM,Calc!$F:$F,INDEX(Inputs!$A$21:$A$25,4),Calc!$AJ:$AJ,2,Calc!$AH:$AH,1),0)</f>
        <v>0.11082304499827644</v>
      </c>
      <c r="D10" s="5">
        <f>IF(SUMIFS(Calc!$BM:$BM,Calc!$F:$F,INDEX(Inputs!$A$21:$A$25,4),Calc!$AJ:$AJ,3,Calc!$AH:$AH,1)&gt;0,SUMIFS(Calc!$BJ:$BJ,Calc!$F:$F,INDEX(Inputs!$A$21:$A$25,4),Calc!$AJ:$AJ,3,Calc!$AH:$AH,1)/SUMIFS(Calc!$BM:$BM,Calc!$F:$F,INDEX(Inputs!$A$21:$A$25,4),Calc!$AJ:$AJ,3,Calc!$AH:$AH,1),0)</f>
        <v>2.0195059003133745E-2</v>
      </c>
      <c r="E10" s="5">
        <f>IF(SUMIFS(Calc!$BM:$BM,Calc!$F:$F,INDEX(Inputs!$A$21:$A$25,4),Calc!$AJ:$AJ,4,Calc!$AH:$AH,1)&gt;0,SUMIFS(Calc!$BJ:$BJ,Calc!$F:$F,INDEX(Inputs!$A$21:$A$25,4),Calc!$AJ:$AJ,4,Calc!$AH:$AH,1)/SUMIFS(Calc!$BM:$BM,Calc!$F:$F,INDEX(Inputs!$A$21:$A$25,4),Calc!$AJ:$AJ,4,Calc!$AH:$AH,1),0)</f>
        <v>7.310251299465673E-3</v>
      </c>
    </row>
    <row r="11" spans="1:5" x14ac:dyDescent="0.3">
      <c r="A11" t="str">
        <f>INDEX(Inputs!$A$21:$A$25,5)&amp;" "&amp;INDEX(Inputs!$B$21:$B$25,5)</f>
        <v>5 Outstanding</v>
      </c>
      <c r="B11" s="5">
        <f>IF(SUMIFS(Calc!$BM:$BM,Calc!$F:$F,INDEX(Inputs!$A$21:$A$25,5),Calc!$AJ:$AJ,1,Calc!$AH:$AH,1)&gt;0,SUMIFS(Calc!$BJ:$BJ,Calc!$F:$F,INDEX(Inputs!$A$21:$A$25,5),Calc!$AJ:$AJ,1,Calc!$AH:$AH,1)/SUMIFS(Calc!$BM:$BM,Calc!$F:$F,INDEX(Inputs!$A$21:$A$25,5),Calc!$AJ:$AJ,1,Calc!$AH:$AH,1),0)</f>
        <v>0.24960821001947686</v>
      </c>
      <c r="C11" s="5">
        <f>IF(SUMIFS(Calc!$BM:$BM,Calc!$F:$F,INDEX(Inputs!$A$21:$A$25,5),Calc!$AJ:$AJ,2,Calc!$AH:$AH,1)&gt;0,SUMIFS(Calc!$BJ:$BJ,Calc!$F:$F,INDEX(Inputs!$A$21:$A$25,5),Calc!$AJ:$AJ,2,Calc!$AH:$AH,1)/SUMIFS(Calc!$BM:$BM,Calc!$F:$F,INDEX(Inputs!$A$21:$A$25,5),Calc!$AJ:$AJ,2,Calc!$AH:$AH,1),0)</f>
        <v>0.15197853423321309</v>
      </c>
      <c r="D11" s="5">
        <f>IF(SUMIFS(Calc!$BM:$BM,Calc!$F:$F,INDEX(Inputs!$A$21:$A$25,5),Calc!$AJ:$AJ,3,Calc!$AH:$AH,1)&gt;0,SUMIFS(Calc!$BJ:$BJ,Calc!$F:$F,INDEX(Inputs!$A$21:$A$25,5),Calc!$AJ:$AJ,3,Calc!$AH:$AH,1)/SUMIFS(Calc!$BM:$BM,Calc!$F:$F,INDEX(Inputs!$A$21:$A$25,5),Calc!$AJ:$AJ,3,Calc!$AH:$AH,1),0)</f>
        <v>5.176880407160904E-2</v>
      </c>
      <c r="E11" s="5">
        <f>IF(SUMIFS(Calc!$BM:$BM,Calc!$F:$F,INDEX(Inputs!$A$21:$A$25,5),Calc!$AJ:$AJ,4,Calc!$AH:$AH,1)&gt;0,SUMIFS(Calc!$BJ:$BJ,Calc!$F:$F,INDEX(Inputs!$A$21:$A$25,5),Calc!$AJ:$AJ,4,Calc!$AH:$AH,1)/SUMIFS(Calc!$BM:$BM,Calc!$F:$F,INDEX(Inputs!$A$21:$A$25,5),Calc!$AJ:$AJ,4,Calc!$AH:$AH,1),0)</f>
        <v>0</v>
      </c>
    </row>
    <row r="14" spans="1:5" x14ac:dyDescent="0.3">
      <c r="A14" s="2" t="s">
        <v>2</v>
      </c>
    </row>
    <row r="15" spans="1:5" x14ac:dyDescent="0.3">
      <c r="B15" s="2" t="str">
        <f>"CR &lt; "&amp;TEXT(INDEX(Inputs!$B$31:$B$34,2),"0%")</f>
        <v>CR &lt; 90%</v>
      </c>
      <c r="C15" s="2" t="str">
        <f>"CR "&amp;TEXT(INDEX(Inputs!$B$31:$B$34,2),"0%")&amp;" to "&amp;TEXT(INDEX(Inputs!$B$31:$B$34,3),"0%")</f>
        <v>CR 90% to 100%</v>
      </c>
      <c r="D15" s="2" t="str">
        <f>"CR "&amp;TEXT(INDEX(Inputs!$B$31:$B$34,3),"0%")&amp;" to "&amp;TEXT(INDEX(Inputs!$B$31:$B$34,4),"0%")</f>
        <v>CR 100% to 110%</v>
      </c>
      <c r="E15" s="2" t="str">
        <f>"CR ≥ "&amp;TEXT(INDEX(Inputs!$B$31:$B$34,4),"0%")</f>
        <v>CR ≥ 110%</v>
      </c>
    </row>
    <row r="16" spans="1:5" x14ac:dyDescent="0.3">
      <c r="A16" t="str">
        <f>INDEX(Inputs!$A$21:$A$25,1)&amp;" "&amp;INDEX(Inputs!$B$21:$B$25,1)</f>
        <v>1 Unsatisfactory</v>
      </c>
      <c r="B16" s="3">
        <f>COUNTIFS(Calc!$F:$F,INDEX(Inputs!$A$21:$A$25,1),Calc!$AJ:$AJ,1,Calc!$AH:$AH,1)</f>
        <v>1</v>
      </c>
      <c r="C16" s="3">
        <f>COUNTIFS(Calc!$F:$F,INDEX(Inputs!$A$21:$A$25,1),Calc!$AJ:$AJ,2,Calc!$AH:$AH,1)</f>
        <v>0</v>
      </c>
      <c r="D16" s="3">
        <f>COUNTIFS(Calc!$F:$F,INDEX(Inputs!$A$21:$A$25,1),Calc!$AJ:$AJ,3,Calc!$AH:$AH,1)</f>
        <v>1</v>
      </c>
      <c r="E16" s="3">
        <f>COUNTIFS(Calc!$F:$F,INDEX(Inputs!$A$21:$A$25,1),Calc!$AJ:$AJ,4,Calc!$AH:$AH,1)</f>
        <v>1</v>
      </c>
    </row>
    <row r="17" spans="1:5" x14ac:dyDescent="0.3">
      <c r="A17" t="str">
        <f>INDEX(Inputs!$A$21:$A$25,2)&amp;" "&amp;INDEX(Inputs!$B$21:$B$25,2)</f>
        <v>2 Partially meets</v>
      </c>
      <c r="B17" s="3">
        <f>COUNTIFS(Calc!$F:$F,INDEX(Inputs!$A$21:$A$25,2),Calc!$AJ:$AJ,1,Calc!$AH:$AH,1)</f>
        <v>7</v>
      </c>
      <c r="C17" s="3">
        <f>COUNTIFS(Calc!$F:$F,INDEX(Inputs!$A$21:$A$25,2),Calc!$AJ:$AJ,2,Calc!$AH:$AH,1)</f>
        <v>13</v>
      </c>
      <c r="D17" s="3">
        <f>COUNTIFS(Calc!$F:$F,INDEX(Inputs!$A$21:$A$25,2),Calc!$AJ:$AJ,3,Calc!$AH:$AH,1)</f>
        <v>16</v>
      </c>
      <c r="E17" s="3">
        <f>COUNTIFS(Calc!$F:$F,INDEX(Inputs!$A$21:$A$25,2),Calc!$AJ:$AJ,4,Calc!$AH:$AH,1)</f>
        <v>3</v>
      </c>
    </row>
    <row r="18" spans="1:5" x14ac:dyDescent="0.3">
      <c r="A18" t="str">
        <f>INDEX(Inputs!$A$21:$A$25,3)&amp;" "&amp;INDEX(Inputs!$B$21:$B$25,3)</f>
        <v>3 Meets</v>
      </c>
      <c r="B18" s="3">
        <f>COUNTIFS(Calc!$F:$F,INDEX(Inputs!$A$21:$A$25,3),Calc!$AJ:$AJ,1,Calc!$AH:$AH,1)</f>
        <v>13</v>
      </c>
      <c r="C18" s="3">
        <f>COUNTIFS(Calc!$F:$F,INDEX(Inputs!$A$21:$A$25,3),Calc!$AJ:$AJ,2,Calc!$AH:$AH,1)</f>
        <v>31</v>
      </c>
      <c r="D18" s="3">
        <f>COUNTIFS(Calc!$F:$F,INDEX(Inputs!$A$21:$A$25,3),Calc!$AJ:$AJ,3,Calc!$AH:$AH,1)</f>
        <v>45</v>
      </c>
      <c r="E18" s="3">
        <f>COUNTIFS(Calc!$F:$F,INDEX(Inputs!$A$21:$A$25,3),Calc!$AJ:$AJ,4,Calc!$AH:$AH,1)</f>
        <v>14</v>
      </c>
    </row>
    <row r="19" spans="1:5" x14ac:dyDescent="0.3">
      <c r="A19" t="str">
        <f>INDEX(Inputs!$A$21:$A$25,4)&amp;" "&amp;INDEX(Inputs!$B$21:$B$25,4)</f>
        <v>4 Exceeds</v>
      </c>
      <c r="B19" s="3">
        <f>COUNTIFS(Calc!$F:$F,INDEX(Inputs!$A$21:$A$25,4),Calc!$AJ:$AJ,1,Calc!$AH:$AH,1)</f>
        <v>5</v>
      </c>
      <c r="C19" s="3">
        <f>COUNTIFS(Calc!$F:$F,INDEX(Inputs!$A$21:$A$25,4),Calc!$AJ:$AJ,2,Calc!$AH:$AH,1)</f>
        <v>20</v>
      </c>
      <c r="D19" s="3">
        <f>COUNTIFS(Calc!$F:$F,INDEX(Inputs!$A$21:$A$25,4),Calc!$AJ:$AJ,3,Calc!$AH:$AH,1)</f>
        <v>15</v>
      </c>
      <c r="E19" s="3">
        <f>COUNTIFS(Calc!$F:$F,INDEX(Inputs!$A$21:$A$25,4),Calc!$AJ:$AJ,4,Calc!$AH:$AH,1)</f>
        <v>7</v>
      </c>
    </row>
    <row r="20" spans="1:5" x14ac:dyDescent="0.3">
      <c r="A20" t="str">
        <f>INDEX(Inputs!$A$21:$A$25,5)&amp;" "&amp;INDEX(Inputs!$B$21:$B$25,5)</f>
        <v>5 Outstanding</v>
      </c>
      <c r="B20" s="3">
        <f>COUNTIFS(Calc!$F:$F,INDEX(Inputs!$A$21:$A$25,5),Calc!$AJ:$AJ,1,Calc!$AH:$AH,1)</f>
        <v>2</v>
      </c>
      <c r="C20" s="3">
        <f>COUNTIFS(Calc!$F:$F,INDEX(Inputs!$A$21:$A$25,5),Calc!$AJ:$AJ,2,Calc!$AH:$AH,1)</f>
        <v>8</v>
      </c>
      <c r="D20" s="3">
        <f>COUNTIFS(Calc!$F:$F,INDEX(Inputs!$A$21:$A$25,5),Calc!$AJ:$AJ,3,Calc!$AH:$AH,1)</f>
        <v>5</v>
      </c>
      <c r="E20" s="3">
        <f>COUNTIFS(Calc!$F:$F,INDEX(Inputs!$A$21:$A$25,5),Calc!$AJ:$AJ,4,Calc!$AH:$AH,1)</f>
        <v>2</v>
      </c>
    </row>
    <row r="23" spans="1:5" x14ac:dyDescent="0.3">
      <c r="A23" s="2" t="s">
        <v>540</v>
      </c>
    </row>
    <row r="24" spans="1:5" x14ac:dyDescent="0.3">
      <c r="B24" s="2" t="str">
        <f>"CR &lt; "&amp;TEXT(INDEX(Inputs!$B$31:$B$34,2),"0%")</f>
        <v>CR &lt; 90%</v>
      </c>
      <c r="C24" s="2" t="str">
        <f>"CR "&amp;TEXT(INDEX(Inputs!$B$31:$B$34,2),"0%")&amp;" to "&amp;TEXT(INDEX(Inputs!$B$31:$B$34,3),"0%")</f>
        <v>CR 90% to 100%</v>
      </c>
      <c r="D24" s="2" t="str">
        <f>"CR "&amp;TEXT(INDEX(Inputs!$B$31:$B$34,3),"0%")&amp;" to "&amp;TEXT(INDEX(Inputs!$B$31:$B$34,4),"0%")</f>
        <v>CR 100% to 110%</v>
      </c>
      <c r="E24" s="2" t="str">
        <f>"CR ≥ "&amp;TEXT(INDEX(Inputs!$B$31:$B$34,4),"0%")</f>
        <v>CR ≥ 110%</v>
      </c>
    </row>
    <row r="25" spans="1:5" x14ac:dyDescent="0.3">
      <c r="A25" t="str">
        <f>INDEX(Inputs!$A$21:$A$25,1)&amp;" "&amp;INDEX(Inputs!$B$21:$B$25,1)</f>
        <v>1 Unsatisfactory</v>
      </c>
      <c r="B25" s="4">
        <f>SUMIFS(Calc!$BJ:$BJ,Calc!$F:$F,INDEX(Inputs!$A$21:$A$25,1),Calc!$AJ:$AJ,1,Calc!$AH:$AH,1)</f>
        <v>0</v>
      </c>
      <c r="C25" s="4">
        <f>SUMIFS(Calc!$BJ:$BJ,Calc!$F:$F,INDEX(Inputs!$A$21:$A$25,1),Calc!$AJ:$AJ,2,Calc!$AH:$AH,1)</f>
        <v>0</v>
      </c>
      <c r="D25" s="4">
        <f>SUMIFS(Calc!$BJ:$BJ,Calc!$F:$F,INDEX(Inputs!$A$21:$A$25,1),Calc!$AJ:$AJ,3,Calc!$AH:$AH,1)</f>
        <v>0</v>
      </c>
      <c r="E25" s="4">
        <f>SUMIFS(Calc!$BJ:$BJ,Calc!$F:$F,INDEX(Inputs!$A$21:$A$25,1),Calc!$AJ:$AJ,4,Calc!$AH:$AH,1)</f>
        <v>0</v>
      </c>
    </row>
    <row r="26" spans="1:5" x14ac:dyDescent="0.3">
      <c r="A26" t="str">
        <f>INDEX(Inputs!$A$21:$A$25,2)&amp;" "&amp;INDEX(Inputs!$B$21:$B$25,2)</f>
        <v>2 Partially meets</v>
      </c>
      <c r="B26" s="4">
        <f>SUMIFS(Calc!$BJ:$BJ,Calc!$F:$F,INDEX(Inputs!$A$21:$A$25,2),Calc!$AJ:$AJ,1,Calc!$AH:$AH,1)</f>
        <v>60354.211334802749</v>
      </c>
      <c r="C26" s="4">
        <f>SUMIFS(Calc!$BJ:$BJ,Calc!$F:$F,INDEX(Inputs!$A$21:$A$25,2),Calc!$AJ:$AJ,2,Calc!$AH:$AH,1)</f>
        <v>11557.840000000011</v>
      </c>
      <c r="D26" s="4">
        <f>SUMIFS(Calc!$BJ:$BJ,Calc!$F:$F,INDEX(Inputs!$A$21:$A$25,2),Calc!$AJ:$AJ,3,Calc!$AH:$AH,1)</f>
        <v>0</v>
      </c>
      <c r="E26" s="4">
        <f>SUMIFS(Calc!$BJ:$BJ,Calc!$F:$F,INDEX(Inputs!$A$21:$A$25,2),Calc!$AJ:$AJ,4,Calc!$AH:$AH,1)</f>
        <v>0</v>
      </c>
    </row>
    <row r="27" spans="1:5" x14ac:dyDescent="0.3">
      <c r="A27" t="str">
        <f>INDEX(Inputs!$A$21:$A$25,3)&amp;" "&amp;INDEX(Inputs!$B$21:$B$25,3)</f>
        <v>3 Meets</v>
      </c>
      <c r="B27" s="4">
        <f>SUMIFS(Calc!$BJ:$BJ,Calc!$F:$F,INDEX(Inputs!$A$21:$A$25,3),Calc!$AJ:$AJ,1,Calc!$AH:$AH,1)</f>
        <v>140549.00513691461</v>
      </c>
      <c r="C27" s="4">
        <f>SUMIFS(Calc!$BJ:$BJ,Calc!$F:$F,INDEX(Inputs!$A$21:$A$25,3),Calc!$AJ:$AJ,2,Calc!$AH:$AH,1)</f>
        <v>81776.45601787731</v>
      </c>
      <c r="D27" s="4">
        <f>SUMIFS(Calc!$BJ:$BJ,Calc!$F:$F,INDEX(Inputs!$A$21:$A$25,3),Calc!$AJ:$AJ,3,Calc!$AH:$AH,1)</f>
        <v>0</v>
      </c>
      <c r="E27" s="4">
        <f>SUMIFS(Calc!$BJ:$BJ,Calc!$F:$F,INDEX(Inputs!$A$21:$A$25,3),Calc!$AJ:$AJ,4,Calc!$AH:$AH,1)</f>
        <v>0</v>
      </c>
    </row>
    <row r="28" spans="1:5" x14ac:dyDescent="0.3">
      <c r="A28" t="str">
        <f>INDEX(Inputs!$A$21:$A$25,4)&amp;" "&amp;INDEX(Inputs!$B$21:$B$25,4)</f>
        <v>4 Exceeds</v>
      </c>
      <c r="B28" s="4">
        <f>SUMIFS(Calc!$BJ:$BJ,Calc!$F:$F,INDEX(Inputs!$A$21:$A$25,4),Calc!$AJ:$AJ,1,Calc!$AH:$AH,1)</f>
        <v>75567.212000000029</v>
      </c>
      <c r="C28" s="4">
        <f>SUMIFS(Calc!$BJ:$BJ,Calc!$F:$F,INDEX(Inputs!$A$21:$A$25,4),Calc!$AJ:$AJ,2,Calc!$AH:$AH,1)</f>
        <v>144831.55596638372</v>
      </c>
      <c r="D28" s="4">
        <f>SUMIFS(Calc!$BJ:$BJ,Calc!$F:$F,INDEX(Inputs!$A$21:$A$25,4),Calc!$AJ:$AJ,3,Calc!$AH:$AH,1)</f>
        <v>14400.905207721926</v>
      </c>
      <c r="E28" s="4">
        <f>SUMIFS(Calc!$BJ:$BJ,Calc!$F:$F,INDEX(Inputs!$A$21:$A$25,4),Calc!$AJ:$AJ,4,Calc!$AH:$AH,1)</f>
        <v>3207.8434387955658</v>
      </c>
    </row>
    <row r="29" spans="1:5" x14ac:dyDescent="0.3">
      <c r="A29" t="str">
        <f>INDEX(Inputs!$A$21:$A$25,5)&amp;" "&amp;INDEX(Inputs!$B$21:$B$25,5)</f>
        <v>5 Outstanding</v>
      </c>
      <c r="B29" s="4">
        <f>SUMIFS(Calc!$BJ:$BJ,Calc!$F:$F,INDEX(Inputs!$A$21:$A$25,5),Calc!$AJ:$AJ,1,Calc!$AH:$AH,1)</f>
        <v>25948.004000000015</v>
      </c>
      <c r="C29" s="4">
        <f>SUMIFS(Calc!$BJ:$BJ,Calc!$F:$F,INDEX(Inputs!$A$21:$A$25,5),Calc!$AJ:$AJ,2,Calc!$AH:$AH,1)</f>
        <v>70166.050000000047</v>
      </c>
      <c r="D29" s="4">
        <f>SUMIFS(Calc!$BJ:$BJ,Calc!$F:$F,INDEX(Inputs!$A$21:$A$25,5),Calc!$AJ:$AJ,3,Calc!$AH:$AH,1)</f>
        <v>9210.6260000000184</v>
      </c>
      <c r="E29" s="4">
        <f>SUMIFS(Calc!$BJ:$BJ,Calc!$F:$F,INDEX(Inputs!$A$21:$A$25,5),Calc!$AJ:$AJ,4,Calc!$AH:$AH,1)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Summary</vt:lpstr>
      <vt:lpstr>Inputs</vt:lpstr>
      <vt:lpstr>Lists</vt:lpstr>
      <vt:lpstr>Bands</vt:lpstr>
      <vt:lpstr>Employees</vt:lpstr>
      <vt:lpstr>Calc</vt:lpstr>
      <vt:lpstr>Categories</vt:lpstr>
      <vt:lpstr>Matrix</vt:lpstr>
      <vt:lpstr>AboveCeilingTier1</vt:lpstr>
      <vt:lpstr>AboveCeilingTier2</vt:lpstr>
      <vt:lpstr>AboveCeilingTier3</vt:lpstr>
      <vt:lpstr>Ceiling</vt:lpstr>
      <vt:lpstr>ClipAtMax</vt:lpstr>
      <vt:lpstr>CompanyTarget</vt:lpstr>
      <vt:lpstr>EffDate</vt:lpstr>
      <vt:lpstr>EffMonth</vt:lpstr>
      <vt:lpstr>InYearFactor</vt:lpstr>
      <vt:lpstr>MaxIncrease</vt:lpstr>
      <vt:lpstr>MinMonthsChange</vt:lpstr>
      <vt:lpstr>MinMonthsHire</vt:lpstr>
      <vt:lpstr>PoolPct</vt:lpstr>
      <vt:lpstr>RateBelow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Dimitrova</cp:lastModifiedBy>
  <dcterms:created xsi:type="dcterms:W3CDTF">2026-10-08T19:17:20Z</dcterms:created>
  <dcterms:modified xsi:type="dcterms:W3CDTF">2026-10-08T19:17:30Z</dcterms:modified>
</cp:coreProperties>
</file>