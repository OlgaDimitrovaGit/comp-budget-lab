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Data" sheetId="2" state="visible" r:id="rId2"/>
    <sheet xmlns:r="http://schemas.openxmlformats.org/officeDocument/2006/relationships" name="Categories" sheetId="3" state="visible" r:id="rId3"/>
    <sheet xmlns:r="http://schemas.openxmlformats.org/officeDocument/2006/relationships" name="Summary" sheetId="4" state="visible" r:id="rId4"/>
    <sheet xmlns:r="http://schemas.openxmlformats.org/officeDocument/2006/relationships" name="Legend" sheetId="5" state="visible" r:id="rId5"/>
  </sheets>
  <definedNames>
    <definedName name="threshold_pct">Settings!$B$7</definedName>
    <definedName name="implementation_month">Settings!$B$8</definedName>
    <definedName name="rate_below">Settings!$B$9</definedName>
    <definedName name="rate_above">Settings!$B$10</definedName>
    <definedName name="ceiling">Settings!$B$11</definedName>
  </definedNames>
  <calcPr calcId="124519" fullCalcOnLoad="1"/>
</workbook>
</file>

<file path=xl/styles.xml><?xml version="1.0" encoding="utf-8"?>
<styleSheet xmlns="http://schemas.openxmlformats.org/spreadsheetml/2006/main">
  <numFmts count="2">
    <numFmt numFmtId="164" formatCode="#,##0.0000"/>
    <numFmt numFmtId="165" formatCode="0.00&quot;%&quot;"/>
  </numFmts>
  <fonts count="6">
    <font>
      <name val="Calibri"/>
      <family val="2"/>
      <color theme="1"/>
      <sz val="11"/>
      <scheme val="minor"/>
    </font>
    <font>
      <b val="1"/>
      <sz val="13"/>
    </font>
    <font>
      <color rgb="006B7280"/>
      <sz val="9"/>
    </font>
    <font>
      <b val="1"/>
      <color rgb="00FFFFFF"/>
      <sz val="10"/>
    </font>
    <font>
      <b val="1"/>
    </font>
    <font>
      <b val="1"/>
      <sz val="10"/>
    </font>
  </fonts>
  <fills count="6">
    <fill>
      <patternFill/>
    </fill>
    <fill>
      <patternFill patternType="gray125"/>
    </fill>
    <fill>
      <patternFill patternType="solid">
        <fgColor rgb="001F3B57"/>
      </patternFill>
    </fill>
    <fill>
      <patternFill patternType="solid">
        <fgColor rgb="00E6F4EA"/>
      </patternFill>
    </fill>
    <fill>
      <patternFill patternType="solid">
        <fgColor rgb="00FFF4D6"/>
      </patternFill>
    </fill>
    <fill>
      <patternFill patternType="solid">
        <fgColor rgb="00EAF3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3" borderId="1" pivotButton="0" quotePrefix="0" xfId="0"/>
    <xf numFmtId="0" fontId="0"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0" fillId="4" borderId="1" pivotButton="0" quotePrefix="0" xfId="0"/>
    <xf numFmtId="4" fontId="0" fillId="4" borderId="1" pivotButton="0" quotePrefix="0" xfId="0"/>
    <xf numFmtId="164" fontId="0" fillId="5" borderId="1" pivotButton="0" quotePrefix="0" xfId="0"/>
    <xf numFmtId="4" fontId="0" fillId="5" borderId="1" pivotButton="0" quotePrefix="0" xfId="0"/>
    <xf numFmtId="0" fontId="0" fillId="5" borderId="1" pivotButton="0" quotePrefix="0" xfId="0"/>
    <xf numFmtId="165" fontId="0" fillId="5" borderId="1" pivotButton="0" quotePrefix="0" xfId="0"/>
    <xf numFmtId="4" fontId="0" fillId="5" borderId="0" pivotButton="0" quotePrefix="0" xfId="0"/>
    <xf numFmtId="0" fontId="0" fillId="5" borderId="0" pivotButton="0" quotePrefix="0" xfId="0"/>
    <xf numFmtId="0" fontId="4" fillId="0" borderId="1" pivotButton="0" quotePrefix="0" xfId="0"/>
    <xf numFmtId="4" fontId="4" fillId="5" borderId="1" pivotButton="0" quotePrefix="0" xfId="0"/>
    <xf numFmtId="3" fontId="0" fillId="5" borderId="1"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Model</author>
  </authors>
  <commentList>
    <comment ref="D4" authorId="0" shapeId="0">
      <text>
        <t>EUR, actually paid for the period. Not annualised.</t>
      </text>
    </comment>
    <comment ref="E4" authorId="0" shapeId="0">
      <text>
        <t>EUR, actually paid for the period. Recorded on the same basis as base salary: what was actually paid, not a full-year figure.</t>
      </text>
    </comment>
    <comment ref="G4" authorId="0" shapeId="0">
      <text>
        <t>Position in the grade ladder: higher number = higher grade. Only the ordering matters for the calculation, not the absolute value.</t>
      </text>
    </comment>
    <comment ref="H4" authorId="0" shapeId="0">
      <text>
        <t>Share of a full-time position: 1.0 = full time, 0.5 = half time.</t>
      </text>
    </comment>
    <comment ref="I4" authorId="0" shapeId="0">
      <text>
        <t>Months worked during the period. 12 = full year.</t>
      </text>
    </comment>
    <comment ref="J4" authorId="0" shapeId="0">
      <text>
        <t>factor = fte x (months_worked / 12). Converts actual pay to a full-time, full-year equivalent.</t>
      </text>
    </comment>
    <comment ref="K4" authorId="0" shapeId="0">
      <text>
        <t>EUR per year at full time: base_salary / factor.</t>
      </text>
    </comment>
    <comment ref="L4" authorId="0" shapeId="0">
      <text>
        <t>EUR per year at full time: variable_pay / factor.</t>
      </text>
    </comment>
    <comment ref="M4" authorId="0" shapeId="0">
      <text>
        <t>EUR per year at full time: n_base + n_var. This is the figure employees are compared on.</t>
      </text>
    </comment>
    <comment ref="N4" authorId="0" shapeId="0">
      <text>
        <t>EUR, actually paid: base_salary + variable_pay. The payroll total is the sum of this column.</t>
      </text>
    </comment>
    <comment ref="O4" authorId="0" shapeId="0">
      <text>
        <t>Median n_total across the whole category, both genders. EUR per year at full time.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4" customWidth="1" min="1" max="1"/>
    <col width="14" customWidth="1" min="2" max="2"/>
    <col width="34" customWidth="1" min="3" max="3"/>
    <col width="76" customWidth="1" min="4" max="4"/>
  </cols>
  <sheetData>
    <row r="1">
      <c r="A1" s="1" t="inlineStr">
        <is>
          <t>Model settings</t>
        </is>
      </c>
    </row>
    <row r="2">
      <c r="A2" s="2" t="inlineStr">
        <is>
          <t>Full demo dataset: 212 employees, Spain 2026 defaults</t>
        </is>
      </c>
    </row>
    <row r="4">
      <c r="A4" s="2" t="inlineStr">
        <is>
          <t>Only the green cells are meant to be edited. Everything else recalculates.</t>
        </is>
      </c>
    </row>
    <row r="6" ht="30" customHeight="1">
      <c r="A6" s="3" t="inlineStr">
        <is>
          <t>Name</t>
        </is>
      </c>
      <c r="B6" s="3" t="inlineStr">
        <is>
          <t>Value</t>
        </is>
      </c>
      <c r="C6" s="3" t="inlineStr">
        <is>
          <t>What it is</t>
        </is>
      </c>
      <c r="D6" s="3" t="inlineStr">
        <is>
          <t>Notes</t>
        </is>
      </c>
    </row>
    <row r="7" ht="28" customHeight="1">
      <c r="A7" s="4" t="inlineStr">
        <is>
          <t>threshold_pct</t>
        </is>
      </c>
      <c r="B7" s="5" t="n">
        <v>5</v>
      </c>
      <c r="C7" s="4" t="inlineStr">
        <is>
          <t>Threshold, %</t>
        </is>
      </c>
      <c r="D7" s="6" t="inlineStr">
        <is>
          <t>Target unexplained gap for the Minimum compliance scenario.</t>
        </is>
      </c>
    </row>
    <row r="8" ht="28" customHeight="1">
      <c r="A8" s="4" t="inlineStr">
        <is>
          <t>implementation_month</t>
        </is>
      </c>
      <c r="B8" s="5" t="n">
        <v>7</v>
      </c>
      <c r="C8" s="4" t="inlineStr">
        <is>
          <t>Implementation month</t>
        </is>
      </c>
      <c r="D8" s="6" t="inlineStr">
        <is>
          <t>1 = January. Drives the current-year effect: (13 - m) / 12.</t>
        </is>
      </c>
    </row>
    <row r="9" ht="28" customHeight="1">
      <c r="A9" s="4" t="inlineStr">
        <is>
          <t>rate_below</t>
        </is>
      </c>
      <c r="B9" s="5" t="n">
        <v>31.5</v>
      </c>
      <c r="C9" s="4" t="inlineStr">
        <is>
          <t>Contribution rate below ceiling, %</t>
        </is>
      </c>
      <c r="D9" s="6" t="inlineStr">
        <is>
          <t>Applied to the part of the uplift that fits under the ceiling.</t>
        </is>
      </c>
    </row>
    <row r="10" ht="28" customHeight="1">
      <c r="A10" s="4" t="inlineStr">
        <is>
          <t>rate_above</t>
        </is>
      </c>
      <c r="B10" s="5" t="n">
        <v>1.15</v>
      </c>
      <c r="C10" s="4" t="inlineStr">
        <is>
          <t>Contribution rate above ceiling, %</t>
        </is>
      </c>
      <c r="D10" s="6" t="inlineStr">
        <is>
          <t>Applied to the part that pushes base pay past the ceiling.</t>
        </is>
      </c>
    </row>
    <row r="11" ht="28" customHeight="1">
      <c r="A11" s="4" t="inlineStr">
        <is>
          <t>ceiling</t>
        </is>
      </c>
      <c r="B11" s="5" t="n">
        <v>61214</v>
      </c>
      <c r="C11" s="4" t="inlineStr">
        <is>
          <t>Contribution ceiling, EUR</t>
        </is>
      </c>
      <c r="D11" s="6" t="inlineStr">
        <is>
          <t>Annual, applied to the employee's actual base pay.</t>
        </is>
      </c>
    </row>
    <row r="14">
      <c r="A14" s="7" t="inlineStr">
        <is>
          <t>Source data</t>
        </is>
      </c>
    </row>
    <row r="15">
      <c r="A15" s="8" t="inlineStr">
        <is>
          <t>The Data sheet holds a fixed export. The demo-data generator uses a PRNG (mulberry32 + Box-Muller) that cannot be reproduced byte-for-byte in Excel formulas, so the array is exported as plain numbers. Everything computed on top of it is live.</t>
        </is>
      </c>
    </row>
    <row r="16"/>
    <row r="17"/>
  </sheetData>
  <mergeCells count="1">
    <mergeCell ref="A15:D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16"/>
  <sheetViews>
    <sheetView workbookViewId="0">
      <pane ySplit="4" topLeftCell="A5" activePane="bottomLeft" state="frozen"/>
      <selection pane="bottomLeft" activeCell="A1" sqref="A1"/>
    </sheetView>
  </sheetViews>
  <sheetFormatPr baseColWidth="8" defaultRowHeight="15"/>
  <cols>
    <col width="9" customWidth="1" min="1" max="1"/>
    <col width="18" customWidth="1" min="2" max="2"/>
    <col width="8" customWidth="1" min="3" max="3"/>
    <col width="13" customWidth="1" min="4" max="4"/>
    <col width="13" customWidth="1" min="5" max="5"/>
    <col width="11" customWidth="1" min="6" max="6"/>
    <col width="8" customWidth="1" min="7" max="7"/>
    <col width="7" customWidth="1" min="8" max="8"/>
    <col width="11" customWidth="1" min="9" max="9"/>
    <col width="9" customWidth="1" min="10" max="10"/>
    <col width="12" customWidth="1" min="11" max="11"/>
    <col width="12" customWidth="1" min="12" max="12"/>
    <col width="12" customWidth="1" min="13" max="13"/>
    <col width="13" customWidth="1" min="14" max="14"/>
    <col width="12" customWidth="1" min="15" max="15"/>
    <col width="11" customWidth="1" min="16" max="16"/>
    <col width="12" customWidth="1" min="17" max="17"/>
    <col width="10" customWidth="1" min="18" max="18"/>
    <col width="13" customWidth="1" min="19" max="19"/>
    <col width="13" customWidth="1" min="20" max="20"/>
    <col width="12" customWidth="1" min="21" max="21"/>
    <col width="12" customWidth="1" min="22" max="22"/>
    <col width="11" customWidth="1" min="23" max="23"/>
    <col width="12" customWidth="1" min="24" max="24"/>
    <col width="10" customWidth="1" min="25" max="25"/>
    <col width="13" customWidth="1" min="26" max="26"/>
    <col width="13" customWidth="1" min="27" max="27"/>
    <col width="12" customWidth="1" min="28" max="28"/>
    <col width="12" customWidth="1" min="29" max="29"/>
    <col width="10" customWidth="1" min="30" max="30"/>
    <col width="8" customWidth="1" min="31" max="31"/>
    <col width="10" customWidth="1" min="32" max="32"/>
    <col width="8" customWidth="1" min="33" max="33"/>
  </cols>
  <sheetData>
    <row r="1">
      <c r="A1" s="1" t="inlineStr">
        <is>
          <t>Employee-level data and calculation</t>
        </is>
      </c>
    </row>
    <row r="2">
      <c r="A2" s="2" t="inlineStr">
        <is>
          <t>Yellow — source data from the CSV. Blue — calculated by formula. Formulas reference the Categories sheet, where category-level gaps are computed.</t>
        </is>
      </c>
    </row>
    <row r="4" ht="30" customHeight="1">
      <c r="A4" s="3" t="inlineStr">
        <is>
          <t>id</t>
        </is>
      </c>
      <c r="B4" s="3" t="inlineStr">
        <is>
          <t>category</t>
        </is>
      </c>
      <c r="C4" s="3" t="inlineStr">
        <is>
          <t>gender</t>
        </is>
      </c>
      <c r="D4" s="3" t="inlineStr">
        <is>
          <t>base_salary</t>
        </is>
      </c>
      <c r="E4" s="3" t="inlineStr">
        <is>
          <t>variable_pay</t>
        </is>
      </c>
      <c r="F4" s="3" t="inlineStr">
        <is>
          <t>tenure_years</t>
        </is>
      </c>
      <c r="G4" s="3" t="inlineStr">
        <is>
          <t>grade</t>
        </is>
      </c>
      <c r="H4" s="3" t="inlineStr">
        <is>
          <t>fte</t>
        </is>
      </c>
      <c r="I4" s="3" t="inlineStr">
        <is>
          <t>months_worked</t>
        </is>
      </c>
      <c r="J4" s="3" t="inlineStr">
        <is>
          <t>factor</t>
        </is>
      </c>
      <c r="K4" s="3" t="inlineStr">
        <is>
          <t>n_base</t>
        </is>
      </c>
      <c r="L4" s="3" t="inlineStr">
        <is>
          <t>n_var</t>
        </is>
      </c>
      <c r="M4" s="3" t="inlineStr">
        <is>
          <t>n_total</t>
        </is>
      </c>
      <c r="N4" s="3" t="inlineStr">
        <is>
          <t>actual_total</t>
        </is>
      </c>
      <c r="O4" s="3" t="inlineStr">
        <is>
          <t>median_cat</t>
        </is>
      </c>
      <c r="P4" s="3" t="inlineStr">
        <is>
          <t>recip_min</t>
        </is>
      </c>
      <c r="Q4" s="3" t="inlineStr">
        <is>
          <t>deficit_min</t>
        </is>
      </c>
      <c r="R4" s="3" t="inlineStr">
        <is>
          <t>share_min</t>
        </is>
      </c>
      <c r="S4" s="3" t="inlineStr">
        <is>
          <t>uplift_norm_min</t>
        </is>
      </c>
      <c r="T4" s="3" t="inlineStr">
        <is>
          <t>uplift_act_min</t>
        </is>
      </c>
      <c r="U4" s="3" t="inlineStr">
        <is>
          <t>contrib_min</t>
        </is>
      </c>
      <c r="V4" s="3" t="inlineStr">
        <is>
          <t>cost_min</t>
        </is>
      </c>
      <c r="W4" s="3" t="inlineStr">
        <is>
          <t>recip_full</t>
        </is>
      </c>
      <c r="X4" s="3" t="inlineStr">
        <is>
          <t>deficit_full</t>
        </is>
      </c>
      <c r="Y4" s="3" t="inlineStr">
        <is>
          <t>share_full</t>
        </is>
      </c>
      <c r="Z4" s="3" t="inlineStr">
        <is>
          <t>uplift_norm_full</t>
        </is>
      </c>
      <c r="AA4" s="3" t="inlineStr">
        <is>
          <t>uplift_act_full</t>
        </is>
      </c>
      <c r="AB4" s="3" t="inlineStr">
        <is>
          <t>contrib_full</t>
        </is>
      </c>
      <c r="AC4" s="3" t="inlineStr">
        <is>
          <t>cost_full</t>
        </is>
      </c>
      <c r="AD4" s="3" t="inlineStr">
        <is>
          <t>_rank_cat</t>
        </is>
      </c>
      <c r="AE4" s="3" t="inlineStr">
        <is>
          <t>_n_cat</t>
        </is>
      </c>
      <c r="AF4" s="3" t="inlineStr">
        <is>
          <t>_rank_sex</t>
        </is>
      </c>
      <c r="AG4" s="3" t="inlineStr">
        <is>
          <t>_n_sex</t>
        </is>
      </c>
    </row>
    <row r="5">
      <c r="A5" s="9" t="inlineStr">
        <is>
          <t>E001</t>
        </is>
      </c>
      <c r="B5" s="9" t="inlineStr">
        <is>
          <t>Engineering</t>
        </is>
      </c>
      <c r="C5" s="9" t="inlineStr">
        <is>
          <t>M</t>
        </is>
      </c>
      <c r="D5" s="10" t="n">
        <v>56987.18</v>
      </c>
      <c r="E5" s="10" t="n">
        <v>8168.89</v>
      </c>
      <c r="F5" s="9" t="n">
        <v>5.6</v>
      </c>
      <c r="G5" s="9" t="n">
        <v>2</v>
      </c>
      <c r="H5" s="9" t="n">
        <v>1</v>
      </c>
      <c r="I5" s="9" t="n">
        <v>12</v>
      </c>
      <c r="J5" s="11">
        <f>H5*(I5/12)</f>
        <v/>
      </c>
      <c r="K5" s="12">
        <f>D5/J5</f>
        <v/>
      </c>
      <c r="L5" s="12">
        <f>E5/J5</f>
        <v/>
      </c>
      <c r="M5" s="12">
        <f>K5+L5</f>
        <v/>
      </c>
      <c r="N5" s="12">
        <f>D5+E5</f>
        <v/>
      </c>
      <c r="O5" s="12">
        <f>(SUMIFS($M$5:$M$216,$B$5:$B$216,B5,$AD$5:$AD$216,INT((AE5+1)/2))+SUMIFS($M$5:$M$216,$B$5:$B$216,B5,$AD$5:$AD$216,INT(AE5/2)+1))/2</f>
        <v/>
      </c>
      <c r="P5" s="13">
        <f>IF(AND(C5="F",M5&lt;O5,SUMIFS(Categories!$Z$5:$Z$11,Categories!$A$5:$A$11,B5)=1),1,0)</f>
        <v/>
      </c>
      <c r="Q5" s="12">
        <f>IF(P5=1,O5-M5,0)</f>
        <v/>
      </c>
      <c r="R5" s="11">
        <f>IF(AND(P5=1,SUMIFS(Categories!$AA$5:$AA$11,Categories!$A$5:$A$11,B5)&gt;0),Q5/SUMIFS(Categories!$AA$5:$AA$11,Categories!$A$5:$A$11,B5),0)</f>
        <v/>
      </c>
      <c r="S5" s="12">
        <f>R5*SUMIFS(Categories!$AB$5:$AB$11,Categories!$A$5:$A$11,B5)</f>
        <v/>
      </c>
      <c r="T5" s="12">
        <f>S5*J5</f>
        <v/>
      </c>
      <c r="U5" s="12">
        <f>IF(T5&lt;=0,0,(rate_below/100)*MIN(T5,MAX(0,ceiling-D5))+(rate_above/100)*(T5-MIN(T5,MAX(0,ceiling-D5))))</f>
        <v/>
      </c>
      <c r="V5" s="12">
        <f>T5+U5</f>
        <v/>
      </c>
      <c r="W5" s="13">
        <f>IF(AND(C5="F",M5&lt;O5,SUMIFS(Categories!$AH$5:$AH$11,Categories!$A$5:$A$11,B5)=1),1,0)</f>
        <v/>
      </c>
      <c r="X5" s="12">
        <f>IF(W5=1,O5-M5,0)</f>
        <v/>
      </c>
      <c r="Y5" s="11">
        <f>IF(AND(W5=1,SUMIFS(Categories!$AI$5:$AI$11,Categories!$A$5:$A$11,B5)&gt;0),X5/SUMIFS(Categories!$AI$5:$AI$11,Categories!$A$5:$A$11,B5),0)</f>
        <v/>
      </c>
      <c r="Z5" s="12">
        <f>Y5*SUMIFS(Categories!$AJ$5:$AJ$11,Categories!$A$5:$A$11,B5)</f>
        <v/>
      </c>
      <c r="AA5" s="12">
        <f>Z5*J5</f>
        <v/>
      </c>
      <c r="AB5" s="12">
        <f>IF(AA5&lt;=0,0,(rate_below/100)*MIN(AA5,MAX(0,ceiling-D5))+(rate_above/100)*(AA5-MIN(AA5,MAX(0,ceiling-D5))))</f>
        <v/>
      </c>
      <c r="AC5" s="12">
        <f>AA5+AB5</f>
        <v/>
      </c>
      <c r="AD5" s="13">
        <f>SUMPRODUCT(($B$5:$B$216=B5)*($M$5:$M$216&lt;M5))+SUMPRODUCT(($B$5:$B$216=B5)*($M$5:$M$216=M5)*(ROW($M$5:$M$216)&lt;ROW(M5)))+1</f>
        <v/>
      </c>
      <c r="AE5" s="13">
        <f>COUNTIF($B$5:$B$216,B5)</f>
        <v/>
      </c>
      <c r="AF5" s="13">
        <f>SUMPRODUCT(($B$5:$B$216=B5)*($C$5:$C$216=C5)*($M$5:$M$216&lt;M5))+SUMPRODUCT(($B$5:$B$216=B5)*($C$5:$C$216=C5)*($M$5:$M$216=M5)*(ROW($M$5:$M$216)&lt;ROW(M5)))+1</f>
        <v/>
      </c>
      <c r="AG5" s="13">
        <f>COUNTIFS($B$5:$B$216,B5,$C$5:$C$216,C5)</f>
        <v/>
      </c>
    </row>
    <row r="6">
      <c r="A6" s="9" t="inlineStr">
        <is>
          <t>E002</t>
        </is>
      </c>
      <c r="B6" s="9" t="inlineStr">
        <is>
          <t>Engineering</t>
        </is>
      </c>
      <c r="C6" s="9" t="inlineStr">
        <is>
          <t>M</t>
        </is>
      </c>
      <c r="D6" s="10" t="n">
        <v>65996.64</v>
      </c>
      <c r="E6" s="10" t="n">
        <v>8827.27</v>
      </c>
      <c r="F6" s="9" t="n">
        <v>8.9</v>
      </c>
      <c r="G6" s="9" t="n">
        <v>3</v>
      </c>
      <c r="H6" s="9" t="n">
        <v>1</v>
      </c>
      <c r="I6" s="9" t="n">
        <v>12</v>
      </c>
      <c r="J6" s="11">
        <f>H6*(I6/12)</f>
        <v/>
      </c>
      <c r="K6" s="12">
        <f>D6/J6</f>
        <v/>
      </c>
      <c r="L6" s="12">
        <f>E6/J6</f>
        <v/>
      </c>
      <c r="M6" s="12">
        <f>K6+L6</f>
        <v/>
      </c>
      <c r="N6" s="12">
        <f>D6+E6</f>
        <v/>
      </c>
      <c r="O6" s="12">
        <f>(SUMIFS($M$5:$M$216,$B$5:$B$216,B6,$AD$5:$AD$216,INT((AE6+1)/2))+SUMIFS($M$5:$M$216,$B$5:$B$216,B6,$AD$5:$AD$216,INT(AE6/2)+1))/2</f>
        <v/>
      </c>
      <c r="P6" s="13">
        <f>IF(AND(C6="F",M6&lt;O6,SUMIFS(Categories!$Z$5:$Z$11,Categories!$A$5:$A$11,B6)=1),1,0)</f>
        <v/>
      </c>
      <c r="Q6" s="12">
        <f>IF(P6=1,O6-M6,0)</f>
        <v/>
      </c>
      <c r="R6" s="11">
        <f>IF(AND(P6=1,SUMIFS(Categories!$AA$5:$AA$11,Categories!$A$5:$A$11,B6)&gt;0),Q6/SUMIFS(Categories!$AA$5:$AA$11,Categories!$A$5:$A$11,B6),0)</f>
        <v/>
      </c>
      <c r="S6" s="12">
        <f>R6*SUMIFS(Categories!$AB$5:$AB$11,Categories!$A$5:$A$11,B6)</f>
        <v/>
      </c>
      <c r="T6" s="12">
        <f>S6*J6</f>
        <v/>
      </c>
      <c r="U6" s="12">
        <f>IF(T6&lt;=0,0,(rate_below/100)*MIN(T6,MAX(0,ceiling-D6))+(rate_above/100)*(T6-MIN(T6,MAX(0,ceiling-D6))))</f>
        <v/>
      </c>
      <c r="V6" s="12">
        <f>T6+U6</f>
        <v/>
      </c>
      <c r="W6" s="13">
        <f>IF(AND(C6="F",M6&lt;O6,SUMIFS(Categories!$AH$5:$AH$11,Categories!$A$5:$A$11,B6)=1),1,0)</f>
        <v/>
      </c>
      <c r="X6" s="12">
        <f>IF(W6=1,O6-M6,0)</f>
        <v/>
      </c>
      <c r="Y6" s="11">
        <f>IF(AND(W6=1,SUMIFS(Categories!$AI$5:$AI$11,Categories!$A$5:$A$11,B6)&gt;0),X6/SUMIFS(Categories!$AI$5:$AI$11,Categories!$A$5:$A$11,B6),0)</f>
        <v/>
      </c>
      <c r="Z6" s="12">
        <f>Y6*SUMIFS(Categories!$AJ$5:$AJ$11,Categories!$A$5:$A$11,B6)</f>
        <v/>
      </c>
      <c r="AA6" s="12">
        <f>Z6*J6</f>
        <v/>
      </c>
      <c r="AB6" s="12">
        <f>IF(AA6&lt;=0,0,(rate_below/100)*MIN(AA6,MAX(0,ceiling-D6))+(rate_above/100)*(AA6-MIN(AA6,MAX(0,ceiling-D6))))</f>
        <v/>
      </c>
      <c r="AC6" s="12">
        <f>AA6+AB6</f>
        <v/>
      </c>
      <c r="AD6" s="13">
        <f>SUMPRODUCT(($B$5:$B$216=B6)*($M$5:$M$216&lt;M6))+SUMPRODUCT(($B$5:$B$216=B6)*($M$5:$M$216=M6)*(ROW($M$5:$M$216)&lt;ROW(M6)))+1</f>
        <v/>
      </c>
      <c r="AE6" s="13">
        <f>COUNTIF($B$5:$B$216,B6)</f>
        <v/>
      </c>
      <c r="AF6" s="13">
        <f>SUMPRODUCT(($B$5:$B$216=B6)*($C$5:$C$216=C6)*($M$5:$M$216&lt;M6))+SUMPRODUCT(($B$5:$B$216=B6)*($C$5:$C$216=C6)*($M$5:$M$216=M6)*(ROW($M$5:$M$216)&lt;ROW(M6)))+1</f>
        <v/>
      </c>
      <c r="AG6" s="13">
        <f>COUNTIFS($B$5:$B$216,B6,$C$5:$C$216,C6)</f>
        <v/>
      </c>
    </row>
    <row r="7">
      <c r="A7" s="9" t="inlineStr">
        <is>
          <t>E003</t>
        </is>
      </c>
      <c r="B7" s="9" t="inlineStr">
        <is>
          <t>Engineering</t>
        </is>
      </c>
      <c r="C7" s="9" t="inlineStr">
        <is>
          <t>M</t>
        </is>
      </c>
      <c r="D7" s="10" t="n">
        <v>79747.78</v>
      </c>
      <c r="E7" s="10" t="n">
        <v>11262.55</v>
      </c>
      <c r="F7" s="9" t="n">
        <v>11.8</v>
      </c>
      <c r="G7" s="9" t="n">
        <v>5</v>
      </c>
      <c r="H7" s="9" t="n">
        <v>1</v>
      </c>
      <c r="I7" s="9" t="n">
        <v>12</v>
      </c>
      <c r="J7" s="11">
        <f>H7*(I7/12)</f>
        <v/>
      </c>
      <c r="K7" s="12">
        <f>D7/J7</f>
        <v/>
      </c>
      <c r="L7" s="12">
        <f>E7/J7</f>
        <v/>
      </c>
      <c r="M7" s="12">
        <f>K7+L7</f>
        <v/>
      </c>
      <c r="N7" s="12">
        <f>D7+E7</f>
        <v/>
      </c>
      <c r="O7" s="12">
        <f>(SUMIFS($M$5:$M$216,$B$5:$B$216,B7,$AD$5:$AD$216,INT((AE7+1)/2))+SUMIFS($M$5:$M$216,$B$5:$B$216,B7,$AD$5:$AD$216,INT(AE7/2)+1))/2</f>
        <v/>
      </c>
      <c r="P7" s="13">
        <f>IF(AND(C7="F",M7&lt;O7,SUMIFS(Categories!$Z$5:$Z$11,Categories!$A$5:$A$11,B7)=1),1,0)</f>
        <v/>
      </c>
      <c r="Q7" s="12">
        <f>IF(P7=1,O7-M7,0)</f>
        <v/>
      </c>
      <c r="R7" s="11">
        <f>IF(AND(P7=1,SUMIFS(Categories!$AA$5:$AA$11,Categories!$A$5:$A$11,B7)&gt;0),Q7/SUMIFS(Categories!$AA$5:$AA$11,Categories!$A$5:$A$11,B7),0)</f>
        <v/>
      </c>
      <c r="S7" s="12">
        <f>R7*SUMIFS(Categories!$AB$5:$AB$11,Categories!$A$5:$A$11,B7)</f>
        <v/>
      </c>
      <c r="T7" s="12">
        <f>S7*J7</f>
        <v/>
      </c>
      <c r="U7" s="12">
        <f>IF(T7&lt;=0,0,(rate_below/100)*MIN(T7,MAX(0,ceiling-D7))+(rate_above/100)*(T7-MIN(T7,MAX(0,ceiling-D7))))</f>
        <v/>
      </c>
      <c r="V7" s="12">
        <f>T7+U7</f>
        <v/>
      </c>
      <c r="W7" s="13">
        <f>IF(AND(C7="F",M7&lt;O7,SUMIFS(Categories!$AH$5:$AH$11,Categories!$A$5:$A$11,B7)=1),1,0)</f>
        <v/>
      </c>
      <c r="X7" s="12">
        <f>IF(W7=1,O7-M7,0)</f>
        <v/>
      </c>
      <c r="Y7" s="11">
        <f>IF(AND(W7=1,SUMIFS(Categories!$AI$5:$AI$11,Categories!$A$5:$A$11,B7)&gt;0),X7/SUMIFS(Categories!$AI$5:$AI$11,Categories!$A$5:$A$11,B7),0)</f>
        <v/>
      </c>
      <c r="Z7" s="12">
        <f>Y7*SUMIFS(Categories!$AJ$5:$AJ$11,Categories!$A$5:$A$11,B7)</f>
        <v/>
      </c>
      <c r="AA7" s="12">
        <f>Z7*J7</f>
        <v/>
      </c>
      <c r="AB7" s="12">
        <f>IF(AA7&lt;=0,0,(rate_below/100)*MIN(AA7,MAX(0,ceiling-D7))+(rate_above/100)*(AA7-MIN(AA7,MAX(0,ceiling-D7))))</f>
        <v/>
      </c>
      <c r="AC7" s="12">
        <f>AA7+AB7</f>
        <v/>
      </c>
      <c r="AD7" s="13">
        <f>SUMPRODUCT(($B$5:$B$216=B7)*($M$5:$M$216&lt;M7))+SUMPRODUCT(($B$5:$B$216=B7)*($M$5:$M$216=M7)*(ROW($M$5:$M$216)&lt;ROW(M7)))+1</f>
        <v/>
      </c>
      <c r="AE7" s="13">
        <f>COUNTIF($B$5:$B$216,B7)</f>
        <v/>
      </c>
      <c r="AF7" s="13">
        <f>SUMPRODUCT(($B$5:$B$216=B7)*($C$5:$C$216=C7)*($M$5:$M$216&lt;M7))+SUMPRODUCT(($B$5:$B$216=B7)*($C$5:$C$216=C7)*($M$5:$M$216=M7)*(ROW($M$5:$M$216)&lt;ROW(M7)))+1</f>
        <v/>
      </c>
      <c r="AG7" s="13">
        <f>COUNTIFS($B$5:$B$216,B7,$C$5:$C$216,C7)</f>
        <v/>
      </c>
    </row>
    <row r="8">
      <c r="A8" s="9" t="inlineStr">
        <is>
          <t>E004</t>
        </is>
      </c>
      <c r="B8" s="9" t="inlineStr">
        <is>
          <t>Engineering</t>
        </is>
      </c>
      <c r="C8" s="9" t="inlineStr">
        <is>
          <t>M</t>
        </is>
      </c>
      <c r="D8" s="10" t="n">
        <v>73284.69</v>
      </c>
      <c r="E8" s="10" t="n">
        <v>8788.709999999999</v>
      </c>
      <c r="F8" s="9" t="n">
        <v>7.4</v>
      </c>
      <c r="G8" s="9" t="n">
        <v>4</v>
      </c>
      <c r="H8" s="9" t="n">
        <v>1</v>
      </c>
      <c r="I8" s="9" t="n">
        <v>12</v>
      </c>
      <c r="J8" s="11">
        <f>H8*(I8/12)</f>
        <v/>
      </c>
      <c r="K8" s="12">
        <f>D8/J8</f>
        <v/>
      </c>
      <c r="L8" s="12">
        <f>E8/J8</f>
        <v/>
      </c>
      <c r="M8" s="12">
        <f>K8+L8</f>
        <v/>
      </c>
      <c r="N8" s="12">
        <f>D8+E8</f>
        <v/>
      </c>
      <c r="O8" s="12">
        <f>(SUMIFS($M$5:$M$216,$B$5:$B$216,B8,$AD$5:$AD$216,INT((AE8+1)/2))+SUMIFS($M$5:$M$216,$B$5:$B$216,B8,$AD$5:$AD$216,INT(AE8/2)+1))/2</f>
        <v/>
      </c>
      <c r="P8" s="13">
        <f>IF(AND(C8="F",M8&lt;O8,SUMIFS(Categories!$Z$5:$Z$11,Categories!$A$5:$A$11,B8)=1),1,0)</f>
        <v/>
      </c>
      <c r="Q8" s="12">
        <f>IF(P8=1,O8-M8,0)</f>
        <v/>
      </c>
      <c r="R8" s="11">
        <f>IF(AND(P8=1,SUMIFS(Categories!$AA$5:$AA$11,Categories!$A$5:$A$11,B8)&gt;0),Q8/SUMIFS(Categories!$AA$5:$AA$11,Categories!$A$5:$A$11,B8),0)</f>
        <v/>
      </c>
      <c r="S8" s="12">
        <f>R8*SUMIFS(Categories!$AB$5:$AB$11,Categories!$A$5:$A$11,B8)</f>
        <v/>
      </c>
      <c r="T8" s="12">
        <f>S8*J8</f>
        <v/>
      </c>
      <c r="U8" s="12">
        <f>IF(T8&lt;=0,0,(rate_below/100)*MIN(T8,MAX(0,ceiling-D8))+(rate_above/100)*(T8-MIN(T8,MAX(0,ceiling-D8))))</f>
        <v/>
      </c>
      <c r="V8" s="12">
        <f>T8+U8</f>
        <v/>
      </c>
      <c r="W8" s="13">
        <f>IF(AND(C8="F",M8&lt;O8,SUMIFS(Categories!$AH$5:$AH$11,Categories!$A$5:$A$11,B8)=1),1,0)</f>
        <v/>
      </c>
      <c r="X8" s="12">
        <f>IF(W8=1,O8-M8,0)</f>
        <v/>
      </c>
      <c r="Y8" s="11">
        <f>IF(AND(W8=1,SUMIFS(Categories!$AI$5:$AI$11,Categories!$A$5:$A$11,B8)&gt;0),X8/SUMIFS(Categories!$AI$5:$AI$11,Categories!$A$5:$A$11,B8),0)</f>
        <v/>
      </c>
      <c r="Z8" s="12">
        <f>Y8*SUMIFS(Categories!$AJ$5:$AJ$11,Categories!$A$5:$A$11,B8)</f>
        <v/>
      </c>
      <c r="AA8" s="12">
        <f>Z8*J8</f>
        <v/>
      </c>
      <c r="AB8" s="12">
        <f>IF(AA8&lt;=0,0,(rate_below/100)*MIN(AA8,MAX(0,ceiling-D8))+(rate_above/100)*(AA8-MIN(AA8,MAX(0,ceiling-D8))))</f>
        <v/>
      </c>
      <c r="AC8" s="12">
        <f>AA8+AB8</f>
        <v/>
      </c>
      <c r="AD8" s="13">
        <f>SUMPRODUCT(($B$5:$B$216=B8)*($M$5:$M$216&lt;M8))+SUMPRODUCT(($B$5:$B$216=B8)*($M$5:$M$216=M8)*(ROW($M$5:$M$216)&lt;ROW(M8)))+1</f>
        <v/>
      </c>
      <c r="AE8" s="13">
        <f>COUNTIF($B$5:$B$216,B8)</f>
        <v/>
      </c>
      <c r="AF8" s="13">
        <f>SUMPRODUCT(($B$5:$B$216=B8)*($C$5:$C$216=C8)*($M$5:$M$216&lt;M8))+SUMPRODUCT(($B$5:$B$216=B8)*($C$5:$C$216=C8)*($M$5:$M$216=M8)*(ROW($M$5:$M$216)&lt;ROW(M8)))+1</f>
        <v/>
      </c>
      <c r="AG8" s="13">
        <f>COUNTIFS($B$5:$B$216,B8,$C$5:$C$216,C8)</f>
        <v/>
      </c>
    </row>
    <row r="9">
      <c r="A9" s="9" t="inlineStr">
        <is>
          <t>E005</t>
        </is>
      </c>
      <c r="B9" s="9" t="inlineStr">
        <is>
          <t>Engineering</t>
        </is>
      </c>
      <c r="C9" s="9" t="inlineStr">
        <is>
          <t>F</t>
        </is>
      </c>
      <c r="D9" s="10" t="n">
        <v>69538.46000000001</v>
      </c>
      <c r="E9" s="10" t="n">
        <v>6654.16</v>
      </c>
      <c r="F9" s="9" t="n">
        <v>6.6</v>
      </c>
      <c r="G9" s="9" t="n">
        <v>4</v>
      </c>
      <c r="H9" s="9" t="n">
        <v>1</v>
      </c>
      <c r="I9" s="9" t="n">
        <v>12</v>
      </c>
      <c r="J9" s="11">
        <f>H9*(I9/12)</f>
        <v/>
      </c>
      <c r="K9" s="12">
        <f>D9/J9</f>
        <v/>
      </c>
      <c r="L9" s="12">
        <f>E9/J9</f>
        <v/>
      </c>
      <c r="M9" s="12">
        <f>K9+L9</f>
        <v/>
      </c>
      <c r="N9" s="12">
        <f>D9+E9</f>
        <v/>
      </c>
      <c r="O9" s="12">
        <f>(SUMIFS($M$5:$M$216,$B$5:$B$216,B9,$AD$5:$AD$216,INT((AE9+1)/2))+SUMIFS($M$5:$M$216,$B$5:$B$216,B9,$AD$5:$AD$216,INT(AE9/2)+1))/2</f>
        <v/>
      </c>
      <c r="P9" s="13">
        <f>IF(AND(C9="F",M9&lt;O9,SUMIFS(Categories!$Z$5:$Z$11,Categories!$A$5:$A$11,B9)=1),1,0)</f>
        <v/>
      </c>
      <c r="Q9" s="12">
        <f>IF(P9=1,O9-M9,0)</f>
        <v/>
      </c>
      <c r="R9" s="11">
        <f>IF(AND(P9=1,SUMIFS(Categories!$AA$5:$AA$11,Categories!$A$5:$A$11,B9)&gt;0),Q9/SUMIFS(Categories!$AA$5:$AA$11,Categories!$A$5:$A$11,B9),0)</f>
        <v/>
      </c>
      <c r="S9" s="12">
        <f>R9*SUMIFS(Categories!$AB$5:$AB$11,Categories!$A$5:$A$11,B9)</f>
        <v/>
      </c>
      <c r="T9" s="12">
        <f>S9*J9</f>
        <v/>
      </c>
      <c r="U9" s="12">
        <f>IF(T9&lt;=0,0,(rate_below/100)*MIN(T9,MAX(0,ceiling-D9))+(rate_above/100)*(T9-MIN(T9,MAX(0,ceiling-D9))))</f>
        <v/>
      </c>
      <c r="V9" s="12">
        <f>T9+U9</f>
        <v/>
      </c>
      <c r="W9" s="13">
        <f>IF(AND(C9="F",M9&lt;O9,SUMIFS(Categories!$AH$5:$AH$11,Categories!$A$5:$A$11,B9)=1),1,0)</f>
        <v/>
      </c>
      <c r="X9" s="12">
        <f>IF(W9=1,O9-M9,0)</f>
        <v/>
      </c>
      <c r="Y9" s="11">
        <f>IF(AND(W9=1,SUMIFS(Categories!$AI$5:$AI$11,Categories!$A$5:$A$11,B9)&gt;0),X9/SUMIFS(Categories!$AI$5:$AI$11,Categories!$A$5:$A$11,B9),0)</f>
        <v/>
      </c>
      <c r="Z9" s="12">
        <f>Y9*SUMIFS(Categories!$AJ$5:$AJ$11,Categories!$A$5:$A$11,B9)</f>
        <v/>
      </c>
      <c r="AA9" s="12">
        <f>Z9*J9</f>
        <v/>
      </c>
      <c r="AB9" s="12">
        <f>IF(AA9&lt;=0,0,(rate_below/100)*MIN(AA9,MAX(0,ceiling-D9))+(rate_above/100)*(AA9-MIN(AA9,MAX(0,ceiling-D9))))</f>
        <v/>
      </c>
      <c r="AC9" s="12">
        <f>AA9+AB9</f>
        <v/>
      </c>
      <c r="AD9" s="13">
        <f>SUMPRODUCT(($B$5:$B$216=B9)*($M$5:$M$216&lt;M9))+SUMPRODUCT(($B$5:$B$216=B9)*($M$5:$M$216=M9)*(ROW($M$5:$M$216)&lt;ROW(M9)))+1</f>
        <v/>
      </c>
      <c r="AE9" s="13">
        <f>COUNTIF($B$5:$B$216,B9)</f>
        <v/>
      </c>
      <c r="AF9" s="13">
        <f>SUMPRODUCT(($B$5:$B$216=B9)*($C$5:$C$216=C9)*($M$5:$M$216&lt;M9))+SUMPRODUCT(($B$5:$B$216=B9)*($C$5:$C$216=C9)*($M$5:$M$216=M9)*(ROW($M$5:$M$216)&lt;ROW(M9)))+1</f>
        <v/>
      </c>
      <c r="AG9" s="13">
        <f>COUNTIFS($B$5:$B$216,B9,$C$5:$C$216,C9)</f>
        <v/>
      </c>
    </row>
    <row r="10">
      <c r="A10" s="9" t="inlineStr">
        <is>
          <t>E006</t>
        </is>
      </c>
      <c r="B10" s="9" t="inlineStr">
        <is>
          <t>Engineering</t>
        </is>
      </c>
      <c r="C10" s="9" t="inlineStr">
        <is>
          <t>M</t>
        </is>
      </c>
      <c r="D10" s="10" t="n">
        <v>60248.19</v>
      </c>
      <c r="E10" s="10" t="n">
        <v>6267.47</v>
      </c>
      <c r="F10" s="9" t="n">
        <v>5.5</v>
      </c>
      <c r="G10" s="9" t="n">
        <v>3</v>
      </c>
      <c r="H10" s="9" t="n">
        <v>1</v>
      </c>
      <c r="I10" s="9" t="n">
        <v>12</v>
      </c>
      <c r="J10" s="11">
        <f>H10*(I10/12)</f>
        <v/>
      </c>
      <c r="K10" s="12">
        <f>D10/J10</f>
        <v/>
      </c>
      <c r="L10" s="12">
        <f>E10/J10</f>
        <v/>
      </c>
      <c r="M10" s="12">
        <f>K10+L10</f>
        <v/>
      </c>
      <c r="N10" s="12">
        <f>D10+E10</f>
        <v/>
      </c>
      <c r="O10" s="12">
        <f>(SUMIFS($M$5:$M$216,$B$5:$B$216,B10,$AD$5:$AD$216,INT((AE10+1)/2))+SUMIFS($M$5:$M$216,$B$5:$B$216,B10,$AD$5:$AD$216,INT(AE10/2)+1))/2</f>
        <v/>
      </c>
      <c r="P10" s="13">
        <f>IF(AND(C10="F",M10&lt;O10,SUMIFS(Categories!$Z$5:$Z$11,Categories!$A$5:$A$11,B10)=1),1,0)</f>
        <v/>
      </c>
      <c r="Q10" s="12">
        <f>IF(P10=1,O10-M10,0)</f>
        <v/>
      </c>
      <c r="R10" s="11">
        <f>IF(AND(P10=1,SUMIFS(Categories!$AA$5:$AA$11,Categories!$A$5:$A$11,B10)&gt;0),Q10/SUMIFS(Categories!$AA$5:$AA$11,Categories!$A$5:$A$11,B10),0)</f>
        <v/>
      </c>
      <c r="S10" s="12">
        <f>R10*SUMIFS(Categories!$AB$5:$AB$11,Categories!$A$5:$A$11,B10)</f>
        <v/>
      </c>
      <c r="T10" s="12">
        <f>S10*J10</f>
        <v/>
      </c>
      <c r="U10" s="12">
        <f>IF(T10&lt;=0,0,(rate_below/100)*MIN(T10,MAX(0,ceiling-D10))+(rate_above/100)*(T10-MIN(T10,MAX(0,ceiling-D10))))</f>
        <v/>
      </c>
      <c r="V10" s="12">
        <f>T10+U10</f>
        <v/>
      </c>
      <c r="W10" s="13">
        <f>IF(AND(C10="F",M10&lt;O10,SUMIFS(Categories!$AH$5:$AH$11,Categories!$A$5:$A$11,B10)=1),1,0)</f>
        <v/>
      </c>
      <c r="X10" s="12">
        <f>IF(W10=1,O10-M10,0)</f>
        <v/>
      </c>
      <c r="Y10" s="11">
        <f>IF(AND(W10=1,SUMIFS(Categories!$AI$5:$AI$11,Categories!$A$5:$A$11,B10)&gt;0),X10/SUMIFS(Categories!$AI$5:$AI$11,Categories!$A$5:$A$11,B10),0)</f>
        <v/>
      </c>
      <c r="Z10" s="12">
        <f>Y10*SUMIFS(Categories!$AJ$5:$AJ$11,Categories!$A$5:$A$11,B10)</f>
        <v/>
      </c>
      <c r="AA10" s="12">
        <f>Z10*J10</f>
        <v/>
      </c>
      <c r="AB10" s="12">
        <f>IF(AA10&lt;=0,0,(rate_below/100)*MIN(AA10,MAX(0,ceiling-D10))+(rate_above/100)*(AA10-MIN(AA10,MAX(0,ceiling-D10))))</f>
        <v/>
      </c>
      <c r="AC10" s="12">
        <f>AA10+AB10</f>
        <v/>
      </c>
      <c r="AD10" s="13">
        <f>SUMPRODUCT(($B$5:$B$216=B10)*($M$5:$M$216&lt;M10))+SUMPRODUCT(($B$5:$B$216=B10)*($M$5:$M$216=M10)*(ROW($M$5:$M$216)&lt;ROW(M10)))+1</f>
        <v/>
      </c>
      <c r="AE10" s="13">
        <f>COUNTIF($B$5:$B$216,B10)</f>
        <v/>
      </c>
      <c r="AF10" s="13">
        <f>SUMPRODUCT(($B$5:$B$216=B10)*($C$5:$C$216=C10)*($M$5:$M$216&lt;M10))+SUMPRODUCT(($B$5:$B$216=B10)*($C$5:$C$216=C10)*($M$5:$M$216=M10)*(ROW($M$5:$M$216)&lt;ROW(M10)))+1</f>
        <v/>
      </c>
      <c r="AG10" s="13">
        <f>COUNTIFS($B$5:$B$216,B10,$C$5:$C$216,C10)</f>
        <v/>
      </c>
    </row>
    <row r="11">
      <c r="A11" s="9" t="inlineStr">
        <is>
          <t>E007</t>
        </is>
      </c>
      <c r="B11" s="9" t="inlineStr">
        <is>
          <t>Engineering</t>
        </is>
      </c>
      <c r="C11" s="9" t="inlineStr">
        <is>
          <t>M</t>
        </is>
      </c>
      <c r="D11" s="10" t="n">
        <v>47983.14</v>
      </c>
      <c r="E11" s="10" t="n">
        <v>5665.2</v>
      </c>
      <c r="F11" s="9" t="n">
        <v>4.8</v>
      </c>
      <c r="G11" s="9" t="n">
        <v>1</v>
      </c>
      <c r="H11" s="9" t="n">
        <v>1</v>
      </c>
      <c r="I11" s="9" t="n">
        <v>12</v>
      </c>
      <c r="J11" s="11">
        <f>H11*(I11/12)</f>
        <v/>
      </c>
      <c r="K11" s="12">
        <f>D11/J11</f>
        <v/>
      </c>
      <c r="L11" s="12">
        <f>E11/J11</f>
        <v/>
      </c>
      <c r="M11" s="12">
        <f>K11+L11</f>
        <v/>
      </c>
      <c r="N11" s="12">
        <f>D11+E11</f>
        <v/>
      </c>
      <c r="O11" s="12">
        <f>(SUMIFS($M$5:$M$216,$B$5:$B$216,B11,$AD$5:$AD$216,INT((AE11+1)/2))+SUMIFS($M$5:$M$216,$B$5:$B$216,B11,$AD$5:$AD$216,INT(AE11/2)+1))/2</f>
        <v/>
      </c>
      <c r="P11" s="13">
        <f>IF(AND(C11="F",M11&lt;O11,SUMIFS(Categories!$Z$5:$Z$11,Categories!$A$5:$A$11,B11)=1),1,0)</f>
        <v/>
      </c>
      <c r="Q11" s="12">
        <f>IF(P11=1,O11-M11,0)</f>
        <v/>
      </c>
      <c r="R11" s="11">
        <f>IF(AND(P11=1,SUMIFS(Categories!$AA$5:$AA$11,Categories!$A$5:$A$11,B11)&gt;0),Q11/SUMIFS(Categories!$AA$5:$AA$11,Categories!$A$5:$A$11,B11),0)</f>
        <v/>
      </c>
      <c r="S11" s="12">
        <f>R11*SUMIFS(Categories!$AB$5:$AB$11,Categories!$A$5:$A$11,B11)</f>
        <v/>
      </c>
      <c r="T11" s="12">
        <f>S11*J11</f>
        <v/>
      </c>
      <c r="U11" s="12">
        <f>IF(T11&lt;=0,0,(rate_below/100)*MIN(T11,MAX(0,ceiling-D11))+(rate_above/100)*(T11-MIN(T11,MAX(0,ceiling-D11))))</f>
        <v/>
      </c>
      <c r="V11" s="12">
        <f>T11+U11</f>
        <v/>
      </c>
      <c r="W11" s="13">
        <f>IF(AND(C11="F",M11&lt;O11,SUMIFS(Categories!$AH$5:$AH$11,Categories!$A$5:$A$11,B11)=1),1,0)</f>
        <v/>
      </c>
      <c r="X11" s="12">
        <f>IF(W11=1,O11-M11,0)</f>
        <v/>
      </c>
      <c r="Y11" s="11">
        <f>IF(AND(W11=1,SUMIFS(Categories!$AI$5:$AI$11,Categories!$A$5:$A$11,B11)&gt;0),X11/SUMIFS(Categories!$AI$5:$AI$11,Categories!$A$5:$A$11,B11),0)</f>
        <v/>
      </c>
      <c r="Z11" s="12">
        <f>Y11*SUMIFS(Categories!$AJ$5:$AJ$11,Categories!$A$5:$A$11,B11)</f>
        <v/>
      </c>
      <c r="AA11" s="12">
        <f>Z11*J11</f>
        <v/>
      </c>
      <c r="AB11" s="12">
        <f>IF(AA11&lt;=0,0,(rate_below/100)*MIN(AA11,MAX(0,ceiling-D11))+(rate_above/100)*(AA11-MIN(AA11,MAX(0,ceiling-D11))))</f>
        <v/>
      </c>
      <c r="AC11" s="12">
        <f>AA11+AB11</f>
        <v/>
      </c>
      <c r="AD11" s="13">
        <f>SUMPRODUCT(($B$5:$B$216=B11)*($M$5:$M$216&lt;M11))+SUMPRODUCT(($B$5:$B$216=B11)*($M$5:$M$216=M11)*(ROW($M$5:$M$216)&lt;ROW(M11)))+1</f>
        <v/>
      </c>
      <c r="AE11" s="13">
        <f>COUNTIF($B$5:$B$216,B11)</f>
        <v/>
      </c>
      <c r="AF11" s="13">
        <f>SUMPRODUCT(($B$5:$B$216=B11)*($C$5:$C$216=C11)*($M$5:$M$216&lt;M11))+SUMPRODUCT(($B$5:$B$216=B11)*($C$5:$C$216=C11)*($M$5:$M$216=M11)*(ROW($M$5:$M$216)&lt;ROW(M11)))+1</f>
        <v/>
      </c>
      <c r="AG11" s="13">
        <f>COUNTIFS($B$5:$B$216,B11,$C$5:$C$216,C11)</f>
        <v/>
      </c>
    </row>
    <row r="12">
      <c r="A12" s="9" t="inlineStr">
        <is>
          <t>E008</t>
        </is>
      </c>
      <c r="B12" s="9" t="inlineStr">
        <is>
          <t>Engineering</t>
        </is>
      </c>
      <c r="C12" s="9" t="inlineStr">
        <is>
          <t>M</t>
        </is>
      </c>
      <c r="D12" s="10" t="n">
        <v>79273.59</v>
      </c>
      <c r="E12" s="10" t="n">
        <v>7323.24</v>
      </c>
      <c r="F12" s="9" t="n">
        <v>6.6</v>
      </c>
      <c r="G12" s="9" t="n">
        <v>5</v>
      </c>
      <c r="H12" s="9" t="n">
        <v>1</v>
      </c>
      <c r="I12" s="9" t="n">
        <v>12</v>
      </c>
      <c r="J12" s="11">
        <f>H12*(I12/12)</f>
        <v/>
      </c>
      <c r="K12" s="12">
        <f>D12/J12</f>
        <v/>
      </c>
      <c r="L12" s="12">
        <f>E12/J12</f>
        <v/>
      </c>
      <c r="M12" s="12">
        <f>K12+L12</f>
        <v/>
      </c>
      <c r="N12" s="12">
        <f>D12+E12</f>
        <v/>
      </c>
      <c r="O12" s="12">
        <f>(SUMIFS($M$5:$M$216,$B$5:$B$216,B12,$AD$5:$AD$216,INT((AE12+1)/2))+SUMIFS($M$5:$M$216,$B$5:$B$216,B12,$AD$5:$AD$216,INT(AE12/2)+1))/2</f>
        <v/>
      </c>
      <c r="P12" s="13">
        <f>IF(AND(C12="F",M12&lt;O12,SUMIFS(Categories!$Z$5:$Z$11,Categories!$A$5:$A$11,B12)=1),1,0)</f>
        <v/>
      </c>
      <c r="Q12" s="12">
        <f>IF(P12=1,O12-M12,0)</f>
        <v/>
      </c>
      <c r="R12" s="11">
        <f>IF(AND(P12=1,SUMIFS(Categories!$AA$5:$AA$11,Categories!$A$5:$A$11,B12)&gt;0),Q12/SUMIFS(Categories!$AA$5:$AA$11,Categories!$A$5:$A$11,B12),0)</f>
        <v/>
      </c>
      <c r="S12" s="12">
        <f>R12*SUMIFS(Categories!$AB$5:$AB$11,Categories!$A$5:$A$11,B12)</f>
        <v/>
      </c>
      <c r="T12" s="12">
        <f>S12*J12</f>
        <v/>
      </c>
      <c r="U12" s="12">
        <f>IF(T12&lt;=0,0,(rate_below/100)*MIN(T12,MAX(0,ceiling-D12))+(rate_above/100)*(T12-MIN(T12,MAX(0,ceiling-D12))))</f>
        <v/>
      </c>
      <c r="V12" s="12">
        <f>T12+U12</f>
        <v/>
      </c>
      <c r="W12" s="13">
        <f>IF(AND(C12="F",M12&lt;O12,SUMIFS(Categories!$AH$5:$AH$11,Categories!$A$5:$A$11,B12)=1),1,0)</f>
        <v/>
      </c>
      <c r="X12" s="12">
        <f>IF(W12=1,O12-M12,0)</f>
        <v/>
      </c>
      <c r="Y12" s="11">
        <f>IF(AND(W12=1,SUMIFS(Categories!$AI$5:$AI$11,Categories!$A$5:$A$11,B12)&gt;0),X12/SUMIFS(Categories!$AI$5:$AI$11,Categories!$A$5:$A$11,B12),0)</f>
        <v/>
      </c>
      <c r="Z12" s="12">
        <f>Y12*SUMIFS(Categories!$AJ$5:$AJ$11,Categories!$A$5:$A$11,B12)</f>
        <v/>
      </c>
      <c r="AA12" s="12">
        <f>Z12*J12</f>
        <v/>
      </c>
      <c r="AB12" s="12">
        <f>IF(AA12&lt;=0,0,(rate_below/100)*MIN(AA12,MAX(0,ceiling-D12))+(rate_above/100)*(AA12-MIN(AA12,MAX(0,ceiling-D12))))</f>
        <v/>
      </c>
      <c r="AC12" s="12">
        <f>AA12+AB12</f>
        <v/>
      </c>
      <c r="AD12" s="13">
        <f>SUMPRODUCT(($B$5:$B$216=B12)*($M$5:$M$216&lt;M12))+SUMPRODUCT(($B$5:$B$216=B12)*($M$5:$M$216=M12)*(ROW($M$5:$M$216)&lt;ROW(M12)))+1</f>
        <v/>
      </c>
      <c r="AE12" s="13">
        <f>COUNTIF($B$5:$B$216,B12)</f>
        <v/>
      </c>
      <c r="AF12" s="13">
        <f>SUMPRODUCT(($B$5:$B$216=B12)*($C$5:$C$216=C12)*($M$5:$M$216&lt;M12))+SUMPRODUCT(($B$5:$B$216=B12)*($C$5:$C$216=C12)*($M$5:$M$216=M12)*(ROW($M$5:$M$216)&lt;ROW(M12)))+1</f>
        <v/>
      </c>
      <c r="AG12" s="13">
        <f>COUNTIFS($B$5:$B$216,B12,$C$5:$C$216,C12)</f>
        <v/>
      </c>
    </row>
    <row r="13">
      <c r="A13" s="9" t="inlineStr">
        <is>
          <t>E009</t>
        </is>
      </c>
      <c r="B13" s="9" t="inlineStr">
        <is>
          <t>Engineering</t>
        </is>
      </c>
      <c r="C13" s="9" t="inlineStr">
        <is>
          <t>M</t>
        </is>
      </c>
      <c r="D13" s="10" t="n">
        <v>56597.91</v>
      </c>
      <c r="E13" s="10" t="n">
        <v>6073.48</v>
      </c>
      <c r="F13" s="9" t="n">
        <v>5.9</v>
      </c>
      <c r="G13" s="9" t="n">
        <v>2</v>
      </c>
      <c r="H13" s="9" t="n">
        <v>1</v>
      </c>
      <c r="I13" s="9" t="n">
        <v>12</v>
      </c>
      <c r="J13" s="11">
        <f>H13*(I13/12)</f>
        <v/>
      </c>
      <c r="K13" s="12">
        <f>D13/J13</f>
        <v/>
      </c>
      <c r="L13" s="12">
        <f>E13/J13</f>
        <v/>
      </c>
      <c r="M13" s="12">
        <f>K13+L13</f>
        <v/>
      </c>
      <c r="N13" s="12">
        <f>D13+E13</f>
        <v/>
      </c>
      <c r="O13" s="12">
        <f>(SUMIFS($M$5:$M$216,$B$5:$B$216,B13,$AD$5:$AD$216,INT((AE13+1)/2))+SUMIFS($M$5:$M$216,$B$5:$B$216,B13,$AD$5:$AD$216,INT(AE13/2)+1))/2</f>
        <v/>
      </c>
      <c r="P13" s="13">
        <f>IF(AND(C13="F",M13&lt;O13,SUMIFS(Categories!$Z$5:$Z$11,Categories!$A$5:$A$11,B13)=1),1,0)</f>
        <v/>
      </c>
      <c r="Q13" s="12">
        <f>IF(P13=1,O13-M13,0)</f>
        <v/>
      </c>
      <c r="R13" s="11">
        <f>IF(AND(P13=1,SUMIFS(Categories!$AA$5:$AA$11,Categories!$A$5:$A$11,B13)&gt;0),Q13/SUMIFS(Categories!$AA$5:$AA$11,Categories!$A$5:$A$11,B13),0)</f>
        <v/>
      </c>
      <c r="S13" s="12">
        <f>R13*SUMIFS(Categories!$AB$5:$AB$11,Categories!$A$5:$A$11,B13)</f>
        <v/>
      </c>
      <c r="T13" s="12">
        <f>S13*J13</f>
        <v/>
      </c>
      <c r="U13" s="12">
        <f>IF(T13&lt;=0,0,(rate_below/100)*MIN(T13,MAX(0,ceiling-D13))+(rate_above/100)*(T13-MIN(T13,MAX(0,ceiling-D13))))</f>
        <v/>
      </c>
      <c r="V13" s="12">
        <f>T13+U13</f>
        <v/>
      </c>
      <c r="W13" s="13">
        <f>IF(AND(C13="F",M13&lt;O13,SUMIFS(Categories!$AH$5:$AH$11,Categories!$A$5:$A$11,B13)=1),1,0)</f>
        <v/>
      </c>
      <c r="X13" s="12">
        <f>IF(W13=1,O13-M13,0)</f>
        <v/>
      </c>
      <c r="Y13" s="11">
        <f>IF(AND(W13=1,SUMIFS(Categories!$AI$5:$AI$11,Categories!$A$5:$A$11,B13)&gt;0),X13/SUMIFS(Categories!$AI$5:$AI$11,Categories!$A$5:$A$11,B13),0)</f>
        <v/>
      </c>
      <c r="Z13" s="12">
        <f>Y13*SUMIFS(Categories!$AJ$5:$AJ$11,Categories!$A$5:$A$11,B13)</f>
        <v/>
      </c>
      <c r="AA13" s="12">
        <f>Z13*J13</f>
        <v/>
      </c>
      <c r="AB13" s="12">
        <f>IF(AA13&lt;=0,0,(rate_below/100)*MIN(AA13,MAX(0,ceiling-D13))+(rate_above/100)*(AA13-MIN(AA13,MAX(0,ceiling-D13))))</f>
        <v/>
      </c>
      <c r="AC13" s="12">
        <f>AA13+AB13</f>
        <v/>
      </c>
      <c r="AD13" s="13">
        <f>SUMPRODUCT(($B$5:$B$216=B13)*($M$5:$M$216&lt;M13))+SUMPRODUCT(($B$5:$B$216=B13)*($M$5:$M$216=M13)*(ROW($M$5:$M$216)&lt;ROW(M13)))+1</f>
        <v/>
      </c>
      <c r="AE13" s="13">
        <f>COUNTIF($B$5:$B$216,B13)</f>
        <v/>
      </c>
      <c r="AF13" s="13">
        <f>SUMPRODUCT(($B$5:$B$216=B13)*($C$5:$C$216=C13)*($M$5:$M$216&lt;M13))+SUMPRODUCT(($B$5:$B$216=B13)*($C$5:$C$216=C13)*($M$5:$M$216=M13)*(ROW($M$5:$M$216)&lt;ROW(M13)))+1</f>
        <v/>
      </c>
      <c r="AG13" s="13">
        <f>COUNTIFS($B$5:$B$216,B13,$C$5:$C$216,C13)</f>
        <v/>
      </c>
    </row>
    <row r="14">
      <c r="A14" s="9" t="inlineStr">
        <is>
          <t>E010</t>
        </is>
      </c>
      <c r="B14" s="9" t="inlineStr">
        <is>
          <t>Engineering</t>
        </is>
      </c>
      <c r="C14" s="9" t="inlineStr">
        <is>
          <t>M</t>
        </is>
      </c>
      <c r="D14" s="10" t="n">
        <v>75607.45</v>
      </c>
      <c r="E14" s="10" t="n">
        <v>9066.91</v>
      </c>
      <c r="F14" s="9" t="n">
        <v>9.699999999999999</v>
      </c>
      <c r="G14" s="9" t="n">
        <v>4</v>
      </c>
      <c r="H14" s="9" t="n">
        <v>1</v>
      </c>
      <c r="I14" s="9" t="n">
        <v>12</v>
      </c>
      <c r="J14" s="11">
        <f>H14*(I14/12)</f>
        <v/>
      </c>
      <c r="K14" s="12">
        <f>D14/J14</f>
        <v/>
      </c>
      <c r="L14" s="12">
        <f>E14/J14</f>
        <v/>
      </c>
      <c r="M14" s="12">
        <f>K14+L14</f>
        <v/>
      </c>
      <c r="N14" s="12">
        <f>D14+E14</f>
        <v/>
      </c>
      <c r="O14" s="12">
        <f>(SUMIFS($M$5:$M$216,$B$5:$B$216,B14,$AD$5:$AD$216,INT((AE14+1)/2))+SUMIFS($M$5:$M$216,$B$5:$B$216,B14,$AD$5:$AD$216,INT(AE14/2)+1))/2</f>
        <v/>
      </c>
      <c r="P14" s="13">
        <f>IF(AND(C14="F",M14&lt;O14,SUMIFS(Categories!$Z$5:$Z$11,Categories!$A$5:$A$11,B14)=1),1,0)</f>
        <v/>
      </c>
      <c r="Q14" s="12">
        <f>IF(P14=1,O14-M14,0)</f>
        <v/>
      </c>
      <c r="R14" s="11">
        <f>IF(AND(P14=1,SUMIFS(Categories!$AA$5:$AA$11,Categories!$A$5:$A$11,B14)&gt;0),Q14/SUMIFS(Categories!$AA$5:$AA$11,Categories!$A$5:$A$11,B14),0)</f>
        <v/>
      </c>
      <c r="S14" s="12">
        <f>R14*SUMIFS(Categories!$AB$5:$AB$11,Categories!$A$5:$A$11,B14)</f>
        <v/>
      </c>
      <c r="T14" s="12">
        <f>S14*J14</f>
        <v/>
      </c>
      <c r="U14" s="12">
        <f>IF(T14&lt;=0,0,(rate_below/100)*MIN(T14,MAX(0,ceiling-D14))+(rate_above/100)*(T14-MIN(T14,MAX(0,ceiling-D14))))</f>
        <v/>
      </c>
      <c r="V14" s="12">
        <f>T14+U14</f>
        <v/>
      </c>
      <c r="W14" s="13">
        <f>IF(AND(C14="F",M14&lt;O14,SUMIFS(Categories!$AH$5:$AH$11,Categories!$A$5:$A$11,B14)=1),1,0)</f>
        <v/>
      </c>
      <c r="X14" s="12">
        <f>IF(W14=1,O14-M14,0)</f>
        <v/>
      </c>
      <c r="Y14" s="11">
        <f>IF(AND(W14=1,SUMIFS(Categories!$AI$5:$AI$11,Categories!$A$5:$A$11,B14)&gt;0),X14/SUMIFS(Categories!$AI$5:$AI$11,Categories!$A$5:$A$11,B14),0)</f>
        <v/>
      </c>
      <c r="Z14" s="12">
        <f>Y14*SUMIFS(Categories!$AJ$5:$AJ$11,Categories!$A$5:$A$11,B14)</f>
        <v/>
      </c>
      <c r="AA14" s="12">
        <f>Z14*J14</f>
        <v/>
      </c>
      <c r="AB14" s="12">
        <f>IF(AA14&lt;=0,0,(rate_below/100)*MIN(AA14,MAX(0,ceiling-D14))+(rate_above/100)*(AA14-MIN(AA14,MAX(0,ceiling-D14))))</f>
        <v/>
      </c>
      <c r="AC14" s="12">
        <f>AA14+AB14</f>
        <v/>
      </c>
      <c r="AD14" s="13">
        <f>SUMPRODUCT(($B$5:$B$216=B14)*($M$5:$M$216&lt;M14))+SUMPRODUCT(($B$5:$B$216=B14)*($M$5:$M$216=M14)*(ROW($M$5:$M$216)&lt;ROW(M14)))+1</f>
        <v/>
      </c>
      <c r="AE14" s="13">
        <f>COUNTIF($B$5:$B$216,B14)</f>
        <v/>
      </c>
      <c r="AF14" s="13">
        <f>SUMPRODUCT(($B$5:$B$216=B14)*($C$5:$C$216=C14)*($M$5:$M$216&lt;M14))+SUMPRODUCT(($B$5:$B$216=B14)*($C$5:$C$216=C14)*($M$5:$M$216=M14)*(ROW($M$5:$M$216)&lt;ROW(M14)))+1</f>
        <v/>
      </c>
      <c r="AG14" s="13">
        <f>COUNTIFS($B$5:$B$216,B14,$C$5:$C$216,C14)</f>
        <v/>
      </c>
    </row>
    <row r="15">
      <c r="A15" s="9" t="inlineStr">
        <is>
          <t>E011</t>
        </is>
      </c>
      <c r="B15" s="9" t="inlineStr">
        <is>
          <t>Engineering</t>
        </is>
      </c>
      <c r="C15" s="9" t="inlineStr">
        <is>
          <t>M</t>
        </is>
      </c>
      <c r="D15" s="10" t="n">
        <v>46253.91</v>
      </c>
      <c r="E15" s="10" t="n">
        <v>6492.34</v>
      </c>
      <c r="F15" s="9" t="n">
        <v>2.8</v>
      </c>
      <c r="G15" s="9" t="n">
        <v>1</v>
      </c>
      <c r="H15" s="9" t="n">
        <v>1</v>
      </c>
      <c r="I15" s="9" t="n">
        <v>12</v>
      </c>
      <c r="J15" s="11">
        <f>H15*(I15/12)</f>
        <v/>
      </c>
      <c r="K15" s="12">
        <f>D15/J15</f>
        <v/>
      </c>
      <c r="L15" s="12">
        <f>E15/J15</f>
        <v/>
      </c>
      <c r="M15" s="12">
        <f>K15+L15</f>
        <v/>
      </c>
      <c r="N15" s="12">
        <f>D15+E15</f>
        <v/>
      </c>
      <c r="O15" s="12">
        <f>(SUMIFS($M$5:$M$216,$B$5:$B$216,B15,$AD$5:$AD$216,INT((AE15+1)/2))+SUMIFS($M$5:$M$216,$B$5:$B$216,B15,$AD$5:$AD$216,INT(AE15/2)+1))/2</f>
        <v/>
      </c>
      <c r="P15" s="13">
        <f>IF(AND(C15="F",M15&lt;O15,SUMIFS(Categories!$Z$5:$Z$11,Categories!$A$5:$A$11,B15)=1),1,0)</f>
        <v/>
      </c>
      <c r="Q15" s="12">
        <f>IF(P15=1,O15-M15,0)</f>
        <v/>
      </c>
      <c r="R15" s="11">
        <f>IF(AND(P15=1,SUMIFS(Categories!$AA$5:$AA$11,Categories!$A$5:$A$11,B15)&gt;0),Q15/SUMIFS(Categories!$AA$5:$AA$11,Categories!$A$5:$A$11,B15),0)</f>
        <v/>
      </c>
      <c r="S15" s="12">
        <f>R15*SUMIFS(Categories!$AB$5:$AB$11,Categories!$A$5:$A$11,B15)</f>
        <v/>
      </c>
      <c r="T15" s="12">
        <f>S15*J15</f>
        <v/>
      </c>
      <c r="U15" s="12">
        <f>IF(T15&lt;=0,0,(rate_below/100)*MIN(T15,MAX(0,ceiling-D15))+(rate_above/100)*(T15-MIN(T15,MAX(0,ceiling-D15))))</f>
        <v/>
      </c>
      <c r="V15" s="12">
        <f>T15+U15</f>
        <v/>
      </c>
      <c r="W15" s="13">
        <f>IF(AND(C15="F",M15&lt;O15,SUMIFS(Categories!$AH$5:$AH$11,Categories!$A$5:$A$11,B15)=1),1,0)</f>
        <v/>
      </c>
      <c r="X15" s="12">
        <f>IF(W15=1,O15-M15,0)</f>
        <v/>
      </c>
      <c r="Y15" s="11">
        <f>IF(AND(W15=1,SUMIFS(Categories!$AI$5:$AI$11,Categories!$A$5:$A$11,B15)&gt;0),X15/SUMIFS(Categories!$AI$5:$AI$11,Categories!$A$5:$A$11,B15),0)</f>
        <v/>
      </c>
      <c r="Z15" s="12">
        <f>Y15*SUMIFS(Categories!$AJ$5:$AJ$11,Categories!$A$5:$A$11,B15)</f>
        <v/>
      </c>
      <c r="AA15" s="12">
        <f>Z15*J15</f>
        <v/>
      </c>
      <c r="AB15" s="12">
        <f>IF(AA15&lt;=0,0,(rate_below/100)*MIN(AA15,MAX(0,ceiling-D15))+(rate_above/100)*(AA15-MIN(AA15,MAX(0,ceiling-D15))))</f>
        <v/>
      </c>
      <c r="AC15" s="12">
        <f>AA15+AB15</f>
        <v/>
      </c>
      <c r="AD15" s="13">
        <f>SUMPRODUCT(($B$5:$B$216=B15)*($M$5:$M$216&lt;M15))+SUMPRODUCT(($B$5:$B$216=B15)*($M$5:$M$216=M15)*(ROW($M$5:$M$216)&lt;ROW(M15)))+1</f>
        <v/>
      </c>
      <c r="AE15" s="13">
        <f>COUNTIF($B$5:$B$216,B15)</f>
        <v/>
      </c>
      <c r="AF15" s="13">
        <f>SUMPRODUCT(($B$5:$B$216=B15)*($C$5:$C$216=C15)*($M$5:$M$216&lt;M15))+SUMPRODUCT(($B$5:$B$216=B15)*($C$5:$C$216=C15)*($M$5:$M$216=M15)*(ROW($M$5:$M$216)&lt;ROW(M15)))+1</f>
        <v/>
      </c>
      <c r="AG15" s="13">
        <f>COUNTIFS($B$5:$B$216,B15,$C$5:$C$216,C15)</f>
        <v/>
      </c>
    </row>
    <row r="16">
      <c r="A16" s="9" t="inlineStr">
        <is>
          <t>E012</t>
        </is>
      </c>
      <c r="B16" s="9" t="inlineStr">
        <is>
          <t>Engineering</t>
        </is>
      </c>
      <c r="C16" s="9" t="inlineStr">
        <is>
          <t>M</t>
        </is>
      </c>
      <c r="D16" s="10" t="n">
        <v>60920.28</v>
      </c>
      <c r="E16" s="10" t="n">
        <v>7481.67</v>
      </c>
      <c r="F16" s="9" t="n">
        <v>7.7</v>
      </c>
      <c r="G16" s="9" t="n">
        <v>3</v>
      </c>
      <c r="H16" s="9" t="n">
        <v>1</v>
      </c>
      <c r="I16" s="9" t="n">
        <v>12</v>
      </c>
      <c r="J16" s="11">
        <f>H16*(I16/12)</f>
        <v/>
      </c>
      <c r="K16" s="12">
        <f>D16/J16</f>
        <v/>
      </c>
      <c r="L16" s="12">
        <f>E16/J16</f>
        <v/>
      </c>
      <c r="M16" s="12">
        <f>K16+L16</f>
        <v/>
      </c>
      <c r="N16" s="12">
        <f>D16+E16</f>
        <v/>
      </c>
      <c r="O16" s="12">
        <f>(SUMIFS($M$5:$M$216,$B$5:$B$216,B16,$AD$5:$AD$216,INT((AE16+1)/2))+SUMIFS($M$5:$M$216,$B$5:$B$216,B16,$AD$5:$AD$216,INT(AE16/2)+1))/2</f>
        <v/>
      </c>
      <c r="P16" s="13">
        <f>IF(AND(C16="F",M16&lt;O16,SUMIFS(Categories!$Z$5:$Z$11,Categories!$A$5:$A$11,B16)=1),1,0)</f>
        <v/>
      </c>
      <c r="Q16" s="12">
        <f>IF(P16=1,O16-M16,0)</f>
        <v/>
      </c>
      <c r="R16" s="11">
        <f>IF(AND(P16=1,SUMIFS(Categories!$AA$5:$AA$11,Categories!$A$5:$A$11,B16)&gt;0),Q16/SUMIFS(Categories!$AA$5:$AA$11,Categories!$A$5:$A$11,B16),0)</f>
        <v/>
      </c>
      <c r="S16" s="12">
        <f>R16*SUMIFS(Categories!$AB$5:$AB$11,Categories!$A$5:$A$11,B16)</f>
        <v/>
      </c>
      <c r="T16" s="12">
        <f>S16*J16</f>
        <v/>
      </c>
      <c r="U16" s="12">
        <f>IF(T16&lt;=0,0,(rate_below/100)*MIN(T16,MAX(0,ceiling-D16))+(rate_above/100)*(T16-MIN(T16,MAX(0,ceiling-D16))))</f>
        <v/>
      </c>
      <c r="V16" s="12">
        <f>T16+U16</f>
        <v/>
      </c>
      <c r="W16" s="13">
        <f>IF(AND(C16="F",M16&lt;O16,SUMIFS(Categories!$AH$5:$AH$11,Categories!$A$5:$A$11,B16)=1),1,0)</f>
        <v/>
      </c>
      <c r="X16" s="12">
        <f>IF(W16=1,O16-M16,0)</f>
        <v/>
      </c>
      <c r="Y16" s="11">
        <f>IF(AND(W16=1,SUMIFS(Categories!$AI$5:$AI$11,Categories!$A$5:$A$11,B16)&gt;0),X16/SUMIFS(Categories!$AI$5:$AI$11,Categories!$A$5:$A$11,B16),0)</f>
        <v/>
      </c>
      <c r="Z16" s="12">
        <f>Y16*SUMIFS(Categories!$AJ$5:$AJ$11,Categories!$A$5:$A$11,B16)</f>
        <v/>
      </c>
      <c r="AA16" s="12">
        <f>Z16*J16</f>
        <v/>
      </c>
      <c r="AB16" s="12">
        <f>IF(AA16&lt;=0,0,(rate_below/100)*MIN(AA16,MAX(0,ceiling-D16))+(rate_above/100)*(AA16-MIN(AA16,MAX(0,ceiling-D16))))</f>
        <v/>
      </c>
      <c r="AC16" s="12">
        <f>AA16+AB16</f>
        <v/>
      </c>
      <c r="AD16" s="13">
        <f>SUMPRODUCT(($B$5:$B$216=B16)*($M$5:$M$216&lt;M16))+SUMPRODUCT(($B$5:$B$216=B16)*($M$5:$M$216=M16)*(ROW($M$5:$M$216)&lt;ROW(M16)))+1</f>
        <v/>
      </c>
      <c r="AE16" s="13">
        <f>COUNTIF($B$5:$B$216,B16)</f>
        <v/>
      </c>
      <c r="AF16" s="13">
        <f>SUMPRODUCT(($B$5:$B$216=B16)*($C$5:$C$216=C16)*($M$5:$M$216&lt;M16))+SUMPRODUCT(($B$5:$B$216=B16)*($C$5:$C$216=C16)*($M$5:$M$216=M16)*(ROW($M$5:$M$216)&lt;ROW(M16)))+1</f>
        <v/>
      </c>
      <c r="AG16" s="13">
        <f>COUNTIFS($B$5:$B$216,B16,$C$5:$C$216,C16)</f>
        <v/>
      </c>
    </row>
    <row r="17">
      <c r="A17" s="9" t="inlineStr">
        <is>
          <t>E013</t>
        </is>
      </c>
      <c r="B17" s="9" t="inlineStr">
        <is>
          <t>Engineering</t>
        </is>
      </c>
      <c r="C17" s="9" t="inlineStr">
        <is>
          <t>F</t>
        </is>
      </c>
      <c r="D17" s="10" t="n">
        <v>32897.08</v>
      </c>
      <c r="E17" s="10" t="n">
        <v>3732.48</v>
      </c>
      <c r="F17" s="9" t="n">
        <v>7.6</v>
      </c>
      <c r="G17" s="9" t="n">
        <v>2</v>
      </c>
      <c r="H17" s="9" t="n">
        <v>0.6</v>
      </c>
      <c r="I17" s="9" t="n">
        <v>12</v>
      </c>
      <c r="J17" s="11">
        <f>H17*(I17/12)</f>
        <v/>
      </c>
      <c r="K17" s="12">
        <f>D17/J17</f>
        <v/>
      </c>
      <c r="L17" s="12">
        <f>E17/J17</f>
        <v/>
      </c>
      <c r="M17" s="12">
        <f>K17+L17</f>
        <v/>
      </c>
      <c r="N17" s="12">
        <f>D17+E17</f>
        <v/>
      </c>
      <c r="O17" s="12">
        <f>(SUMIFS($M$5:$M$216,$B$5:$B$216,B17,$AD$5:$AD$216,INT((AE17+1)/2))+SUMIFS($M$5:$M$216,$B$5:$B$216,B17,$AD$5:$AD$216,INT(AE17/2)+1))/2</f>
        <v/>
      </c>
      <c r="P17" s="13">
        <f>IF(AND(C17="F",M17&lt;O17,SUMIFS(Categories!$Z$5:$Z$11,Categories!$A$5:$A$11,B17)=1),1,0)</f>
        <v/>
      </c>
      <c r="Q17" s="12">
        <f>IF(P17=1,O17-M17,0)</f>
        <v/>
      </c>
      <c r="R17" s="11">
        <f>IF(AND(P17=1,SUMIFS(Categories!$AA$5:$AA$11,Categories!$A$5:$A$11,B17)&gt;0),Q17/SUMIFS(Categories!$AA$5:$AA$11,Categories!$A$5:$A$11,B17),0)</f>
        <v/>
      </c>
      <c r="S17" s="12">
        <f>R17*SUMIFS(Categories!$AB$5:$AB$11,Categories!$A$5:$A$11,B17)</f>
        <v/>
      </c>
      <c r="T17" s="12">
        <f>S17*J17</f>
        <v/>
      </c>
      <c r="U17" s="12">
        <f>IF(T17&lt;=0,0,(rate_below/100)*MIN(T17,MAX(0,ceiling-D17))+(rate_above/100)*(T17-MIN(T17,MAX(0,ceiling-D17))))</f>
        <v/>
      </c>
      <c r="V17" s="12">
        <f>T17+U17</f>
        <v/>
      </c>
      <c r="W17" s="13">
        <f>IF(AND(C17="F",M17&lt;O17,SUMIFS(Categories!$AH$5:$AH$11,Categories!$A$5:$A$11,B17)=1),1,0)</f>
        <v/>
      </c>
      <c r="X17" s="12">
        <f>IF(W17=1,O17-M17,0)</f>
        <v/>
      </c>
      <c r="Y17" s="11">
        <f>IF(AND(W17=1,SUMIFS(Categories!$AI$5:$AI$11,Categories!$A$5:$A$11,B17)&gt;0),X17/SUMIFS(Categories!$AI$5:$AI$11,Categories!$A$5:$A$11,B17),0)</f>
        <v/>
      </c>
      <c r="Z17" s="12">
        <f>Y17*SUMIFS(Categories!$AJ$5:$AJ$11,Categories!$A$5:$A$11,B17)</f>
        <v/>
      </c>
      <c r="AA17" s="12">
        <f>Z17*J17</f>
        <v/>
      </c>
      <c r="AB17" s="12">
        <f>IF(AA17&lt;=0,0,(rate_below/100)*MIN(AA17,MAX(0,ceiling-D17))+(rate_above/100)*(AA17-MIN(AA17,MAX(0,ceiling-D17))))</f>
        <v/>
      </c>
      <c r="AC17" s="12">
        <f>AA17+AB17</f>
        <v/>
      </c>
      <c r="AD17" s="13">
        <f>SUMPRODUCT(($B$5:$B$216=B17)*($M$5:$M$216&lt;M17))+SUMPRODUCT(($B$5:$B$216=B17)*($M$5:$M$216=M17)*(ROW($M$5:$M$216)&lt;ROW(M17)))+1</f>
        <v/>
      </c>
      <c r="AE17" s="13">
        <f>COUNTIF($B$5:$B$216,B17)</f>
        <v/>
      </c>
      <c r="AF17" s="13">
        <f>SUMPRODUCT(($B$5:$B$216=B17)*($C$5:$C$216=C17)*($M$5:$M$216&lt;M17))+SUMPRODUCT(($B$5:$B$216=B17)*($C$5:$C$216=C17)*($M$5:$M$216=M17)*(ROW($M$5:$M$216)&lt;ROW(M17)))+1</f>
        <v/>
      </c>
      <c r="AG17" s="13">
        <f>COUNTIFS($B$5:$B$216,B17,$C$5:$C$216,C17)</f>
        <v/>
      </c>
    </row>
    <row r="18">
      <c r="A18" s="9" t="inlineStr">
        <is>
          <t>E014</t>
        </is>
      </c>
      <c r="B18" s="9" t="inlineStr">
        <is>
          <t>Engineering</t>
        </is>
      </c>
      <c r="C18" s="9" t="inlineStr">
        <is>
          <t>M</t>
        </is>
      </c>
      <c r="D18" s="10" t="n">
        <v>82166.75</v>
      </c>
      <c r="E18" s="10" t="n">
        <v>8496.620000000001</v>
      </c>
      <c r="F18" s="9" t="n">
        <v>7.8</v>
      </c>
      <c r="G18" s="9" t="n">
        <v>5</v>
      </c>
      <c r="H18" s="9" t="n">
        <v>1</v>
      </c>
      <c r="I18" s="9" t="n">
        <v>12</v>
      </c>
      <c r="J18" s="11">
        <f>H18*(I18/12)</f>
        <v/>
      </c>
      <c r="K18" s="12">
        <f>D18/J18</f>
        <v/>
      </c>
      <c r="L18" s="12">
        <f>E18/J18</f>
        <v/>
      </c>
      <c r="M18" s="12">
        <f>K18+L18</f>
        <v/>
      </c>
      <c r="N18" s="12">
        <f>D18+E18</f>
        <v/>
      </c>
      <c r="O18" s="12">
        <f>(SUMIFS($M$5:$M$216,$B$5:$B$216,B18,$AD$5:$AD$216,INT((AE18+1)/2))+SUMIFS($M$5:$M$216,$B$5:$B$216,B18,$AD$5:$AD$216,INT(AE18/2)+1))/2</f>
        <v/>
      </c>
      <c r="P18" s="13">
        <f>IF(AND(C18="F",M18&lt;O18,SUMIFS(Categories!$Z$5:$Z$11,Categories!$A$5:$A$11,B18)=1),1,0)</f>
        <v/>
      </c>
      <c r="Q18" s="12">
        <f>IF(P18=1,O18-M18,0)</f>
        <v/>
      </c>
      <c r="R18" s="11">
        <f>IF(AND(P18=1,SUMIFS(Categories!$AA$5:$AA$11,Categories!$A$5:$A$11,B18)&gt;0),Q18/SUMIFS(Categories!$AA$5:$AA$11,Categories!$A$5:$A$11,B18),0)</f>
        <v/>
      </c>
      <c r="S18" s="12">
        <f>R18*SUMIFS(Categories!$AB$5:$AB$11,Categories!$A$5:$A$11,B18)</f>
        <v/>
      </c>
      <c r="T18" s="12">
        <f>S18*J18</f>
        <v/>
      </c>
      <c r="U18" s="12">
        <f>IF(T18&lt;=0,0,(rate_below/100)*MIN(T18,MAX(0,ceiling-D18))+(rate_above/100)*(T18-MIN(T18,MAX(0,ceiling-D18))))</f>
        <v/>
      </c>
      <c r="V18" s="12">
        <f>T18+U18</f>
        <v/>
      </c>
      <c r="W18" s="13">
        <f>IF(AND(C18="F",M18&lt;O18,SUMIFS(Categories!$AH$5:$AH$11,Categories!$A$5:$A$11,B18)=1),1,0)</f>
        <v/>
      </c>
      <c r="X18" s="12">
        <f>IF(W18=1,O18-M18,0)</f>
        <v/>
      </c>
      <c r="Y18" s="11">
        <f>IF(AND(W18=1,SUMIFS(Categories!$AI$5:$AI$11,Categories!$A$5:$A$11,B18)&gt;0),X18/SUMIFS(Categories!$AI$5:$AI$11,Categories!$A$5:$A$11,B18),0)</f>
        <v/>
      </c>
      <c r="Z18" s="12">
        <f>Y18*SUMIFS(Categories!$AJ$5:$AJ$11,Categories!$A$5:$A$11,B18)</f>
        <v/>
      </c>
      <c r="AA18" s="12">
        <f>Z18*J18</f>
        <v/>
      </c>
      <c r="AB18" s="12">
        <f>IF(AA18&lt;=0,0,(rate_below/100)*MIN(AA18,MAX(0,ceiling-D18))+(rate_above/100)*(AA18-MIN(AA18,MAX(0,ceiling-D18))))</f>
        <v/>
      </c>
      <c r="AC18" s="12">
        <f>AA18+AB18</f>
        <v/>
      </c>
      <c r="AD18" s="13">
        <f>SUMPRODUCT(($B$5:$B$216=B18)*($M$5:$M$216&lt;M18))+SUMPRODUCT(($B$5:$B$216=B18)*($M$5:$M$216=M18)*(ROW($M$5:$M$216)&lt;ROW(M18)))+1</f>
        <v/>
      </c>
      <c r="AE18" s="13">
        <f>COUNTIF($B$5:$B$216,B18)</f>
        <v/>
      </c>
      <c r="AF18" s="13">
        <f>SUMPRODUCT(($B$5:$B$216=B18)*($C$5:$C$216=C18)*($M$5:$M$216&lt;M18))+SUMPRODUCT(($B$5:$B$216=B18)*($C$5:$C$216=C18)*($M$5:$M$216=M18)*(ROW($M$5:$M$216)&lt;ROW(M18)))+1</f>
        <v/>
      </c>
      <c r="AG18" s="13">
        <f>COUNTIFS($B$5:$B$216,B18,$C$5:$C$216,C18)</f>
        <v/>
      </c>
    </row>
    <row r="19">
      <c r="A19" s="9" t="inlineStr">
        <is>
          <t>E015</t>
        </is>
      </c>
      <c r="B19" s="9" t="inlineStr">
        <is>
          <t>Engineering</t>
        </is>
      </c>
      <c r="C19" s="9" t="inlineStr">
        <is>
          <t>F</t>
        </is>
      </c>
      <c r="D19" s="10" t="n">
        <v>63456.32</v>
      </c>
      <c r="E19" s="10" t="n">
        <v>8252.299999999999</v>
      </c>
      <c r="F19" s="9" t="n">
        <v>9.9</v>
      </c>
      <c r="G19" s="9" t="n">
        <v>4</v>
      </c>
      <c r="H19" s="9" t="n">
        <v>1</v>
      </c>
      <c r="I19" s="9" t="n">
        <v>12</v>
      </c>
      <c r="J19" s="11">
        <f>H19*(I19/12)</f>
        <v/>
      </c>
      <c r="K19" s="12">
        <f>D19/J19</f>
        <v/>
      </c>
      <c r="L19" s="12">
        <f>E19/J19</f>
        <v/>
      </c>
      <c r="M19" s="12">
        <f>K19+L19</f>
        <v/>
      </c>
      <c r="N19" s="12">
        <f>D19+E19</f>
        <v/>
      </c>
      <c r="O19" s="12">
        <f>(SUMIFS($M$5:$M$216,$B$5:$B$216,B19,$AD$5:$AD$216,INT((AE19+1)/2))+SUMIFS($M$5:$M$216,$B$5:$B$216,B19,$AD$5:$AD$216,INT(AE19/2)+1))/2</f>
        <v/>
      </c>
      <c r="P19" s="13">
        <f>IF(AND(C19="F",M19&lt;O19,SUMIFS(Categories!$Z$5:$Z$11,Categories!$A$5:$A$11,B19)=1),1,0)</f>
        <v/>
      </c>
      <c r="Q19" s="12">
        <f>IF(P19=1,O19-M19,0)</f>
        <v/>
      </c>
      <c r="R19" s="11">
        <f>IF(AND(P19=1,SUMIFS(Categories!$AA$5:$AA$11,Categories!$A$5:$A$11,B19)&gt;0),Q19/SUMIFS(Categories!$AA$5:$AA$11,Categories!$A$5:$A$11,B19),0)</f>
        <v/>
      </c>
      <c r="S19" s="12">
        <f>R19*SUMIFS(Categories!$AB$5:$AB$11,Categories!$A$5:$A$11,B19)</f>
        <v/>
      </c>
      <c r="T19" s="12">
        <f>S19*J19</f>
        <v/>
      </c>
      <c r="U19" s="12">
        <f>IF(T19&lt;=0,0,(rate_below/100)*MIN(T19,MAX(0,ceiling-D19))+(rate_above/100)*(T19-MIN(T19,MAX(0,ceiling-D19))))</f>
        <v/>
      </c>
      <c r="V19" s="12">
        <f>T19+U19</f>
        <v/>
      </c>
      <c r="W19" s="13">
        <f>IF(AND(C19="F",M19&lt;O19,SUMIFS(Categories!$AH$5:$AH$11,Categories!$A$5:$A$11,B19)=1),1,0)</f>
        <v/>
      </c>
      <c r="X19" s="12">
        <f>IF(W19=1,O19-M19,0)</f>
        <v/>
      </c>
      <c r="Y19" s="11">
        <f>IF(AND(W19=1,SUMIFS(Categories!$AI$5:$AI$11,Categories!$A$5:$A$11,B19)&gt;0),X19/SUMIFS(Categories!$AI$5:$AI$11,Categories!$A$5:$A$11,B19),0)</f>
        <v/>
      </c>
      <c r="Z19" s="12">
        <f>Y19*SUMIFS(Categories!$AJ$5:$AJ$11,Categories!$A$5:$A$11,B19)</f>
        <v/>
      </c>
      <c r="AA19" s="12">
        <f>Z19*J19</f>
        <v/>
      </c>
      <c r="AB19" s="12">
        <f>IF(AA19&lt;=0,0,(rate_below/100)*MIN(AA19,MAX(0,ceiling-D19))+(rate_above/100)*(AA19-MIN(AA19,MAX(0,ceiling-D19))))</f>
        <v/>
      </c>
      <c r="AC19" s="12">
        <f>AA19+AB19</f>
        <v/>
      </c>
      <c r="AD19" s="13">
        <f>SUMPRODUCT(($B$5:$B$216=B19)*($M$5:$M$216&lt;M19))+SUMPRODUCT(($B$5:$B$216=B19)*($M$5:$M$216=M19)*(ROW($M$5:$M$216)&lt;ROW(M19)))+1</f>
        <v/>
      </c>
      <c r="AE19" s="13">
        <f>COUNTIF($B$5:$B$216,B19)</f>
        <v/>
      </c>
      <c r="AF19" s="13">
        <f>SUMPRODUCT(($B$5:$B$216=B19)*($C$5:$C$216=C19)*($M$5:$M$216&lt;M19))+SUMPRODUCT(($B$5:$B$216=B19)*($C$5:$C$216=C19)*($M$5:$M$216=M19)*(ROW($M$5:$M$216)&lt;ROW(M19)))+1</f>
        <v/>
      </c>
      <c r="AG19" s="13">
        <f>COUNTIFS($B$5:$B$216,B19,$C$5:$C$216,C19)</f>
        <v/>
      </c>
    </row>
    <row r="20">
      <c r="A20" s="9" t="inlineStr">
        <is>
          <t>E016</t>
        </is>
      </c>
      <c r="B20" s="9" t="inlineStr">
        <is>
          <t>Engineering</t>
        </is>
      </c>
      <c r="C20" s="9" t="inlineStr">
        <is>
          <t>F</t>
        </is>
      </c>
      <c r="D20" s="10" t="n">
        <v>57317.89</v>
      </c>
      <c r="E20" s="10" t="n">
        <v>5324.57</v>
      </c>
      <c r="F20" s="9" t="n">
        <v>7.2</v>
      </c>
      <c r="G20" s="9" t="n">
        <v>3</v>
      </c>
      <c r="H20" s="9" t="n">
        <v>1</v>
      </c>
      <c r="I20" s="9" t="n">
        <v>12</v>
      </c>
      <c r="J20" s="11">
        <f>H20*(I20/12)</f>
        <v/>
      </c>
      <c r="K20" s="12">
        <f>D20/J20</f>
        <v/>
      </c>
      <c r="L20" s="12">
        <f>E20/J20</f>
        <v/>
      </c>
      <c r="M20" s="12">
        <f>K20+L20</f>
        <v/>
      </c>
      <c r="N20" s="12">
        <f>D20+E20</f>
        <v/>
      </c>
      <c r="O20" s="12">
        <f>(SUMIFS($M$5:$M$216,$B$5:$B$216,B20,$AD$5:$AD$216,INT((AE20+1)/2))+SUMIFS($M$5:$M$216,$B$5:$B$216,B20,$AD$5:$AD$216,INT(AE20/2)+1))/2</f>
        <v/>
      </c>
      <c r="P20" s="13">
        <f>IF(AND(C20="F",M20&lt;O20,SUMIFS(Categories!$Z$5:$Z$11,Categories!$A$5:$A$11,B20)=1),1,0)</f>
        <v/>
      </c>
      <c r="Q20" s="12">
        <f>IF(P20=1,O20-M20,0)</f>
        <v/>
      </c>
      <c r="R20" s="11">
        <f>IF(AND(P20=1,SUMIFS(Categories!$AA$5:$AA$11,Categories!$A$5:$A$11,B20)&gt;0),Q20/SUMIFS(Categories!$AA$5:$AA$11,Categories!$A$5:$A$11,B20),0)</f>
        <v/>
      </c>
      <c r="S20" s="12">
        <f>R20*SUMIFS(Categories!$AB$5:$AB$11,Categories!$A$5:$A$11,B20)</f>
        <v/>
      </c>
      <c r="T20" s="12">
        <f>S20*J20</f>
        <v/>
      </c>
      <c r="U20" s="12">
        <f>IF(T20&lt;=0,0,(rate_below/100)*MIN(T20,MAX(0,ceiling-D20))+(rate_above/100)*(T20-MIN(T20,MAX(0,ceiling-D20))))</f>
        <v/>
      </c>
      <c r="V20" s="12">
        <f>T20+U20</f>
        <v/>
      </c>
      <c r="W20" s="13">
        <f>IF(AND(C20="F",M20&lt;O20,SUMIFS(Categories!$AH$5:$AH$11,Categories!$A$5:$A$11,B20)=1),1,0)</f>
        <v/>
      </c>
      <c r="X20" s="12">
        <f>IF(W20=1,O20-M20,0)</f>
        <v/>
      </c>
      <c r="Y20" s="11">
        <f>IF(AND(W20=1,SUMIFS(Categories!$AI$5:$AI$11,Categories!$A$5:$A$11,B20)&gt;0),X20/SUMIFS(Categories!$AI$5:$AI$11,Categories!$A$5:$A$11,B20),0)</f>
        <v/>
      </c>
      <c r="Z20" s="12">
        <f>Y20*SUMIFS(Categories!$AJ$5:$AJ$11,Categories!$A$5:$A$11,B20)</f>
        <v/>
      </c>
      <c r="AA20" s="12">
        <f>Z20*J20</f>
        <v/>
      </c>
      <c r="AB20" s="12">
        <f>IF(AA20&lt;=0,0,(rate_below/100)*MIN(AA20,MAX(0,ceiling-D20))+(rate_above/100)*(AA20-MIN(AA20,MAX(0,ceiling-D20))))</f>
        <v/>
      </c>
      <c r="AC20" s="12">
        <f>AA20+AB20</f>
        <v/>
      </c>
      <c r="AD20" s="13">
        <f>SUMPRODUCT(($B$5:$B$216=B20)*($M$5:$M$216&lt;M20))+SUMPRODUCT(($B$5:$B$216=B20)*($M$5:$M$216=M20)*(ROW($M$5:$M$216)&lt;ROW(M20)))+1</f>
        <v/>
      </c>
      <c r="AE20" s="13">
        <f>COUNTIF($B$5:$B$216,B20)</f>
        <v/>
      </c>
      <c r="AF20" s="13">
        <f>SUMPRODUCT(($B$5:$B$216=B20)*($C$5:$C$216=C20)*($M$5:$M$216&lt;M20))+SUMPRODUCT(($B$5:$B$216=B20)*($C$5:$C$216=C20)*($M$5:$M$216=M20)*(ROW($M$5:$M$216)&lt;ROW(M20)))+1</f>
        <v/>
      </c>
      <c r="AG20" s="13">
        <f>COUNTIFS($B$5:$B$216,B20,$C$5:$C$216,C20)</f>
        <v/>
      </c>
    </row>
    <row r="21">
      <c r="A21" s="9" t="inlineStr">
        <is>
          <t>E017</t>
        </is>
      </c>
      <c r="B21" s="9" t="inlineStr">
        <is>
          <t>Engineering</t>
        </is>
      </c>
      <c r="C21" s="9" t="inlineStr">
        <is>
          <t>F</t>
        </is>
      </c>
      <c r="D21" s="10" t="n">
        <v>43450.41</v>
      </c>
      <c r="E21" s="10" t="n">
        <v>5212.51</v>
      </c>
      <c r="F21" s="9" t="n">
        <v>0.6</v>
      </c>
      <c r="G21" s="9" t="n">
        <v>1</v>
      </c>
      <c r="H21" s="9" t="n">
        <v>1</v>
      </c>
      <c r="I21" s="9" t="n">
        <v>12</v>
      </c>
      <c r="J21" s="11">
        <f>H21*(I21/12)</f>
        <v/>
      </c>
      <c r="K21" s="12">
        <f>D21/J21</f>
        <v/>
      </c>
      <c r="L21" s="12">
        <f>E21/J21</f>
        <v/>
      </c>
      <c r="M21" s="12">
        <f>K21+L21</f>
        <v/>
      </c>
      <c r="N21" s="12">
        <f>D21+E21</f>
        <v/>
      </c>
      <c r="O21" s="12">
        <f>(SUMIFS($M$5:$M$216,$B$5:$B$216,B21,$AD$5:$AD$216,INT((AE21+1)/2))+SUMIFS($M$5:$M$216,$B$5:$B$216,B21,$AD$5:$AD$216,INT(AE21/2)+1))/2</f>
        <v/>
      </c>
      <c r="P21" s="13">
        <f>IF(AND(C21="F",M21&lt;O21,SUMIFS(Categories!$Z$5:$Z$11,Categories!$A$5:$A$11,B21)=1),1,0)</f>
        <v/>
      </c>
      <c r="Q21" s="12">
        <f>IF(P21=1,O21-M21,0)</f>
        <v/>
      </c>
      <c r="R21" s="11">
        <f>IF(AND(P21=1,SUMIFS(Categories!$AA$5:$AA$11,Categories!$A$5:$A$11,B21)&gt;0),Q21/SUMIFS(Categories!$AA$5:$AA$11,Categories!$A$5:$A$11,B21),0)</f>
        <v/>
      </c>
      <c r="S21" s="12">
        <f>R21*SUMIFS(Categories!$AB$5:$AB$11,Categories!$A$5:$A$11,B21)</f>
        <v/>
      </c>
      <c r="T21" s="12">
        <f>S21*J21</f>
        <v/>
      </c>
      <c r="U21" s="12">
        <f>IF(T21&lt;=0,0,(rate_below/100)*MIN(T21,MAX(0,ceiling-D21))+(rate_above/100)*(T21-MIN(T21,MAX(0,ceiling-D21))))</f>
        <v/>
      </c>
      <c r="V21" s="12">
        <f>T21+U21</f>
        <v/>
      </c>
      <c r="W21" s="13">
        <f>IF(AND(C21="F",M21&lt;O21,SUMIFS(Categories!$AH$5:$AH$11,Categories!$A$5:$A$11,B21)=1),1,0)</f>
        <v/>
      </c>
      <c r="X21" s="12">
        <f>IF(W21=1,O21-M21,0)</f>
        <v/>
      </c>
      <c r="Y21" s="11">
        <f>IF(AND(W21=1,SUMIFS(Categories!$AI$5:$AI$11,Categories!$A$5:$A$11,B21)&gt;0),X21/SUMIFS(Categories!$AI$5:$AI$11,Categories!$A$5:$A$11,B21),0)</f>
        <v/>
      </c>
      <c r="Z21" s="12">
        <f>Y21*SUMIFS(Categories!$AJ$5:$AJ$11,Categories!$A$5:$A$11,B21)</f>
        <v/>
      </c>
      <c r="AA21" s="12">
        <f>Z21*J21</f>
        <v/>
      </c>
      <c r="AB21" s="12">
        <f>IF(AA21&lt;=0,0,(rate_below/100)*MIN(AA21,MAX(0,ceiling-D21))+(rate_above/100)*(AA21-MIN(AA21,MAX(0,ceiling-D21))))</f>
        <v/>
      </c>
      <c r="AC21" s="12">
        <f>AA21+AB21</f>
        <v/>
      </c>
      <c r="AD21" s="13">
        <f>SUMPRODUCT(($B$5:$B$216=B21)*($M$5:$M$216&lt;M21))+SUMPRODUCT(($B$5:$B$216=B21)*($M$5:$M$216=M21)*(ROW($M$5:$M$216)&lt;ROW(M21)))+1</f>
        <v/>
      </c>
      <c r="AE21" s="13">
        <f>COUNTIF($B$5:$B$216,B21)</f>
        <v/>
      </c>
      <c r="AF21" s="13">
        <f>SUMPRODUCT(($B$5:$B$216=B21)*($C$5:$C$216=C21)*($M$5:$M$216&lt;M21))+SUMPRODUCT(($B$5:$B$216=B21)*($C$5:$C$216=C21)*($M$5:$M$216=M21)*(ROW($M$5:$M$216)&lt;ROW(M21)))+1</f>
        <v/>
      </c>
      <c r="AG21" s="13">
        <f>COUNTIFS($B$5:$B$216,B21,$C$5:$C$216,C21)</f>
        <v/>
      </c>
    </row>
    <row r="22">
      <c r="A22" s="9" t="inlineStr">
        <is>
          <t>E018</t>
        </is>
      </c>
      <c r="B22" s="9" t="inlineStr">
        <is>
          <t>Engineering</t>
        </is>
      </c>
      <c r="C22" s="9" t="inlineStr">
        <is>
          <t>F</t>
        </is>
      </c>
      <c r="D22" s="10" t="n">
        <v>68966.81</v>
      </c>
      <c r="E22" s="10" t="n">
        <v>9921.959999999999</v>
      </c>
      <c r="F22" s="9" t="n">
        <v>10.2</v>
      </c>
      <c r="G22" s="9" t="n">
        <v>4</v>
      </c>
      <c r="H22" s="9" t="n">
        <v>1</v>
      </c>
      <c r="I22" s="9" t="n">
        <v>12</v>
      </c>
      <c r="J22" s="11">
        <f>H22*(I22/12)</f>
        <v/>
      </c>
      <c r="K22" s="12">
        <f>D22/J22</f>
        <v/>
      </c>
      <c r="L22" s="12">
        <f>E22/J22</f>
        <v/>
      </c>
      <c r="M22" s="12">
        <f>K22+L22</f>
        <v/>
      </c>
      <c r="N22" s="12">
        <f>D22+E22</f>
        <v/>
      </c>
      <c r="O22" s="12">
        <f>(SUMIFS($M$5:$M$216,$B$5:$B$216,B22,$AD$5:$AD$216,INT((AE22+1)/2))+SUMIFS($M$5:$M$216,$B$5:$B$216,B22,$AD$5:$AD$216,INT(AE22/2)+1))/2</f>
        <v/>
      </c>
      <c r="P22" s="13">
        <f>IF(AND(C22="F",M22&lt;O22,SUMIFS(Categories!$Z$5:$Z$11,Categories!$A$5:$A$11,B22)=1),1,0)</f>
        <v/>
      </c>
      <c r="Q22" s="12">
        <f>IF(P22=1,O22-M22,0)</f>
        <v/>
      </c>
      <c r="R22" s="11">
        <f>IF(AND(P22=1,SUMIFS(Categories!$AA$5:$AA$11,Categories!$A$5:$A$11,B22)&gt;0),Q22/SUMIFS(Categories!$AA$5:$AA$11,Categories!$A$5:$A$11,B22),0)</f>
        <v/>
      </c>
      <c r="S22" s="12">
        <f>R22*SUMIFS(Categories!$AB$5:$AB$11,Categories!$A$5:$A$11,B22)</f>
        <v/>
      </c>
      <c r="T22" s="12">
        <f>S22*J22</f>
        <v/>
      </c>
      <c r="U22" s="12">
        <f>IF(T22&lt;=0,0,(rate_below/100)*MIN(T22,MAX(0,ceiling-D22))+(rate_above/100)*(T22-MIN(T22,MAX(0,ceiling-D22))))</f>
        <v/>
      </c>
      <c r="V22" s="12">
        <f>T22+U22</f>
        <v/>
      </c>
      <c r="W22" s="13">
        <f>IF(AND(C22="F",M22&lt;O22,SUMIFS(Categories!$AH$5:$AH$11,Categories!$A$5:$A$11,B22)=1),1,0)</f>
        <v/>
      </c>
      <c r="X22" s="12">
        <f>IF(W22=1,O22-M22,0)</f>
        <v/>
      </c>
      <c r="Y22" s="11">
        <f>IF(AND(W22=1,SUMIFS(Categories!$AI$5:$AI$11,Categories!$A$5:$A$11,B22)&gt;0),X22/SUMIFS(Categories!$AI$5:$AI$11,Categories!$A$5:$A$11,B22),0)</f>
        <v/>
      </c>
      <c r="Z22" s="12">
        <f>Y22*SUMIFS(Categories!$AJ$5:$AJ$11,Categories!$A$5:$A$11,B22)</f>
        <v/>
      </c>
      <c r="AA22" s="12">
        <f>Z22*J22</f>
        <v/>
      </c>
      <c r="AB22" s="12">
        <f>IF(AA22&lt;=0,0,(rate_below/100)*MIN(AA22,MAX(0,ceiling-D22))+(rate_above/100)*(AA22-MIN(AA22,MAX(0,ceiling-D22))))</f>
        <v/>
      </c>
      <c r="AC22" s="12">
        <f>AA22+AB22</f>
        <v/>
      </c>
      <c r="AD22" s="13">
        <f>SUMPRODUCT(($B$5:$B$216=B22)*($M$5:$M$216&lt;M22))+SUMPRODUCT(($B$5:$B$216=B22)*($M$5:$M$216=M22)*(ROW($M$5:$M$216)&lt;ROW(M22)))+1</f>
        <v/>
      </c>
      <c r="AE22" s="13">
        <f>COUNTIF($B$5:$B$216,B22)</f>
        <v/>
      </c>
      <c r="AF22" s="13">
        <f>SUMPRODUCT(($B$5:$B$216=B22)*($C$5:$C$216=C22)*($M$5:$M$216&lt;M22))+SUMPRODUCT(($B$5:$B$216=B22)*($C$5:$C$216=C22)*($M$5:$M$216=M22)*(ROW($M$5:$M$216)&lt;ROW(M22)))+1</f>
        <v/>
      </c>
      <c r="AG22" s="13">
        <f>COUNTIFS($B$5:$B$216,B22,$C$5:$C$216,C22)</f>
        <v/>
      </c>
    </row>
    <row r="23">
      <c r="A23" s="9" t="inlineStr">
        <is>
          <t>E019</t>
        </is>
      </c>
      <c r="B23" s="9" t="inlineStr">
        <is>
          <t>Engineering</t>
        </is>
      </c>
      <c r="C23" s="9" t="inlineStr">
        <is>
          <t>F</t>
        </is>
      </c>
      <c r="D23" s="10" t="n">
        <v>71069.19</v>
      </c>
      <c r="E23" s="10" t="n">
        <v>8210.24</v>
      </c>
      <c r="F23" s="9" t="n">
        <v>11.6</v>
      </c>
      <c r="G23" s="9" t="n">
        <v>5</v>
      </c>
      <c r="H23" s="9" t="n">
        <v>1</v>
      </c>
      <c r="I23" s="9" t="n">
        <v>12</v>
      </c>
      <c r="J23" s="11">
        <f>H23*(I23/12)</f>
        <v/>
      </c>
      <c r="K23" s="12">
        <f>D23/J23</f>
        <v/>
      </c>
      <c r="L23" s="12">
        <f>E23/J23</f>
        <v/>
      </c>
      <c r="M23" s="12">
        <f>K23+L23</f>
        <v/>
      </c>
      <c r="N23" s="12">
        <f>D23+E23</f>
        <v/>
      </c>
      <c r="O23" s="12">
        <f>(SUMIFS($M$5:$M$216,$B$5:$B$216,B23,$AD$5:$AD$216,INT((AE23+1)/2))+SUMIFS($M$5:$M$216,$B$5:$B$216,B23,$AD$5:$AD$216,INT(AE23/2)+1))/2</f>
        <v/>
      </c>
      <c r="P23" s="13">
        <f>IF(AND(C23="F",M23&lt;O23,SUMIFS(Categories!$Z$5:$Z$11,Categories!$A$5:$A$11,B23)=1),1,0)</f>
        <v/>
      </c>
      <c r="Q23" s="12">
        <f>IF(P23=1,O23-M23,0)</f>
        <v/>
      </c>
      <c r="R23" s="11">
        <f>IF(AND(P23=1,SUMIFS(Categories!$AA$5:$AA$11,Categories!$A$5:$A$11,B23)&gt;0),Q23/SUMIFS(Categories!$AA$5:$AA$11,Categories!$A$5:$A$11,B23),0)</f>
        <v/>
      </c>
      <c r="S23" s="12">
        <f>R23*SUMIFS(Categories!$AB$5:$AB$11,Categories!$A$5:$A$11,B23)</f>
        <v/>
      </c>
      <c r="T23" s="12">
        <f>S23*J23</f>
        <v/>
      </c>
      <c r="U23" s="12">
        <f>IF(T23&lt;=0,0,(rate_below/100)*MIN(T23,MAX(0,ceiling-D23))+(rate_above/100)*(T23-MIN(T23,MAX(0,ceiling-D23))))</f>
        <v/>
      </c>
      <c r="V23" s="12">
        <f>T23+U23</f>
        <v/>
      </c>
      <c r="W23" s="13">
        <f>IF(AND(C23="F",M23&lt;O23,SUMIFS(Categories!$AH$5:$AH$11,Categories!$A$5:$A$11,B23)=1),1,0)</f>
        <v/>
      </c>
      <c r="X23" s="12">
        <f>IF(W23=1,O23-M23,0)</f>
        <v/>
      </c>
      <c r="Y23" s="11">
        <f>IF(AND(W23=1,SUMIFS(Categories!$AI$5:$AI$11,Categories!$A$5:$A$11,B23)&gt;0),X23/SUMIFS(Categories!$AI$5:$AI$11,Categories!$A$5:$A$11,B23),0)</f>
        <v/>
      </c>
      <c r="Z23" s="12">
        <f>Y23*SUMIFS(Categories!$AJ$5:$AJ$11,Categories!$A$5:$A$11,B23)</f>
        <v/>
      </c>
      <c r="AA23" s="12">
        <f>Z23*J23</f>
        <v/>
      </c>
      <c r="AB23" s="12">
        <f>IF(AA23&lt;=0,0,(rate_below/100)*MIN(AA23,MAX(0,ceiling-D23))+(rate_above/100)*(AA23-MIN(AA23,MAX(0,ceiling-D23))))</f>
        <v/>
      </c>
      <c r="AC23" s="12">
        <f>AA23+AB23</f>
        <v/>
      </c>
      <c r="AD23" s="13">
        <f>SUMPRODUCT(($B$5:$B$216=B23)*($M$5:$M$216&lt;M23))+SUMPRODUCT(($B$5:$B$216=B23)*($M$5:$M$216=M23)*(ROW($M$5:$M$216)&lt;ROW(M23)))+1</f>
        <v/>
      </c>
      <c r="AE23" s="13">
        <f>COUNTIF($B$5:$B$216,B23)</f>
        <v/>
      </c>
      <c r="AF23" s="13">
        <f>SUMPRODUCT(($B$5:$B$216=B23)*($C$5:$C$216=C23)*($M$5:$M$216&lt;M23))+SUMPRODUCT(($B$5:$B$216=B23)*($C$5:$C$216=C23)*($M$5:$M$216=M23)*(ROW($M$5:$M$216)&lt;ROW(M23)))+1</f>
        <v/>
      </c>
      <c r="AG23" s="13">
        <f>COUNTIFS($B$5:$B$216,B23,$C$5:$C$216,C23)</f>
        <v/>
      </c>
    </row>
    <row r="24">
      <c r="A24" s="9" t="inlineStr">
        <is>
          <t>E020</t>
        </is>
      </c>
      <c r="B24" s="9" t="inlineStr">
        <is>
          <t>Engineering</t>
        </is>
      </c>
      <c r="C24" s="9" t="inlineStr">
        <is>
          <t>M</t>
        </is>
      </c>
      <c r="D24" s="10" t="n">
        <v>76201.2</v>
      </c>
      <c r="E24" s="10" t="n">
        <v>8338.110000000001</v>
      </c>
      <c r="F24" s="9" t="n">
        <v>9.6</v>
      </c>
      <c r="G24" s="9" t="n">
        <v>4</v>
      </c>
      <c r="H24" s="9" t="n">
        <v>1</v>
      </c>
      <c r="I24" s="9" t="n">
        <v>12</v>
      </c>
      <c r="J24" s="11">
        <f>H24*(I24/12)</f>
        <v/>
      </c>
      <c r="K24" s="12">
        <f>D24/J24</f>
        <v/>
      </c>
      <c r="L24" s="12">
        <f>E24/J24</f>
        <v/>
      </c>
      <c r="M24" s="12">
        <f>K24+L24</f>
        <v/>
      </c>
      <c r="N24" s="12">
        <f>D24+E24</f>
        <v/>
      </c>
      <c r="O24" s="12">
        <f>(SUMIFS($M$5:$M$216,$B$5:$B$216,B24,$AD$5:$AD$216,INT((AE24+1)/2))+SUMIFS($M$5:$M$216,$B$5:$B$216,B24,$AD$5:$AD$216,INT(AE24/2)+1))/2</f>
        <v/>
      </c>
      <c r="P24" s="13">
        <f>IF(AND(C24="F",M24&lt;O24,SUMIFS(Categories!$Z$5:$Z$11,Categories!$A$5:$A$11,B24)=1),1,0)</f>
        <v/>
      </c>
      <c r="Q24" s="12">
        <f>IF(P24=1,O24-M24,0)</f>
        <v/>
      </c>
      <c r="R24" s="11">
        <f>IF(AND(P24=1,SUMIFS(Categories!$AA$5:$AA$11,Categories!$A$5:$A$11,B24)&gt;0),Q24/SUMIFS(Categories!$AA$5:$AA$11,Categories!$A$5:$A$11,B24),0)</f>
        <v/>
      </c>
      <c r="S24" s="12">
        <f>R24*SUMIFS(Categories!$AB$5:$AB$11,Categories!$A$5:$A$11,B24)</f>
        <v/>
      </c>
      <c r="T24" s="12">
        <f>S24*J24</f>
        <v/>
      </c>
      <c r="U24" s="12">
        <f>IF(T24&lt;=0,0,(rate_below/100)*MIN(T24,MAX(0,ceiling-D24))+(rate_above/100)*(T24-MIN(T24,MAX(0,ceiling-D24))))</f>
        <v/>
      </c>
      <c r="V24" s="12">
        <f>T24+U24</f>
        <v/>
      </c>
      <c r="W24" s="13">
        <f>IF(AND(C24="F",M24&lt;O24,SUMIFS(Categories!$AH$5:$AH$11,Categories!$A$5:$A$11,B24)=1),1,0)</f>
        <v/>
      </c>
      <c r="X24" s="12">
        <f>IF(W24=1,O24-M24,0)</f>
        <v/>
      </c>
      <c r="Y24" s="11">
        <f>IF(AND(W24=1,SUMIFS(Categories!$AI$5:$AI$11,Categories!$A$5:$A$11,B24)&gt;0),X24/SUMIFS(Categories!$AI$5:$AI$11,Categories!$A$5:$A$11,B24),0)</f>
        <v/>
      </c>
      <c r="Z24" s="12">
        <f>Y24*SUMIFS(Categories!$AJ$5:$AJ$11,Categories!$A$5:$A$11,B24)</f>
        <v/>
      </c>
      <c r="AA24" s="12">
        <f>Z24*J24</f>
        <v/>
      </c>
      <c r="AB24" s="12">
        <f>IF(AA24&lt;=0,0,(rate_below/100)*MIN(AA24,MAX(0,ceiling-D24))+(rate_above/100)*(AA24-MIN(AA24,MAX(0,ceiling-D24))))</f>
        <v/>
      </c>
      <c r="AC24" s="12">
        <f>AA24+AB24</f>
        <v/>
      </c>
      <c r="AD24" s="13">
        <f>SUMPRODUCT(($B$5:$B$216=B24)*($M$5:$M$216&lt;M24))+SUMPRODUCT(($B$5:$B$216=B24)*($M$5:$M$216=M24)*(ROW($M$5:$M$216)&lt;ROW(M24)))+1</f>
        <v/>
      </c>
      <c r="AE24" s="13">
        <f>COUNTIF($B$5:$B$216,B24)</f>
        <v/>
      </c>
      <c r="AF24" s="13">
        <f>SUMPRODUCT(($B$5:$B$216=B24)*($C$5:$C$216=C24)*($M$5:$M$216&lt;M24))+SUMPRODUCT(($B$5:$B$216=B24)*($C$5:$C$216=C24)*($M$5:$M$216=M24)*(ROW($M$5:$M$216)&lt;ROW(M24)))+1</f>
        <v/>
      </c>
      <c r="AG24" s="13">
        <f>COUNTIFS($B$5:$B$216,B24,$C$5:$C$216,C24)</f>
        <v/>
      </c>
    </row>
    <row r="25">
      <c r="A25" s="9" t="inlineStr">
        <is>
          <t>E021</t>
        </is>
      </c>
      <c r="B25" s="9" t="inlineStr">
        <is>
          <t>Engineering</t>
        </is>
      </c>
      <c r="C25" s="9" t="inlineStr">
        <is>
          <t>M</t>
        </is>
      </c>
      <c r="D25" s="10" t="n">
        <v>52386.54</v>
      </c>
      <c r="E25" s="10" t="n">
        <v>5507.69</v>
      </c>
      <c r="F25" s="9" t="n">
        <v>5.9</v>
      </c>
      <c r="G25" s="9" t="n">
        <v>1</v>
      </c>
      <c r="H25" s="9" t="n">
        <v>1</v>
      </c>
      <c r="I25" s="9" t="n">
        <v>12</v>
      </c>
      <c r="J25" s="11">
        <f>H25*(I25/12)</f>
        <v/>
      </c>
      <c r="K25" s="12">
        <f>D25/J25</f>
        <v/>
      </c>
      <c r="L25" s="12">
        <f>E25/J25</f>
        <v/>
      </c>
      <c r="M25" s="12">
        <f>K25+L25</f>
        <v/>
      </c>
      <c r="N25" s="12">
        <f>D25+E25</f>
        <v/>
      </c>
      <c r="O25" s="12">
        <f>(SUMIFS($M$5:$M$216,$B$5:$B$216,B25,$AD$5:$AD$216,INT((AE25+1)/2))+SUMIFS($M$5:$M$216,$B$5:$B$216,B25,$AD$5:$AD$216,INT(AE25/2)+1))/2</f>
        <v/>
      </c>
      <c r="P25" s="13">
        <f>IF(AND(C25="F",M25&lt;O25,SUMIFS(Categories!$Z$5:$Z$11,Categories!$A$5:$A$11,B25)=1),1,0)</f>
        <v/>
      </c>
      <c r="Q25" s="12">
        <f>IF(P25=1,O25-M25,0)</f>
        <v/>
      </c>
      <c r="R25" s="11">
        <f>IF(AND(P25=1,SUMIFS(Categories!$AA$5:$AA$11,Categories!$A$5:$A$11,B25)&gt;0),Q25/SUMIFS(Categories!$AA$5:$AA$11,Categories!$A$5:$A$11,B25),0)</f>
        <v/>
      </c>
      <c r="S25" s="12">
        <f>R25*SUMIFS(Categories!$AB$5:$AB$11,Categories!$A$5:$A$11,B25)</f>
        <v/>
      </c>
      <c r="T25" s="12">
        <f>S25*J25</f>
        <v/>
      </c>
      <c r="U25" s="12">
        <f>IF(T25&lt;=0,0,(rate_below/100)*MIN(T25,MAX(0,ceiling-D25))+(rate_above/100)*(T25-MIN(T25,MAX(0,ceiling-D25))))</f>
        <v/>
      </c>
      <c r="V25" s="12">
        <f>T25+U25</f>
        <v/>
      </c>
      <c r="W25" s="13">
        <f>IF(AND(C25="F",M25&lt;O25,SUMIFS(Categories!$AH$5:$AH$11,Categories!$A$5:$A$11,B25)=1),1,0)</f>
        <v/>
      </c>
      <c r="X25" s="12">
        <f>IF(W25=1,O25-M25,0)</f>
        <v/>
      </c>
      <c r="Y25" s="11">
        <f>IF(AND(W25=1,SUMIFS(Categories!$AI$5:$AI$11,Categories!$A$5:$A$11,B25)&gt;0),X25/SUMIFS(Categories!$AI$5:$AI$11,Categories!$A$5:$A$11,B25),0)</f>
        <v/>
      </c>
      <c r="Z25" s="12">
        <f>Y25*SUMIFS(Categories!$AJ$5:$AJ$11,Categories!$A$5:$A$11,B25)</f>
        <v/>
      </c>
      <c r="AA25" s="12">
        <f>Z25*J25</f>
        <v/>
      </c>
      <c r="AB25" s="12">
        <f>IF(AA25&lt;=0,0,(rate_below/100)*MIN(AA25,MAX(0,ceiling-D25))+(rate_above/100)*(AA25-MIN(AA25,MAX(0,ceiling-D25))))</f>
        <v/>
      </c>
      <c r="AC25" s="12">
        <f>AA25+AB25</f>
        <v/>
      </c>
      <c r="AD25" s="13">
        <f>SUMPRODUCT(($B$5:$B$216=B25)*($M$5:$M$216&lt;M25))+SUMPRODUCT(($B$5:$B$216=B25)*($M$5:$M$216=M25)*(ROW($M$5:$M$216)&lt;ROW(M25)))+1</f>
        <v/>
      </c>
      <c r="AE25" s="13">
        <f>COUNTIF($B$5:$B$216,B25)</f>
        <v/>
      </c>
      <c r="AF25" s="13">
        <f>SUMPRODUCT(($B$5:$B$216=B25)*($C$5:$C$216=C25)*($M$5:$M$216&lt;M25))+SUMPRODUCT(($B$5:$B$216=B25)*($C$5:$C$216=C25)*($M$5:$M$216=M25)*(ROW($M$5:$M$216)&lt;ROW(M25)))+1</f>
        <v/>
      </c>
      <c r="AG25" s="13">
        <f>COUNTIFS($B$5:$B$216,B25,$C$5:$C$216,C25)</f>
        <v/>
      </c>
    </row>
    <row r="26">
      <c r="A26" s="9" t="inlineStr">
        <is>
          <t>E022</t>
        </is>
      </c>
      <c r="B26" s="9" t="inlineStr">
        <is>
          <t>Engineering</t>
        </is>
      </c>
      <c r="C26" s="9" t="inlineStr">
        <is>
          <t>M</t>
        </is>
      </c>
      <c r="D26" s="10" t="n">
        <v>46464.67</v>
      </c>
      <c r="E26" s="10" t="n">
        <v>4809.4</v>
      </c>
      <c r="F26" s="9" t="n">
        <v>0.7</v>
      </c>
      <c r="G26" s="9" t="n">
        <v>1</v>
      </c>
      <c r="H26" s="9" t="n">
        <v>1</v>
      </c>
      <c r="I26" s="9" t="n">
        <v>12</v>
      </c>
      <c r="J26" s="11">
        <f>H26*(I26/12)</f>
        <v/>
      </c>
      <c r="K26" s="12">
        <f>D26/J26</f>
        <v/>
      </c>
      <c r="L26" s="12">
        <f>E26/J26</f>
        <v/>
      </c>
      <c r="M26" s="12">
        <f>K26+L26</f>
        <v/>
      </c>
      <c r="N26" s="12">
        <f>D26+E26</f>
        <v/>
      </c>
      <c r="O26" s="12">
        <f>(SUMIFS($M$5:$M$216,$B$5:$B$216,B26,$AD$5:$AD$216,INT((AE26+1)/2))+SUMIFS($M$5:$M$216,$B$5:$B$216,B26,$AD$5:$AD$216,INT(AE26/2)+1))/2</f>
        <v/>
      </c>
      <c r="P26" s="13">
        <f>IF(AND(C26="F",M26&lt;O26,SUMIFS(Categories!$Z$5:$Z$11,Categories!$A$5:$A$11,B26)=1),1,0)</f>
        <v/>
      </c>
      <c r="Q26" s="12">
        <f>IF(P26=1,O26-M26,0)</f>
        <v/>
      </c>
      <c r="R26" s="11">
        <f>IF(AND(P26=1,SUMIFS(Categories!$AA$5:$AA$11,Categories!$A$5:$A$11,B26)&gt;0),Q26/SUMIFS(Categories!$AA$5:$AA$11,Categories!$A$5:$A$11,B26),0)</f>
        <v/>
      </c>
      <c r="S26" s="12">
        <f>R26*SUMIFS(Categories!$AB$5:$AB$11,Categories!$A$5:$A$11,B26)</f>
        <v/>
      </c>
      <c r="T26" s="12">
        <f>S26*J26</f>
        <v/>
      </c>
      <c r="U26" s="12">
        <f>IF(T26&lt;=0,0,(rate_below/100)*MIN(T26,MAX(0,ceiling-D26))+(rate_above/100)*(T26-MIN(T26,MAX(0,ceiling-D26))))</f>
        <v/>
      </c>
      <c r="V26" s="12">
        <f>T26+U26</f>
        <v/>
      </c>
      <c r="W26" s="13">
        <f>IF(AND(C26="F",M26&lt;O26,SUMIFS(Categories!$AH$5:$AH$11,Categories!$A$5:$A$11,B26)=1),1,0)</f>
        <v/>
      </c>
      <c r="X26" s="12">
        <f>IF(W26=1,O26-M26,0)</f>
        <v/>
      </c>
      <c r="Y26" s="11">
        <f>IF(AND(W26=1,SUMIFS(Categories!$AI$5:$AI$11,Categories!$A$5:$A$11,B26)&gt;0),X26/SUMIFS(Categories!$AI$5:$AI$11,Categories!$A$5:$A$11,B26),0)</f>
        <v/>
      </c>
      <c r="Z26" s="12">
        <f>Y26*SUMIFS(Categories!$AJ$5:$AJ$11,Categories!$A$5:$A$11,B26)</f>
        <v/>
      </c>
      <c r="AA26" s="12">
        <f>Z26*J26</f>
        <v/>
      </c>
      <c r="AB26" s="12">
        <f>IF(AA26&lt;=0,0,(rate_below/100)*MIN(AA26,MAX(0,ceiling-D26))+(rate_above/100)*(AA26-MIN(AA26,MAX(0,ceiling-D26))))</f>
        <v/>
      </c>
      <c r="AC26" s="12">
        <f>AA26+AB26</f>
        <v/>
      </c>
      <c r="AD26" s="13">
        <f>SUMPRODUCT(($B$5:$B$216=B26)*($M$5:$M$216&lt;M26))+SUMPRODUCT(($B$5:$B$216=B26)*($M$5:$M$216=M26)*(ROW($M$5:$M$216)&lt;ROW(M26)))+1</f>
        <v/>
      </c>
      <c r="AE26" s="13">
        <f>COUNTIF($B$5:$B$216,B26)</f>
        <v/>
      </c>
      <c r="AF26" s="13">
        <f>SUMPRODUCT(($B$5:$B$216=B26)*($C$5:$C$216=C26)*($M$5:$M$216&lt;M26))+SUMPRODUCT(($B$5:$B$216=B26)*($C$5:$C$216=C26)*($M$5:$M$216=M26)*(ROW($M$5:$M$216)&lt;ROW(M26)))+1</f>
        <v/>
      </c>
      <c r="AG26" s="13">
        <f>COUNTIFS($B$5:$B$216,B26,$C$5:$C$216,C26)</f>
        <v/>
      </c>
    </row>
    <row r="27">
      <c r="A27" s="9" t="inlineStr">
        <is>
          <t>E023</t>
        </is>
      </c>
      <c r="B27" s="9" t="inlineStr">
        <is>
          <t>Engineering</t>
        </is>
      </c>
      <c r="C27" s="9" t="inlineStr">
        <is>
          <t>M</t>
        </is>
      </c>
      <c r="D27" s="10" t="n">
        <v>55509.49</v>
      </c>
      <c r="E27" s="10" t="n">
        <v>6857.18</v>
      </c>
      <c r="F27" s="9" t="n">
        <v>6</v>
      </c>
      <c r="G27" s="9" t="n">
        <v>2</v>
      </c>
      <c r="H27" s="9" t="n">
        <v>1</v>
      </c>
      <c r="I27" s="9" t="n">
        <v>12</v>
      </c>
      <c r="J27" s="11">
        <f>H27*(I27/12)</f>
        <v/>
      </c>
      <c r="K27" s="12">
        <f>D27/J27</f>
        <v/>
      </c>
      <c r="L27" s="12">
        <f>E27/J27</f>
        <v/>
      </c>
      <c r="M27" s="12">
        <f>K27+L27</f>
        <v/>
      </c>
      <c r="N27" s="12">
        <f>D27+E27</f>
        <v/>
      </c>
      <c r="O27" s="12">
        <f>(SUMIFS($M$5:$M$216,$B$5:$B$216,B27,$AD$5:$AD$216,INT((AE27+1)/2))+SUMIFS($M$5:$M$216,$B$5:$B$216,B27,$AD$5:$AD$216,INT(AE27/2)+1))/2</f>
        <v/>
      </c>
      <c r="P27" s="13">
        <f>IF(AND(C27="F",M27&lt;O27,SUMIFS(Categories!$Z$5:$Z$11,Categories!$A$5:$A$11,B27)=1),1,0)</f>
        <v/>
      </c>
      <c r="Q27" s="12">
        <f>IF(P27=1,O27-M27,0)</f>
        <v/>
      </c>
      <c r="R27" s="11">
        <f>IF(AND(P27=1,SUMIFS(Categories!$AA$5:$AA$11,Categories!$A$5:$A$11,B27)&gt;0),Q27/SUMIFS(Categories!$AA$5:$AA$11,Categories!$A$5:$A$11,B27),0)</f>
        <v/>
      </c>
      <c r="S27" s="12">
        <f>R27*SUMIFS(Categories!$AB$5:$AB$11,Categories!$A$5:$A$11,B27)</f>
        <v/>
      </c>
      <c r="T27" s="12">
        <f>S27*J27</f>
        <v/>
      </c>
      <c r="U27" s="12">
        <f>IF(T27&lt;=0,0,(rate_below/100)*MIN(T27,MAX(0,ceiling-D27))+(rate_above/100)*(T27-MIN(T27,MAX(0,ceiling-D27))))</f>
        <v/>
      </c>
      <c r="V27" s="12">
        <f>T27+U27</f>
        <v/>
      </c>
      <c r="W27" s="13">
        <f>IF(AND(C27="F",M27&lt;O27,SUMIFS(Categories!$AH$5:$AH$11,Categories!$A$5:$A$11,B27)=1),1,0)</f>
        <v/>
      </c>
      <c r="X27" s="12">
        <f>IF(W27=1,O27-M27,0)</f>
        <v/>
      </c>
      <c r="Y27" s="11">
        <f>IF(AND(W27=1,SUMIFS(Categories!$AI$5:$AI$11,Categories!$A$5:$A$11,B27)&gt;0),X27/SUMIFS(Categories!$AI$5:$AI$11,Categories!$A$5:$A$11,B27),0)</f>
        <v/>
      </c>
      <c r="Z27" s="12">
        <f>Y27*SUMIFS(Categories!$AJ$5:$AJ$11,Categories!$A$5:$A$11,B27)</f>
        <v/>
      </c>
      <c r="AA27" s="12">
        <f>Z27*J27</f>
        <v/>
      </c>
      <c r="AB27" s="12">
        <f>IF(AA27&lt;=0,0,(rate_below/100)*MIN(AA27,MAX(0,ceiling-D27))+(rate_above/100)*(AA27-MIN(AA27,MAX(0,ceiling-D27))))</f>
        <v/>
      </c>
      <c r="AC27" s="12">
        <f>AA27+AB27</f>
        <v/>
      </c>
      <c r="AD27" s="13">
        <f>SUMPRODUCT(($B$5:$B$216=B27)*($M$5:$M$216&lt;M27))+SUMPRODUCT(($B$5:$B$216=B27)*($M$5:$M$216=M27)*(ROW($M$5:$M$216)&lt;ROW(M27)))+1</f>
        <v/>
      </c>
      <c r="AE27" s="13">
        <f>COUNTIF($B$5:$B$216,B27)</f>
        <v/>
      </c>
      <c r="AF27" s="13">
        <f>SUMPRODUCT(($B$5:$B$216=B27)*($C$5:$C$216=C27)*($M$5:$M$216&lt;M27))+SUMPRODUCT(($B$5:$B$216=B27)*($C$5:$C$216=C27)*($M$5:$M$216=M27)*(ROW($M$5:$M$216)&lt;ROW(M27)))+1</f>
        <v/>
      </c>
      <c r="AG27" s="13">
        <f>COUNTIFS($B$5:$B$216,B27,$C$5:$C$216,C27)</f>
        <v/>
      </c>
    </row>
    <row r="28">
      <c r="A28" s="9" t="inlineStr">
        <is>
          <t>E024</t>
        </is>
      </c>
      <c r="B28" s="9" t="inlineStr">
        <is>
          <t>Engineering</t>
        </is>
      </c>
      <c r="C28" s="9" t="inlineStr">
        <is>
          <t>M</t>
        </is>
      </c>
      <c r="D28" s="10" t="n">
        <v>56305.49</v>
      </c>
      <c r="E28" s="10" t="n">
        <v>8026.43</v>
      </c>
      <c r="F28" s="9" t="n">
        <v>4.8</v>
      </c>
      <c r="G28" s="9" t="n">
        <v>2</v>
      </c>
      <c r="H28" s="9" t="n">
        <v>1</v>
      </c>
      <c r="I28" s="9" t="n">
        <v>12</v>
      </c>
      <c r="J28" s="11">
        <f>H28*(I28/12)</f>
        <v/>
      </c>
      <c r="K28" s="12">
        <f>D28/J28</f>
        <v/>
      </c>
      <c r="L28" s="12">
        <f>E28/J28</f>
        <v/>
      </c>
      <c r="M28" s="12">
        <f>K28+L28</f>
        <v/>
      </c>
      <c r="N28" s="12">
        <f>D28+E28</f>
        <v/>
      </c>
      <c r="O28" s="12">
        <f>(SUMIFS($M$5:$M$216,$B$5:$B$216,B28,$AD$5:$AD$216,INT((AE28+1)/2))+SUMIFS($M$5:$M$216,$B$5:$B$216,B28,$AD$5:$AD$216,INT(AE28/2)+1))/2</f>
        <v/>
      </c>
      <c r="P28" s="13">
        <f>IF(AND(C28="F",M28&lt;O28,SUMIFS(Categories!$Z$5:$Z$11,Categories!$A$5:$A$11,B28)=1),1,0)</f>
        <v/>
      </c>
      <c r="Q28" s="12">
        <f>IF(P28=1,O28-M28,0)</f>
        <v/>
      </c>
      <c r="R28" s="11">
        <f>IF(AND(P28=1,SUMIFS(Categories!$AA$5:$AA$11,Categories!$A$5:$A$11,B28)&gt;0),Q28/SUMIFS(Categories!$AA$5:$AA$11,Categories!$A$5:$A$11,B28),0)</f>
        <v/>
      </c>
      <c r="S28" s="12">
        <f>R28*SUMIFS(Categories!$AB$5:$AB$11,Categories!$A$5:$A$11,B28)</f>
        <v/>
      </c>
      <c r="T28" s="12">
        <f>S28*J28</f>
        <v/>
      </c>
      <c r="U28" s="12">
        <f>IF(T28&lt;=0,0,(rate_below/100)*MIN(T28,MAX(0,ceiling-D28))+(rate_above/100)*(T28-MIN(T28,MAX(0,ceiling-D28))))</f>
        <v/>
      </c>
      <c r="V28" s="12">
        <f>T28+U28</f>
        <v/>
      </c>
      <c r="W28" s="13">
        <f>IF(AND(C28="F",M28&lt;O28,SUMIFS(Categories!$AH$5:$AH$11,Categories!$A$5:$A$11,B28)=1),1,0)</f>
        <v/>
      </c>
      <c r="X28" s="12">
        <f>IF(W28=1,O28-M28,0)</f>
        <v/>
      </c>
      <c r="Y28" s="11">
        <f>IF(AND(W28=1,SUMIFS(Categories!$AI$5:$AI$11,Categories!$A$5:$A$11,B28)&gt;0),X28/SUMIFS(Categories!$AI$5:$AI$11,Categories!$A$5:$A$11,B28),0)</f>
        <v/>
      </c>
      <c r="Z28" s="12">
        <f>Y28*SUMIFS(Categories!$AJ$5:$AJ$11,Categories!$A$5:$A$11,B28)</f>
        <v/>
      </c>
      <c r="AA28" s="12">
        <f>Z28*J28</f>
        <v/>
      </c>
      <c r="AB28" s="12">
        <f>IF(AA28&lt;=0,0,(rate_below/100)*MIN(AA28,MAX(0,ceiling-D28))+(rate_above/100)*(AA28-MIN(AA28,MAX(0,ceiling-D28))))</f>
        <v/>
      </c>
      <c r="AC28" s="12">
        <f>AA28+AB28</f>
        <v/>
      </c>
      <c r="AD28" s="13">
        <f>SUMPRODUCT(($B$5:$B$216=B28)*($M$5:$M$216&lt;M28))+SUMPRODUCT(($B$5:$B$216=B28)*($M$5:$M$216=M28)*(ROW($M$5:$M$216)&lt;ROW(M28)))+1</f>
        <v/>
      </c>
      <c r="AE28" s="13">
        <f>COUNTIF($B$5:$B$216,B28)</f>
        <v/>
      </c>
      <c r="AF28" s="13">
        <f>SUMPRODUCT(($B$5:$B$216=B28)*($C$5:$C$216=C28)*($M$5:$M$216&lt;M28))+SUMPRODUCT(($B$5:$B$216=B28)*($C$5:$C$216=C28)*($M$5:$M$216=M28)*(ROW($M$5:$M$216)&lt;ROW(M28)))+1</f>
        <v/>
      </c>
      <c r="AG28" s="13">
        <f>COUNTIFS($B$5:$B$216,B28,$C$5:$C$216,C28)</f>
        <v/>
      </c>
    </row>
    <row r="29">
      <c r="A29" s="9" t="inlineStr">
        <is>
          <t>E025</t>
        </is>
      </c>
      <c r="B29" s="9" t="inlineStr">
        <is>
          <t>Engineering</t>
        </is>
      </c>
      <c r="C29" s="9" t="inlineStr">
        <is>
          <t>M</t>
        </is>
      </c>
      <c r="D29" s="10" t="n">
        <v>54180.69</v>
      </c>
      <c r="E29" s="10" t="n">
        <v>7203.46</v>
      </c>
      <c r="F29" s="9" t="n">
        <v>4.8</v>
      </c>
      <c r="G29" s="9" t="n">
        <v>2</v>
      </c>
      <c r="H29" s="9" t="n">
        <v>1</v>
      </c>
      <c r="I29" s="9" t="n">
        <v>12</v>
      </c>
      <c r="J29" s="11">
        <f>H29*(I29/12)</f>
        <v/>
      </c>
      <c r="K29" s="12">
        <f>D29/J29</f>
        <v/>
      </c>
      <c r="L29" s="12">
        <f>E29/J29</f>
        <v/>
      </c>
      <c r="M29" s="12">
        <f>K29+L29</f>
        <v/>
      </c>
      <c r="N29" s="12">
        <f>D29+E29</f>
        <v/>
      </c>
      <c r="O29" s="12">
        <f>(SUMIFS($M$5:$M$216,$B$5:$B$216,B29,$AD$5:$AD$216,INT((AE29+1)/2))+SUMIFS($M$5:$M$216,$B$5:$B$216,B29,$AD$5:$AD$216,INT(AE29/2)+1))/2</f>
        <v/>
      </c>
      <c r="P29" s="13">
        <f>IF(AND(C29="F",M29&lt;O29,SUMIFS(Categories!$Z$5:$Z$11,Categories!$A$5:$A$11,B29)=1),1,0)</f>
        <v/>
      </c>
      <c r="Q29" s="12">
        <f>IF(P29=1,O29-M29,0)</f>
        <v/>
      </c>
      <c r="R29" s="11">
        <f>IF(AND(P29=1,SUMIFS(Categories!$AA$5:$AA$11,Categories!$A$5:$A$11,B29)&gt;0),Q29/SUMIFS(Categories!$AA$5:$AA$11,Categories!$A$5:$A$11,B29),0)</f>
        <v/>
      </c>
      <c r="S29" s="12">
        <f>R29*SUMIFS(Categories!$AB$5:$AB$11,Categories!$A$5:$A$11,B29)</f>
        <v/>
      </c>
      <c r="T29" s="12">
        <f>S29*J29</f>
        <v/>
      </c>
      <c r="U29" s="12">
        <f>IF(T29&lt;=0,0,(rate_below/100)*MIN(T29,MAX(0,ceiling-D29))+(rate_above/100)*(T29-MIN(T29,MAX(0,ceiling-D29))))</f>
        <v/>
      </c>
      <c r="V29" s="12">
        <f>T29+U29</f>
        <v/>
      </c>
      <c r="W29" s="13">
        <f>IF(AND(C29="F",M29&lt;O29,SUMIFS(Categories!$AH$5:$AH$11,Categories!$A$5:$A$11,B29)=1),1,0)</f>
        <v/>
      </c>
      <c r="X29" s="12">
        <f>IF(W29=1,O29-M29,0)</f>
        <v/>
      </c>
      <c r="Y29" s="11">
        <f>IF(AND(W29=1,SUMIFS(Categories!$AI$5:$AI$11,Categories!$A$5:$A$11,B29)&gt;0),X29/SUMIFS(Categories!$AI$5:$AI$11,Categories!$A$5:$A$11,B29),0)</f>
        <v/>
      </c>
      <c r="Z29" s="12">
        <f>Y29*SUMIFS(Categories!$AJ$5:$AJ$11,Categories!$A$5:$A$11,B29)</f>
        <v/>
      </c>
      <c r="AA29" s="12">
        <f>Z29*J29</f>
        <v/>
      </c>
      <c r="AB29" s="12">
        <f>IF(AA29&lt;=0,0,(rate_below/100)*MIN(AA29,MAX(0,ceiling-D29))+(rate_above/100)*(AA29-MIN(AA29,MAX(0,ceiling-D29))))</f>
        <v/>
      </c>
      <c r="AC29" s="12">
        <f>AA29+AB29</f>
        <v/>
      </c>
      <c r="AD29" s="13">
        <f>SUMPRODUCT(($B$5:$B$216=B29)*($M$5:$M$216&lt;M29))+SUMPRODUCT(($B$5:$B$216=B29)*($M$5:$M$216=M29)*(ROW($M$5:$M$216)&lt;ROW(M29)))+1</f>
        <v/>
      </c>
      <c r="AE29" s="13">
        <f>COUNTIF($B$5:$B$216,B29)</f>
        <v/>
      </c>
      <c r="AF29" s="13">
        <f>SUMPRODUCT(($B$5:$B$216=B29)*($C$5:$C$216=C29)*($M$5:$M$216&lt;M29))+SUMPRODUCT(($B$5:$B$216=B29)*($C$5:$C$216=C29)*($M$5:$M$216=M29)*(ROW($M$5:$M$216)&lt;ROW(M29)))+1</f>
        <v/>
      </c>
      <c r="AG29" s="13">
        <f>COUNTIFS($B$5:$B$216,B29,$C$5:$C$216,C29)</f>
        <v/>
      </c>
    </row>
    <row r="30">
      <c r="A30" s="9" t="inlineStr">
        <is>
          <t>E026</t>
        </is>
      </c>
      <c r="B30" s="9" t="inlineStr">
        <is>
          <t>Engineering</t>
        </is>
      </c>
      <c r="C30" s="9" t="inlineStr">
        <is>
          <t>F</t>
        </is>
      </c>
      <c r="D30" s="10" t="n">
        <v>60172</v>
      </c>
      <c r="E30" s="10" t="n">
        <v>8139.69</v>
      </c>
      <c r="F30" s="9" t="n">
        <v>7</v>
      </c>
      <c r="G30" s="9" t="n">
        <v>3</v>
      </c>
      <c r="H30" s="9" t="n">
        <v>1</v>
      </c>
      <c r="I30" s="9" t="n">
        <v>12</v>
      </c>
      <c r="J30" s="11">
        <f>H30*(I30/12)</f>
        <v/>
      </c>
      <c r="K30" s="12">
        <f>D30/J30</f>
        <v/>
      </c>
      <c r="L30" s="12">
        <f>E30/J30</f>
        <v/>
      </c>
      <c r="M30" s="12">
        <f>K30+L30</f>
        <v/>
      </c>
      <c r="N30" s="12">
        <f>D30+E30</f>
        <v/>
      </c>
      <c r="O30" s="12">
        <f>(SUMIFS($M$5:$M$216,$B$5:$B$216,B30,$AD$5:$AD$216,INT((AE30+1)/2))+SUMIFS($M$5:$M$216,$B$5:$B$216,B30,$AD$5:$AD$216,INT(AE30/2)+1))/2</f>
        <v/>
      </c>
      <c r="P30" s="13">
        <f>IF(AND(C30="F",M30&lt;O30,SUMIFS(Categories!$Z$5:$Z$11,Categories!$A$5:$A$11,B30)=1),1,0)</f>
        <v/>
      </c>
      <c r="Q30" s="12">
        <f>IF(P30=1,O30-M30,0)</f>
        <v/>
      </c>
      <c r="R30" s="11">
        <f>IF(AND(P30=1,SUMIFS(Categories!$AA$5:$AA$11,Categories!$A$5:$A$11,B30)&gt;0),Q30/SUMIFS(Categories!$AA$5:$AA$11,Categories!$A$5:$A$11,B30),0)</f>
        <v/>
      </c>
      <c r="S30" s="12">
        <f>R30*SUMIFS(Categories!$AB$5:$AB$11,Categories!$A$5:$A$11,B30)</f>
        <v/>
      </c>
      <c r="T30" s="12">
        <f>S30*J30</f>
        <v/>
      </c>
      <c r="U30" s="12">
        <f>IF(T30&lt;=0,0,(rate_below/100)*MIN(T30,MAX(0,ceiling-D30))+(rate_above/100)*(T30-MIN(T30,MAX(0,ceiling-D30))))</f>
        <v/>
      </c>
      <c r="V30" s="12">
        <f>T30+U30</f>
        <v/>
      </c>
      <c r="W30" s="13">
        <f>IF(AND(C30="F",M30&lt;O30,SUMIFS(Categories!$AH$5:$AH$11,Categories!$A$5:$A$11,B30)=1),1,0)</f>
        <v/>
      </c>
      <c r="X30" s="12">
        <f>IF(W30=1,O30-M30,0)</f>
        <v/>
      </c>
      <c r="Y30" s="11">
        <f>IF(AND(W30=1,SUMIFS(Categories!$AI$5:$AI$11,Categories!$A$5:$A$11,B30)&gt;0),X30/SUMIFS(Categories!$AI$5:$AI$11,Categories!$A$5:$A$11,B30),0)</f>
        <v/>
      </c>
      <c r="Z30" s="12">
        <f>Y30*SUMIFS(Categories!$AJ$5:$AJ$11,Categories!$A$5:$A$11,B30)</f>
        <v/>
      </c>
      <c r="AA30" s="12">
        <f>Z30*J30</f>
        <v/>
      </c>
      <c r="AB30" s="12">
        <f>IF(AA30&lt;=0,0,(rate_below/100)*MIN(AA30,MAX(0,ceiling-D30))+(rate_above/100)*(AA30-MIN(AA30,MAX(0,ceiling-D30))))</f>
        <v/>
      </c>
      <c r="AC30" s="12">
        <f>AA30+AB30</f>
        <v/>
      </c>
      <c r="AD30" s="13">
        <f>SUMPRODUCT(($B$5:$B$216=B30)*($M$5:$M$216&lt;M30))+SUMPRODUCT(($B$5:$B$216=B30)*($M$5:$M$216=M30)*(ROW($M$5:$M$216)&lt;ROW(M30)))+1</f>
        <v/>
      </c>
      <c r="AE30" s="13">
        <f>COUNTIF($B$5:$B$216,B30)</f>
        <v/>
      </c>
      <c r="AF30" s="13">
        <f>SUMPRODUCT(($B$5:$B$216=B30)*($C$5:$C$216=C30)*($M$5:$M$216&lt;M30))+SUMPRODUCT(($B$5:$B$216=B30)*($C$5:$C$216=C30)*($M$5:$M$216=M30)*(ROW($M$5:$M$216)&lt;ROW(M30)))+1</f>
        <v/>
      </c>
      <c r="AG30" s="13">
        <f>COUNTIFS($B$5:$B$216,B30,$C$5:$C$216,C30)</f>
        <v/>
      </c>
    </row>
    <row r="31">
      <c r="A31" s="9" t="inlineStr">
        <is>
          <t>E027</t>
        </is>
      </c>
      <c r="B31" s="9" t="inlineStr">
        <is>
          <t>Engineering</t>
        </is>
      </c>
      <c r="C31" s="9" t="inlineStr">
        <is>
          <t>M</t>
        </is>
      </c>
      <c r="D31" s="10" t="n">
        <v>50371.31</v>
      </c>
      <c r="E31" s="10" t="n">
        <v>7281.02</v>
      </c>
      <c r="F31" s="9" t="n">
        <v>4.8</v>
      </c>
      <c r="G31" s="9" t="n">
        <v>1</v>
      </c>
      <c r="H31" s="9" t="n">
        <v>1</v>
      </c>
      <c r="I31" s="9" t="n">
        <v>12</v>
      </c>
      <c r="J31" s="11">
        <f>H31*(I31/12)</f>
        <v/>
      </c>
      <c r="K31" s="12">
        <f>D31/J31</f>
        <v/>
      </c>
      <c r="L31" s="12">
        <f>E31/J31</f>
        <v/>
      </c>
      <c r="M31" s="12">
        <f>K31+L31</f>
        <v/>
      </c>
      <c r="N31" s="12">
        <f>D31+E31</f>
        <v/>
      </c>
      <c r="O31" s="12">
        <f>(SUMIFS($M$5:$M$216,$B$5:$B$216,B31,$AD$5:$AD$216,INT((AE31+1)/2))+SUMIFS($M$5:$M$216,$B$5:$B$216,B31,$AD$5:$AD$216,INT(AE31/2)+1))/2</f>
        <v/>
      </c>
      <c r="P31" s="13">
        <f>IF(AND(C31="F",M31&lt;O31,SUMIFS(Categories!$Z$5:$Z$11,Categories!$A$5:$A$11,B31)=1),1,0)</f>
        <v/>
      </c>
      <c r="Q31" s="12">
        <f>IF(P31=1,O31-M31,0)</f>
        <v/>
      </c>
      <c r="R31" s="11">
        <f>IF(AND(P31=1,SUMIFS(Categories!$AA$5:$AA$11,Categories!$A$5:$A$11,B31)&gt;0),Q31/SUMIFS(Categories!$AA$5:$AA$11,Categories!$A$5:$A$11,B31),0)</f>
        <v/>
      </c>
      <c r="S31" s="12">
        <f>R31*SUMIFS(Categories!$AB$5:$AB$11,Categories!$A$5:$A$11,B31)</f>
        <v/>
      </c>
      <c r="T31" s="12">
        <f>S31*J31</f>
        <v/>
      </c>
      <c r="U31" s="12">
        <f>IF(T31&lt;=0,0,(rate_below/100)*MIN(T31,MAX(0,ceiling-D31))+(rate_above/100)*(T31-MIN(T31,MAX(0,ceiling-D31))))</f>
        <v/>
      </c>
      <c r="V31" s="12">
        <f>T31+U31</f>
        <v/>
      </c>
      <c r="W31" s="13">
        <f>IF(AND(C31="F",M31&lt;O31,SUMIFS(Categories!$AH$5:$AH$11,Categories!$A$5:$A$11,B31)=1),1,0)</f>
        <v/>
      </c>
      <c r="X31" s="12">
        <f>IF(W31=1,O31-M31,0)</f>
        <v/>
      </c>
      <c r="Y31" s="11">
        <f>IF(AND(W31=1,SUMIFS(Categories!$AI$5:$AI$11,Categories!$A$5:$A$11,B31)&gt;0),X31/SUMIFS(Categories!$AI$5:$AI$11,Categories!$A$5:$A$11,B31),0)</f>
        <v/>
      </c>
      <c r="Z31" s="12">
        <f>Y31*SUMIFS(Categories!$AJ$5:$AJ$11,Categories!$A$5:$A$11,B31)</f>
        <v/>
      </c>
      <c r="AA31" s="12">
        <f>Z31*J31</f>
        <v/>
      </c>
      <c r="AB31" s="12">
        <f>IF(AA31&lt;=0,0,(rate_below/100)*MIN(AA31,MAX(0,ceiling-D31))+(rate_above/100)*(AA31-MIN(AA31,MAX(0,ceiling-D31))))</f>
        <v/>
      </c>
      <c r="AC31" s="12">
        <f>AA31+AB31</f>
        <v/>
      </c>
      <c r="AD31" s="13">
        <f>SUMPRODUCT(($B$5:$B$216=B31)*($M$5:$M$216&lt;M31))+SUMPRODUCT(($B$5:$B$216=B31)*($M$5:$M$216=M31)*(ROW($M$5:$M$216)&lt;ROW(M31)))+1</f>
        <v/>
      </c>
      <c r="AE31" s="13">
        <f>COUNTIF($B$5:$B$216,B31)</f>
        <v/>
      </c>
      <c r="AF31" s="13">
        <f>SUMPRODUCT(($B$5:$B$216=B31)*($C$5:$C$216=C31)*($M$5:$M$216&lt;M31))+SUMPRODUCT(($B$5:$B$216=B31)*($C$5:$C$216=C31)*($M$5:$M$216=M31)*(ROW($M$5:$M$216)&lt;ROW(M31)))+1</f>
        <v/>
      </c>
      <c r="AG31" s="13">
        <f>COUNTIFS($B$5:$B$216,B31,$C$5:$C$216,C31)</f>
        <v/>
      </c>
    </row>
    <row r="32">
      <c r="A32" s="9" t="inlineStr">
        <is>
          <t>E028</t>
        </is>
      </c>
      <c r="B32" s="9" t="inlineStr">
        <is>
          <t>Engineering</t>
        </is>
      </c>
      <c r="C32" s="9" t="inlineStr">
        <is>
          <t>F</t>
        </is>
      </c>
      <c r="D32" s="10" t="n">
        <v>50920.11</v>
      </c>
      <c r="E32" s="10" t="n">
        <v>4824.66</v>
      </c>
      <c r="F32" s="9" t="n">
        <v>4.2</v>
      </c>
      <c r="G32" s="9" t="n">
        <v>2</v>
      </c>
      <c r="H32" s="9" t="n">
        <v>1</v>
      </c>
      <c r="I32" s="9" t="n">
        <v>12</v>
      </c>
      <c r="J32" s="11">
        <f>H32*(I32/12)</f>
        <v/>
      </c>
      <c r="K32" s="12">
        <f>D32/J32</f>
        <v/>
      </c>
      <c r="L32" s="12">
        <f>E32/J32</f>
        <v/>
      </c>
      <c r="M32" s="12">
        <f>K32+L32</f>
        <v/>
      </c>
      <c r="N32" s="12">
        <f>D32+E32</f>
        <v/>
      </c>
      <c r="O32" s="12">
        <f>(SUMIFS($M$5:$M$216,$B$5:$B$216,B32,$AD$5:$AD$216,INT((AE32+1)/2))+SUMIFS($M$5:$M$216,$B$5:$B$216,B32,$AD$5:$AD$216,INT(AE32/2)+1))/2</f>
        <v/>
      </c>
      <c r="P32" s="13">
        <f>IF(AND(C32="F",M32&lt;O32,SUMIFS(Categories!$Z$5:$Z$11,Categories!$A$5:$A$11,B32)=1),1,0)</f>
        <v/>
      </c>
      <c r="Q32" s="12">
        <f>IF(P32=1,O32-M32,0)</f>
        <v/>
      </c>
      <c r="R32" s="11">
        <f>IF(AND(P32=1,SUMIFS(Categories!$AA$5:$AA$11,Categories!$A$5:$A$11,B32)&gt;0),Q32/SUMIFS(Categories!$AA$5:$AA$11,Categories!$A$5:$A$11,B32),0)</f>
        <v/>
      </c>
      <c r="S32" s="12">
        <f>R32*SUMIFS(Categories!$AB$5:$AB$11,Categories!$A$5:$A$11,B32)</f>
        <v/>
      </c>
      <c r="T32" s="12">
        <f>S32*J32</f>
        <v/>
      </c>
      <c r="U32" s="12">
        <f>IF(T32&lt;=0,0,(rate_below/100)*MIN(T32,MAX(0,ceiling-D32))+(rate_above/100)*(T32-MIN(T32,MAX(0,ceiling-D32))))</f>
        <v/>
      </c>
      <c r="V32" s="12">
        <f>T32+U32</f>
        <v/>
      </c>
      <c r="W32" s="13">
        <f>IF(AND(C32="F",M32&lt;O32,SUMIFS(Categories!$AH$5:$AH$11,Categories!$A$5:$A$11,B32)=1),1,0)</f>
        <v/>
      </c>
      <c r="X32" s="12">
        <f>IF(W32=1,O32-M32,0)</f>
        <v/>
      </c>
      <c r="Y32" s="11">
        <f>IF(AND(W32=1,SUMIFS(Categories!$AI$5:$AI$11,Categories!$A$5:$A$11,B32)&gt;0),X32/SUMIFS(Categories!$AI$5:$AI$11,Categories!$A$5:$A$11,B32),0)</f>
        <v/>
      </c>
      <c r="Z32" s="12">
        <f>Y32*SUMIFS(Categories!$AJ$5:$AJ$11,Categories!$A$5:$A$11,B32)</f>
        <v/>
      </c>
      <c r="AA32" s="12">
        <f>Z32*J32</f>
        <v/>
      </c>
      <c r="AB32" s="12">
        <f>IF(AA32&lt;=0,0,(rate_below/100)*MIN(AA32,MAX(0,ceiling-D32))+(rate_above/100)*(AA32-MIN(AA32,MAX(0,ceiling-D32))))</f>
        <v/>
      </c>
      <c r="AC32" s="12">
        <f>AA32+AB32</f>
        <v/>
      </c>
      <c r="AD32" s="13">
        <f>SUMPRODUCT(($B$5:$B$216=B32)*($M$5:$M$216&lt;M32))+SUMPRODUCT(($B$5:$B$216=B32)*($M$5:$M$216=M32)*(ROW($M$5:$M$216)&lt;ROW(M32)))+1</f>
        <v/>
      </c>
      <c r="AE32" s="13">
        <f>COUNTIF($B$5:$B$216,B32)</f>
        <v/>
      </c>
      <c r="AF32" s="13">
        <f>SUMPRODUCT(($B$5:$B$216=B32)*($C$5:$C$216=C32)*($M$5:$M$216&lt;M32))+SUMPRODUCT(($B$5:$B$216=B32)*($C$5:$C$216=C32)*($M$5:$M$216=M32)*(ROW($M$5:$M$216)&lt;ROW(M32)))+1</f>
        <v/>
      </c>
      <c r="AG32" s="13">
        <f>COUNTIFS($B$5:$B$216,B32,$C$5:$C$216,C32)</f>
        <v/>
      </c>
    </row>
    <row r="33">
      <c r="A33" s="9" t="inlineStr">
        <is>
          <t>E029</t>
        </is>
      </c>
      <c r="B33" s="9" t="inlineStr">
        <is>
          <t>Engineering</t>
        </is>
      </c>
      <c r="C33" s="9" t="inlineStr">
        <is>
          <t>M</t>
        </is>
      </c>
      <c r="D33" s="10" t="n">
        <v>84421.92</v>
      </c>
      <c r="E33" s="10" t="n">
        <v>11500.74</v>
      </c>
      <c r="F33" s="9" t="n">
        <v>8.300000000000001</v>
      </c>
      <c r="G33" s="9" t="n">
        <v>5</v>
      </c>
      <c r="H33" s="9" t="n">
        <v>1</v>
      </c>
      <c r="I33" s="9" t="n">
        <v>12</v>
      </c>
      <c r="J33" s="11">
        <f>H33*(I33/12)</f>
        <v/>
      </c>
      <c r="K33" s="12">
        <f>D33/J33</f>
        <v/>
      </c>
      <c r="L33" s="12">
        <f>E33/J33</f>
        <v/>
      </c>
      <c r="M33" s="12">
        <f>K33+L33</f>
        <v/>
      </c>
      <c r="N33" s="12">
        <f>D33+E33</f>
        <v/>
      </c>
      <c r="O33" s="12">
        <f>(SUMIFS($M$5:$M$216,$B$5:$B$216,B33,$AD$5:$AD$216,INT((AE33+1)/2))+SUMIFS($M$5:$M$216,$B$5:$B$216,B33,$AD$5:$AD$216,INT(AE33/2)+1))/2</f>
        <v/>
      </c>
      <c r="P33" s="13">
        <f>IF(AND(C33="F",M33&lt;O33,SUMIFS(Categories!$Z$5:$Z$11,Categories!$A$5:$A$11,B33)=1),1,0)</f>
        <v/>
      </c>
      <c r="Q33" s="12">
        <f>IF(P33=1,O33-M33,0)</f>
        <v/>
      </c>
      <c r="R33" s="11">
        <f>IF(AND(P33=1,SUMIFS(Categories!$AA$5:$AA$11,Categories!$A$5:$A$11,B33)&gt;0),Q33/SUMIFS(Categories!$AA$5:$AA$11,Categories!$A$5:$A$11,B33),0)</f>
        <v/>
      </c>
      <c r="S33" s="12">
        <f>R33*SUMIFS(Categories!$AB$5:$AB$11,Categories!$A$5:$A$11,B33)</f>
        <v/>
      </c>
      <c r="T33" s="12">
        <f>S33*J33</f>
        <v/>
      </c>
      <c r="U33" s="12">
        <f>IF(T33&lt;=0,0,(rate_below/100)*MIN(T33,MAX(0,ceiling-D33))+(rate_above/100)*(T33-MIN(T33,MAX(0,ceiling-D33))))</f>
        <v/>
      </c>
      <c r="V33" s="12">
        <f>T33+U33</f>
        <v/>
      </c>
      <c r="W33" s="13">
        <f>IF(AND(C33="F",M33&lt;O33,SUMIFS(Categories!$AH$5:$AH$11,Categories!$A$5:$A$11,B33)=1),1,0)</f>
        <v/>
      </c>
      <c r="X33" s="12">
        <f>IF(W33=1,O33-M33,0)</f>
        <v/>
      </c>
      <c r="Y33" s="11">
        <f>IF(AND(W33=1,SUMIFS(Categories!$AI$5:$AI$11,Categories!$A$5:$A$11,B33)&gt;0),X33/SUMIFS(Categories!$AI$5:$AI$11,Categories!$A$5:$A$11,B33),0)</f>
        <v/>
      </c>
      <c r="Z33" s="12">
        <f>Y33*SUMIFS(Categories!$AJ$5:$AJ$11,Categories!$A$5:$A$11,B33)</f>
        <v/>
      </c>
      <c r="AA33" s="12">
        <f>Z33*J33</f>
        <v/>
      </c>
      <c r="AB33" s="12">
        <f>IF(AA33&lt;=0,0,(rate_below/100)*MIN(AA33,MAX(0,ceiling-D33))+(rate_above/100)*(AA33-MIN(AA33,MAX(0,ceiling-D33))))</f>
        <v/>
      </c>
      <c r="AC33" s="12">
        <f>AA33+AB33</f>
        <v/>
      </c>
      <c r="AD33" s="13">
        <f>SUMPRODUCT(($B$5:$B$216=B33)*($M$5:$M$216&lt;M33))+SUMPRODUCT(($B$5:$B$216=B33)*($M$5:$M$216=M33)*(ROW($M$5:$M$216)&lt;ROW(M33)))+1</f>
        <v/>
      </c>
      <c r="AE33" s="13">
        <f>COUNTIF($B$5:$B$216,B33)</f>
        <v/>
      </c>
      <c r="AF33" s="13">
        <f>SUMPRODUCT(($B$5:$B$216=B33)*($C$5:$C$216=C33)*($M$5:$M$216&lt;M33))+SUMPRODUCT(($B$5:$B$216=B33)*($C$5:$C$216=C33)*($M$5:$M$216=M33)*(ROW($M$5:$M$216)&lt;ROW(M33)))+1</f>
        <v/>
      </c>
      <c r="AG33" s="13">
        <f>COUNTIFS($B$5:$B$216,B33,$C$5:$C$216,C33)</f>
        <v/>
      </c>
    </row>
    <row r="34">
      <c r="A34" s="9" t="inlineStr">
        <is>
          <t>E030</t>
        </is>
      </c>
      <c r="B34" s="9" t="inlineStr">
        <is>
          <t>Engineering</t>
        </is>
      </c>
      <c r="C34" s="9" t="inlineStr">
        <is>
          <t>M</t>
        </is>
      </c>
      <c r="D34" s="10" t="n">
        <v>70060.03</v>
      </c>
      <c r="E34" s="10" t="n">
        <v>9220.84</v>
      </c>
      <c r="F34" s="9" t="n">
        <v>8.4</v>
      </c>
      <c r="G34" s="9" t="n">
        <v>4</v>
      </c>
      <c r="H34" s="9" t="n">
        <v>1</v>
      </c>
      <c r="I34" s="9" t="n">
        <v>12</v>
      </c>
      <c r="J34" s="11">
        <f>H34*(I34/12)</f>
        <v/>
      </c>
      <c r="K34" s="12">
        <f>D34/J34</f>
        <v/>
      </c>
      <c r="L34" s="12">
        <f>E34/J34</f>
        <v/>
      </c>
      <c r="M34" s="12">
        <f>K34+L34</f>
        <v/>
      </c>
      <c r="N34" s="12">
        <f>D34+E34</f>
        <v/>
      </c>
      <c r="O34" s="12">
        <f>(SUMIFS($M$5:$M$216,$B$5:$B$216,B34,$AD$5:$AD$216,INT((AE34+1)/2))+SUMIFS($M$5:$M$216,$B$5:$B$216,B34,$AD$5:$AD$216,INT(AE34/2)+1))/2</f>
        <v/>
      </c>
      <c r="P34" s="13">
        <f>IF(AND(C34="F",M34&lt;O34,SUMIFS(Categories!$Z$5:$Z$11,Categories!$A$5:$A$11,B34)=1),1,0)</f>
        <v/>
      </c>
      <c r="Q34" s="12">
        <f>IF(P34=1,O34-M34,0)</f>
        <v/>
      </c>
      <c r="R34" s="11">
        <f>IF(AND(P34=1,SUMIFS(Categories!$AA$5:$AA$11,Categories!$A$5:$A$11,B34)&gt;0),Q34/SUMIFS(Categories!$AA$5:$AA$11,Categories!$A$5:$A$11,B34),0)</f>
        <v/>
      </c>
      <c r="S34" s="12">
        <f>R34*SUMIFS(Categories!$AB$5:$AB$11,Categories!$A$5:$A$11,B34)</f>
        <v/>
      </c>
      <c r="T34" s="12">
        <f>S34*J34</f>
        <v/>
      </c>
      <c r="U34" s="12">
        <f>IF(T34&lt;=0,0,(rate_below/100)*MIN(T34,MAX(0,ceiling-D34))+(rate_above/100)*(T34-MIN(T34,MAX(0,ceiling-D34))))</f>
        <v/>
      </c>
      <c r="V34" s="12">
        <f>T34+U34</f>
        <v/>
      </c>
      <c r="W34" s="13">
        <f>IF(AND(C34="F",M34&lt;O34,SUMIFS(Categories!$AH$5:$AH$11,Categories!$A$5:$A$11,B34)=1),1,0)</f>
        <v/>
      </c>
      <c r="X34" s="12">
        <f>IF(W34=1,O34-M34,0)</f>
        <v/>
      </c>
      <c r="Y34" s="11">
        <f>IF(AND(W34=1,SUMIFS(Categories!$AI$5:$AI$11,Categories!$A$5:$A$11,B34)&gt;0),X34/SUMIFS(Categories!$AI$5:$AI$11,Categories!$A$5:$A$11,B34),0)</f>
        <v/>
      </c>
      <c r="Z34" s="12">
        <f>Y34*SUMIFS(Categories!$AJ$5:$AJ$11,Categories!$A$5:$A$11,B34)</f>
        <v/>
      </c>
      <c r="AA34" s="12">
        <f>Z34*J34</f>
        <v/>
      </c>
      <c r="AB34" s="12">
        <f>IF(AA34&lt;=0,0,(rate_below/100)*MIN(AA34,MAX(0,ceiling-D34))+(rate_above/100)*(AA34-MIN(AA34,MAX(0,ceiling-D34))))</f>
        <v/>
      </c>
      <c r="AC34" s="12">
        <f>AA34+AB34</f>
        <v/>
      </c>
      <c r="AD34" s="13">
        <f>SUMPRODUCT(($B$5:$B$216=B34)*($M$5:$M$216&lt;M34))+SUMPRODUCT(($B$5:$B$216=B34)*($M$5:$M$216=M34)*(ROW($M$5:$M$216)&lt;ROW(M34)))+1</f>
        <v/>
      </c>
      <c r="AE34" s="13">
        <f>COUNTIF($B$5:$B$216,B34)</f>
        <v/>
      </c>
      <c r="AF34" s="13">
        <f>SUMPRODUCT(($B$5:$B$216=B34)*($C$5:$C$216=C34)*($M$5:$M$216&lt;M34))+SUMPRODUCT(($B$5:$B$216=B34)*($C$5:$C$216=C34)*($M$5:$M$216=M34)*(ROW($M$5:$M$216)&lt;ROW(M34)))+1</f>
        <v/>
      </c>
      <c r="AG34" s="13">
        <f>COUNTIFS($B$5:$B$216,B34,$C$5:$C$216,C34)</f>
        <v/>
      </c>
    </row>
    <row r="35">
      <c r="A35" s="9" t="inlineStr">
        <is>
          <t>E031</t>
        </is>
      </c>
      <c r="B35" s="9" t="inlineStr">
        <is>
          <t>Engineering</t>
        </is>
      </c>
      <c r="C35" s="9" t="inlineStr">
        <is>
          <t>M</t>
        </is>
      </c>
      <c r="D35" s="10" t="n">
        <v>68396.75</v>
      </c>
      <c r="E35" s="10" t="n">
        <v>9665.43</v>
      </c>
      <c r="F35" s="9" t="n">
        <v>7.4</v>
      </c>
      <c r="G35" s="9" t="n">
        <v>4</v>
      </c>
      <c r="H35" s="9" t="n">
        <v>1</v>
      </c>
      <c r="I35" s="9" t="n">
        <v>12</v>
      </c>
      <c r="J35" s="11">
        <f>H35*(I35/12)</f>
        <v/>
      </c>
      <c r="K35" s="12">
        <f>D35/J35</f>
        <v/>
      </c>
      <c r="L35" s="12">
        <f>E35/J35</f>
        <v/>
      </c>
      <c r="M35" s="12">
        <f>K35+L35</f>
        <v/>
      </c>
      <c r="N35" s="12">
        <f>D35+E35</f>
        <v/>
      </c>
      <c r="O35" s="12">
        <f>(SUMIFS($M$5:$M$216,$B$5:$B$216,B35,$AD$5:$AD$216,INT((AE35+1)/2))+SUMIFS($M$5:$M$216,$B$5:$B$216,B35,$AD$5:$AD$216,INT(AE35/2)+1))/2</f>
        <v/>
      </c>
      <c r="P35" s="13">
        <f>IF(AND(C35="F",M35&lt;O35,SUMIFS(Categories!$Z$5:$Z$11,Categories!$A$5:$A$11,B35)=1),1,0)</f>
        <v/>
      </c>
      <c r="Q35" s="12">
        <f>IF(P35=1,O35-M35,0)</f>
        <v/>
      </c>
      <c r="R35" s="11">
        <f>IF(AND(P35=1,SUMIFS(Categories!$AA$5:$AA$11,Categories!$A$5:$A$11,B35)&gt;0),Q35/SUMIFS(Categories!$AA$5:$AA$11,Categories!$A$5:$A$11,B35),0)</f>
        <v/>
      </c>
      <c r="S35" s="12">
        <f>R35*SUMIFS(Categories!$AB$5:$AB$11,Categories!$A$5:$A$11,B35)</f>
        <v/>
      </c>
      <c r="T35" s="12">
        <f>S35*J35</f>
        <v/>
      </c>
      <c r="U35" s="12">
        <f>IF(T35&lt;=0,0,(rate_below/100)*MIN(T35,MAX(0,ceiling-D35))+(rate_above/100)*(T35-MIN(T35,MAX(0,ceiling-D35))))</f>
        <v/>
      </c>
      <c r="V35" s="12">
        <f>T35+U35</f>
        <v/>
      </c>
      <c r="W35" s="13">
        <f>IF(AND(C35="F",M35&lt;O35,SUMIFS(Categories!$AH$5:$AH$11,Categories!$A$5:$A$11,B35)=1),1,0)</f>
        <v/>
      </c>
      <c r="X35" s="12">
        <f>IF(W35=1,O35-M35,0)</f>
        <v/>
      </c>
      <c r="Y35" s="11">
        <f>IF(AND(W35=1,SUMIFS(Categories!$AI$5:$AI$11,Categories!$A$5:$A$11,B35)&gt;0),X35/SUMIFS(Categories!$AI$5:$AI$11,Categories!$A$5:$A$11,B35),0)</f>
        <v/>
      </c>
      <c r="Z35" s="12">
        <f>Y35*SUMIFS(Categories!$AJ$5:$AJ$11,Categories!$A$5:$A$11,B35)</f>
        <v/>
      </c>
      <c r="AA35" s="12">
        <f>Z35*J35</f>
        <v/>
      </c>
      <c r="AB35" s="12">
        <f>IF(AA35&lt;=0,0,(rate_below/100)*MIN(AA35,MAX(0,ceiling-D35))+(rate_above/100)*(AA35-MIN(AA35,MAX(0,ceiling-D35))))</f>
        <v/>
      </c>
      <c r="AC35" s="12">
        <f>AA35+AB35</f>
        <v/>
      </c>
      <c r="AD35" s="13">
        <f>SUMPRODUCT(($B$5:$B$216=B35)*($M$5:$M$216&lt;M35))+SUMPRODUCT(($B$5:$B$216=B35)*($M$5:$M$216=M35)*(ROW($M$5:$M$216)&lt;ROW(M35)))+1</f>
        <v/>
      </c>
      <c r="AE35" s="13">
        <f>COUNTIF($B$5:$B$216,B35)</f>
        <v/>
      </c>
      <c r="AF35" s="13">
        <f>SUMPRODUCT(($B$5:$B$216=B35)*($C$5:$C$216=C35)*($M$5:$M$216&lt;M35))+SUMPRODUCT(($B$5:$B$216=B35)*($C$5:$C$216=C35)*($M$5:$M$216=M35)*(ROW($M$5:$M$216)&lt;ROW(M35)))+1</f>
        <v/>
      </c>
      <c r="AG35" s="13">
        <f>COUNTIFS($B$5:$B$216,B35,$C$5:$C$216,C35)</f>
        <v/>
      </c>
    </row>
    <row r="36">
      <c r="A36" s="9" t="inlineStr">
        <is>
          <t>E032</t>
        </is>
      </c>
      <c r="B36" s="9" t="inlineStr">
        <is>
          <t>Engineering</t>
        </is>
      </c>
      <c r="C36" s="9" t="inlineStr">
        <is>
          <t>M</t>
        </is>
      </c>
      <c r="D36" s="10" t="n">
        <v>73003.25999999999</v>
      </c>
      <c r="E36" s="10" t="n">
        <v>9035.73</v>
      </c>
      <c r="F36" s="9" t="n">
        <v>10.1</v>
      </c>
      <c r="G36" s="9" t="n">
        <v>4</v>
      </c>
      <c r="H36" s="9" t="n">
        <v>1</v>
      </c>
      <c r="I36" s="9" t="n">
        <v>12</v>
      </c>
      <c r="J36" s="11">
        <f>H36*(I36/12)</f>
        <v/>
      </c>
      <c r="K36" s="12">
        <f>D36/J36</f>
        <v/>
      </c>
      <c r="L36" s="12">
        <f>E36/J36</f>
        <v/>
      </c>
      <c r="M36" s="12">
        <f>K36+L36</f>
        <v/>
      </c>
      <c r="N36" s="12">
        <f>D36+E36</f>
        <v/>
      </c>
      <c r="O36" s="12">
        <f>(SUMIFS($M$5:$M$216,$B$5:$B$216,B36,$AD$5:$AD$216,INT((AE36+1)/2))+SUMIFS($M$5:$M$216,$B$5:$B$216,B36,$AD$5:$AD$216,INT(AE36/2)+1))/2</f>
        <v/>
      </c>
      <c r="P36" s="13">
        <f>IF(AND(C36="F",M36&lt;O36,SUMIFS(Categories!$Z$5:$Z$11,Categories!$A$5:$A$11,B36)=1),1,0)</f>
        <v/>
      </c>
      <c r="Q36" s="12">
        <f>IF(P36=1,O36-M36,0)</f>
        <v/>
      </c>
      <c r="R36" s="11">
        <f>IF(AND(P36=1,SUMIFS(Categories!$AA$5:$AA$11,Categories!$A$5:$A$11,B36)&gt;0),Q36/SUMIFS(Categories!$AA$5:$AA$11,Categories!$A$5:$A$11,B36),0)</f>
        <v/>
      </c>
      <c r="S36" s="12">
        <f>R36*SUMIFS(Categories!$AB$5:$AB$11,Categories!$A$5:$A$11,B36)</f>
        <v/>
      </c>
      <c r="T36" s="12">
        <f>S36*J36</f>
        <v/>
      </c>
      <c r="U36" s="12">
        <f>IF(T36&lt;=0,0,(rate_below/100)*MIN(T36,MAX(0,ceiling-D36))+(rate_above/100)*(T36-MIN(T36,MAX(0,ceiling-D36))))</f>
        <v/>
      </c>
      <c r="V36" s="12">
        <f>T36+U36</f>
        <v/>
      </c>
      <c r="W36" s="13">
        <f>IF(AND(C36="F",M36&lt;O36,SUMIFS(Categories!$AH$5:$AH$11,Categories!$A$5:$A$11,B36)=1),1,0)</f>
        <v/>
      </c>
      <c r="X36" s="12">
        <f>IF(W36=1,O36-M36,0)</f>
        <v/>
      </c>
      <c r="Y36" s="11">
        <f>IF(AND(W36=1,SUMIFS(Categories!$AI$5:$AI$11,Categories!$A$5:$A$11,B36)&gt;0),X36/SUMIFS(Categories!$AI$5:$AI$11,Categories!$A$5:$A$11,B36),0)</f>
        <v/>
      </c>
      <c r="Z36" s="12">
        <f>Y36*SUMIFS(Categories!$AJ$5:$AJ$11,Categories!$A$5:$A$11,B36)</f>
        <v/>
      </c>
      <c r="AA36" s="12">
        <f>Z36*J36</f>
        <v/>
      </c>
      <c r="AB36" s="12">
        <f>IF(AA36&lt;=0,0,(rate_below/100)*MIN(AA36,MAX(0,ceiling-D36))+(rate_above/100)*(AA36-MIN(AA36,MAX(0,ceiling-D36))))</f>
        <v/>
      </c>
      <c r="AC36" s="12">
        <f>AA36+AB36</f>
        <v/>
      </c>
      <c r="AD36" s="13">
        <f>SUMPRODUCT(($B$5:$B$216=B36)*($M$5:$M$216&lt;M36))+SUMPRODUCT(($B$5:$B$216=B36)*($M$5:$M$216=M36)*(ROW($M$5:$M$216)&lt;ROW(M36)))+1</f>
        <v/>
      </c>
      <c r="AE36" s="13">
        <f>COUNTIF($B$5:$B$216,B36)</f>
        <v/>
      </c>
      <c r="AF36" s="13">
        <f>SUMPRODUCT(($B$5:$B$216=B36)*($C$5:$C$216=C36)*($M$5:$M$216&lt;M36))+SUMPRODUCT(($B$5:$B$216=B36)*($C$5:$C$216=C36)*($M$5:$M$216=M36)*(ROW($M$5:$M$216)&lt;ROW(M36)))+1</f>
        <v/>
      </c>
      <c r="AG36" s="13">
        <f>COUNTIFS($B$5:$B$216,B36,$C$5:$C$216,C36)</f>
        <v/>
      </c>
    </row>
    <row r="37">
      <c r="A37" s="9" t="inlineStr">
        <is>
          <t>E033</t>
        </is>
      </c>
      <c r="B37" s="9" t="inlineStr">
        <is>
          <t>Engineering</t>
        </is>
      </c>
      <c r="C37" s="9" t="inlineStr">
        <is>
          <t>M</t>
        </is>
      </c>
      <c r="D37" s="10" t="n">
        <v>59464.14</v>
      </c>
      <c r="E37" s="10" t="n">
        <v>8303.74</v>
      </c>
      <c r="F37" s="9" t="n">
        <v>4.6</v>
      </c>
      <c r="G37" s="9" t="n">
        <v>2</v>
      </c>
      <c r="H37" s="9" t="n">
        <v>1</v>
      </c>
      <c r="I37" s="9" t="n">
        <v>12</v>
      </c>
      <c r="J37" s="11">
        <f>H37*(I37/12)</f>
        <v/>
      </c>
      <c r="K37" s="12">
        <f>D37/J37</f>
        <v/>
      </c>
      <c r="L37" s="12">
        <f>E37/J37</f>
        <v/>
      </c>
      <c r="M37" s="12">
        <f>K37+L37</f>
        <v/>
      </c>
      <c r="N37" s="12">
        <f>D37+E37</f>
        <v/>
      </c>
      <c r="O37" s="12">
        <f>(SUMIFS($M$5:$M$216,$B$5:$B$216,B37,$AD$5:$AD$216,INT((AE37+1)/2))+SUMIFS($M$5:$M$216,$B$5:$B$216,B37,$AD$5:$AD$216,INT(AE37/2)+1))/2</f>
        <v/>
      </c>
      <c r="P37" s="13">
        <f>IF(AND(C37="F",M37&lt;O37,SUMIFS(Categories!$Z$5:$Z$11,Categories!$A$5:$A$11,B37)=1),1,0)</f>
        <v/>
      </c>
      <c r="Q37" s="12">
        <f>IF(P37=1,O37-M37,0)</f>
        <v/>
      </c>
      <c r="R37" s="11">
        <f>IF(AND(P37=1,SUMIFS(Categories!$AA$5:$AA$11,Categories!$A$5:$A$11,B37)&gt;0),Q37/SUMIFS(Categories!$AA$5:$AA$11,Categories!$A$5:$A$11,B37),0)</f>
        <v/>
      </c>
      <c r="S37" s="12">
        <f>R37*SUMIFS(Categories!$AB$5:$AB$11,Categories!$A$5:$A$11,B37)</f>
        <v/>
      </c>
      <c r="T37" s="12">
        <f>S37*J37</f>
        <v/>
      </c>
      <c r="U37" s="12">
        <f>IF(T37&lt;=0,0,(rate_below/100)*MIN(T37,MAX(0,ceiling-D37))+(rate_above/100)*(T37-MIN(T37,MAX(0,ceiling-D37))))</f>
        <v/>
      </c>
      <c r="V37" s="12">
        <f>T37+U37</f>
        <v/>
      </c>
      <c r="W37" s="13">
        <f>IF(AND(C37="F",M37&lt;O37,SUMIFS(Categories!$AH$5:$AH$11,Categories!$A$5:$A$11,B37)=1),1,0)</f>
        <v/>
      </c>
      <c r="X37" s="12">
        <f>IF(W37=1,O37-M37,0)</f>
        <v/>
      </c>
      <c r="Y37" s="11">
        <f>IF(AND(W37=1,SUMIFS(Categories!$AI$5:$AI$11,Categories!$A$5:$A$11,B37)&gt;0),X37/SUMIFS(Categories!$AI$5:$AI$11,Categories!$A$5:$A$11,B37),0)</f>
        <v/>
      </c>
      <c r="Z37" s="12">
        <f>Y37*SUMIFS(Categories!$AJ$5:$AJ$11,Categories!$A$5:$A$11,B37)</f>
        <v/>
      </c>
      <c r="AA37" s="12">
        <f>Z37*J37</f>
        <v/>
      </c>
      <c r="AB37" s="12">
        <f>IF(AA37&lt;=0,0,(rate_below/100)*MIN(AA37,MAX(0,ceiling-D37))+(rate_above/100)*(AA37-MIN(AA37,MAX(0,ceiling-D37))))</f>
        <v/>
      </c>
      <c r="AC37" s="12">
        <f>AA37+AB37</f>
        <v/>
      </c>
      <c r="AD37" s="13">
        <f>SUMPRODUCT(($B$5:$B$216=B37)*($M$5:$M$216&lt;M37))+SUMPRODUCT(($B$5:$B$216=B37)*($M$5:$M$216=M37)*(ROW($M$5:$M$216)&lt;ROW(M37)))+1</f>
        <v/>
      </c>
      <c r="AE37" s="13">
        <f>COUNTIF($B$5:$B$216,B37)</f>
        <v/>
      </c>
      <c r="AF37" s="13">
        <f>SUMPRODUCT(($B$5:$B$216=B37)*($C$5:$C$216=C37)*($M$5:$M$216&lt;M37))+SUMPRODUCT(($B$5:$B$216=B37)*($C$5:$C$216=C37)*($M$5:$M$216=M37)*(ROW($M$5:$M$216)&lt;ROW(M37)))+1</f>
        <v/>
      </c>
      <c r="AG37" s="13">
        <f>COUNTIFS($B$5:$B$216,B37,$C$5:$C$216,C37)</f>
        <v/>
      </c>
    </row>
    <row r="38">
      <c r="A38" s="9" t="inlineStr">
        <is>
          <t>E034</t>
        </is>
      </c>
      <c r="B38" s="9" t="inlineStr">
        <is>
          <t>Engineering</t>
        </is>
      </c>
      <c r="C38" s="9" t="inlineStr">
        <is>
          <t>M</t>
        </is>
      </c>
      <c r="D38" s="10" t="n">
        <v>63717.92</v>
      </c>
      <c r="E38" s="10" t="n">
        <v>8487.9</v>
      </c>
      <c r="F38" s="9" t="n">
        <v>7.7</v>
      </c>
      <c r="G38" s="9" t="n">
        <v>2</v>
      </c>
      <c r="H38" s="9" t="n">
        <v>1</v>
      </c>
      <c r="I38" s="9" t="n">
        <v>12</v>
      </c>
      <c r="J38" s="11">
        <f>H38*(I38/12)</f>
        <v/>
      </c>
      <c r="K38" s="12">
        <f>D38/J38</f>
        <v/>
      </c>
      <c r="L38" s="12">
        <f>E38/J38</f>
        <v/>
      </c>
      <c r="M38" s="12">
        <f>K38+L38</f>
        <v/>
      </c>
      <c r="N38" s="12">
        <f>D38+E38</f>
        <v/>
      </c>
      <c r="O38" s="12">
        <f>(SUMIFS($M$5:$M$216,$B$5:$B$216,B38,$AD$5:$AD$216,INT((AE38+1)/2))+SUMIFS($M$5:$M$216,$B$5:$B$216,B38,$AD$5:$AD$216,INT(AE38/2)+1))/2</f>
        <v/>
      </c>
      <c r="P38" s="13">
        <f>IF(AND(C38="F",M38&lt;O38,SUMIFS(Categories!$Z$5:$Z$11,Categories!$A$5:$A$11,B38)=1),1,0)</f>
        <v/>
      </c>
      <c r="Q38" s="12">
        <f>IF(P38=1,O38-M38,0)</f>
        <v/>
      </c>
      <c r="R38" s="11">
        <f>IF(AND(P38=1,SUMIFS(Categories!$AA$5:$AA$11,Categories!$A$5:$A$11,B38)&gt;0),Q38/SUMIFS(Categories!$AA$5:$AA$11,Categories!$A$5:$A$11,B38),0)</f>
        <v/>
      </c>
      <c r="S38" s="12">
        <f>R38*SUMIFS(Categories!$AB$5:$AB$11,Categories!$A$5:$A$11,B38)</f>
        <v/>
      </c>
      <c r="T38" s="12">
        <f>S38*J38</f>
        <v/>
      </c>
      <c r="U38" s="12">
        <f>IF(T38&lt;=0,0,(rate_below/100)*MIN(T38,MAX(0,ceiling-D38))+(rate_above/100)*(T38-MIN(T38,MAX(0,ceiling-D38))))</f>
        <v/>
      </c>
      <c r="V38" s="12">
        <f>T38+U38</f>
        <v/>
      </c>
      <c r="W38" s="13">
        <f>IF(AND(C38="F",M38&lt;O38,SUMIFS(Categories!$AH$5:$AH$11,Categories!$A$5:$A$11,B38)=1),1,0)</f>
        <v/>
      </c>
      <c r="X38" s="12">
        <f>IF(W38=1,O38-M38,0)</f>
        <v/>
      </c>
      <c r="Y38" s="11">
        <f>IF(AND(W38=1,SUMIFS(Categories!$AI$5:$AI$11,Categories!$A$5:$A$11,B38)&gt;0),X38/SUMIFS(Categories!$AI$5:$AI$11,Categories!$A$5:$A$11,B38),0)</f>
        <v/>
      </c>
      <c r="Z38" s="12">
        <f>Y38*SUMIFS(Categories!$AJ$5:$AJ$11,Categories!$A$5:$A$11,B38)</f>
        <v/>
      </c>
      <c r="AA38" s="12">
        <f>Z38*J38</f>
        <v/>
      </c>
      <c r="AB38" s="12">
        <f>IF(AA38&lt;=0,0,(rate_below/100)*MIN(AA38,MAX(0,ceiling-D38))+(rate_above/100)*(AA38-MIN(AA38,MAX(0,ceiling-D38))))</f>
        <v/>
      </c>
      <c r="AC38" s="12">
        <f>AA38+AB38</f>
        <v/>
      </c>
      <c r="AD38" s="13">
        <f>SUMPRODUCT(($B$5:$B$216=B38)*($M$5:$M$216&lt;M38))+SUMPRODUCT(($B$5:$B$216=B38)*($M$5:$M$216=M38)*(ROW($M$5:$M$216)&lt;ROW(M38)))+1</f>
        <v/>
      </c>
      <c r="AE38" s="13">
        <f>COUNTIF($B$5:$B$216,B38)</f>
        <v/>
      </c>
      <c r="AF38" s="13">
        <f>SUMPRODUCT(($B$5:$B$216=B38)*($C$5:$C$216=C38)*($M$5:$M$216&lt;M38))+SUMPRODUCT(($B$5:$B$216=B38)*($C$5:$C$216=C38)*($M$5:$M$216=M38)*(ROW($M$5:$M$216)&lt;ROW(M38)))+1</f>
        <v/>
      </c>
      <c r="AG38" s="13">
        <f>COUNTIFS($B$5:$B$216,B38,$C$5:$C$216,C38)</f>
        <v/>
      </c>
    </row>
    <row r="39">
      <c r="A39" s="9" t="inlineStr">
        <is>
          <t>E035</t>
        </is>
      </c>
      <c r="B39" s="9" t="inlineStr">
        <is>
          <t>Engineering</t>
        </is>
      </c>
      <c r="C39" s="9" t="inlineStr">
        <is>
          <t>M</t>
        </is>
      </c>
      <c r="D39" s="10" t="n">
        <v>48899.75</v>
      </c>
      <c r="E39" s="10" t="n">
        <v>4804.97</v>
      </c>
      <c r="F39" s="9" t="n">
        <v>2.2</v>
      </c>
      <c r="G39" s="9" t="n">
        <v>2</v>
      </c>
      <c r="H39" s="9" t="n">
        <v>1</v>
      </c>
      <c r="I39" s="9" t="n">
        <v>12</v>
      </c>
      <c r="J39" s="11">
        <f>H39*(I39/12)</f>
        <v/>
      </c>
      <c r="K39" s="12">
        <f>D39/J39</f>
        <v/>
      </c>
      <c r="L39" s="12">
        <f>E39/J39</f>
        <v/>
      </c>
      <c r="M39" s="12">
        <f>K39+L39</f>
        <v/>
      </c>
      <c r="N39" s="12">
        <f>D39+E39</f>
        <v/>
      </c>
      <c r="O39" s="12">
        <f>(SUMIFS($M$5:$M$216,$B$5:$B$216,B39,$AD$5:$AD$216,INT((AE39+1)/2))+SUMIFS($M$5:$M$216,$B$5:$B$216,B39,$AD$5:$AD$216,INT(AE39/2)+1))/2</f>
        <v/>
      </c>
      <c r="P39" s="13">
        <f>IF(AND(C39="F",M39&lt;O39,SUMIFS(Categories!$Z$5:$Z$11,Categories!$A$5:$A$11,B39)=1),1,0)</f>
        <v/>
      </c>
      <c r="Q39" s="12">
        <f>IF(P39=1,O39-M39,0)</f>
        <v/>
      </c>
      <c r="R39" s="11">
        <f>IF(AND(P39=1,SUMIFS(Categories!$AA$5:$AA$11,Categories!$A$5:$A$11,B39)&gt;0),Q39/SUMIFS(Categories!$AA$5:$AA$11,Categories!$A$5:$A$11,B39),0)</f>
        <v/>
      </c>
      <c r="S39" s="12">
        <f>R39*SUMIFS(Categories!$AB$5:$AB$11,Categories!$A$5:$A$11,B39)</f>
        <v/>
      </c>
      <c r="T39" s="12">
        <f>S39*J39</f>
        <v/>
      </c>
      <c r="U39" s="12">
        <f>IF(T39&lt;=0,0,(rate_below/100)*MIN(T39,MAX(0,ceiling-D39))+(rate_above/100)*(T39-MIN(T39,MAX(0,ceiling-D39))))</f>
        <v/>
      </c>
      <c r="V39" s="12">
        <f>T39+U39</f>
        <v/>
      </c>
      <c r="W39" s="13">
        <f>IF(AND(C39="F",M39&lt;O39,SUMIFS(Categories!$AH$5:$AH$11,Categories!$A$5:$A$11,B39)=1),1,0)</f>
        <v/>
      </c>
      <c r="X39" s="12">
        <f>IF(W39=1,O39-M39,0)</f>
        <v/>
      </c>
      <c r="Y39" s="11">
        <f>IF(AND(W39=1,SUMIFS(Categories!$AI$5:$AI$11,Categories!$A$5:$A$11,B39)&gt;0),X39/SUMIFS(Categories!$AI$5:$AI$11,Categories!$A$5:$A$11,B39),0)</f>
        <v/>
      </c>
      <c r="Z39" s="12">
        <f>Y39*SUMIFS(Categories!$AJ$5:$AJ$11,Categories!$A$5:$A$11,B39)</f>
        <v/>
      </c>
      <c r="AA39" s="12">
        <f>Z39*J39</f>
        <v/>
      </c>
      <c r="AB39" s="12">
        <f>IF(AA39&lt;=0,0,(rate_below/100)*MIN(AA39,MAX(0,ceiling-D39))+(rate_above/100)*(AA39-MIN(AA39,MAX(0,ceiling-D39))))</f>
        <v/>
      </c>
      <c r="AC39" s="12">
        <f>AA39+AB39</f>
        <v/>
      </c>
      <c r="AD39" s="13">
        <f>SUMPRODUCT(($B$5:$B$216=B39)*($M$5:$M$216&lt;M39))+SUMPRODUCT(($B$5:$B$216=B39)*($M$5:$M$216=M39)*(ROW($M$5:$M$216)&lt;ROW(M39)))+1</f>
        <v/>
      </c>
      <c r="AE39" s="13">
        <f>COUNTIF($B$5:$B$216,B39)</f>
        <v/>
      </c>
      <c r="AF39" s="13">
        <f>SUMPRODUCT(($B$5:$B$216=B39)*($C$5:$C$216=C39)*($M$5:$M$216&lt;M39))+SUMPRODUCT(($B$5:$B$216=B39)*($C$5:$C$216=C39)*($M$5:$M$216=M39)*(ROW($M$5:$M$216)&lt;ROW(M39)))+1</f>
        <v/>
      </c>
      <c r="AG39" s="13">
        <f>COUNTIFS($B$5:$B$216,B39,$C$5:$C$216,C39)</f>
        <v/>
      </c>
    </row>
    <row r="40">
      <c r="A40" s="9" t="inlineStr">
        <is>
          <t>E036</t>
        </is>
      </c>
      <c r="B40" s="9" t="inlineStr">
        <is>
          <t>Engineering</t>
        </is>
      </c>
      <c r="C40" s="9" t="inlineStr">
        <is>
          <t>M</t>
        </is>
      </c>
      <c r="D40" s="10" t="n">
        <v>69584.50999999999</v>
      </c>
      <c r="E40" s="10" t="n">
        <v>8678.23</v>
      </c>
      <c r="F40" s="9" t="n">
        <v>9.9</v>
      </c>
      <c r="G40" s="9" t="n">
        <v>4</v>
      </c>
      <c r="H40" s="9" t="n">
        <v>1</v>
      </c>
      <c r="I40" s="9" t="n">
        <v>12</v>
      </c>
      <c r="J40" s="11">
        <f>H40*(I40/12)</f>
        <v/>
      </c>
      <c r="K40" s="12">
        <f>D40/J40</f>
        <v/>
      </c>
      <c r="L40" s="12">
        <f>E40/J40</f>
        <v/>
      </c>
      <c r="M40" s="12">
        <f>K40+L40</f>
        <v/>
      </c>
      <c r="N40" s="12">
        <f>D40+E40</f>
        <v/>
      </c>
      <c r="O40" s="12">
        <f>(SUMIFS($M$5:$M$216,$B$5:$B$216,B40,$AD$5:$AD$216,INT((AE40+1)/2))+SUMIFS($M$5:$M$216,$B$5:$B$216,B40,$AD$5:$AD$216,INT(AE40/2)+1))/2</f>
        <v/>
      </c>
      <c r="P40" s="13">
        <f>IF(AND(C40="F",M40&lt;O40,SUMIFS(Categories!$Z$5:$Z$11,Categories!$A$5:$A$11,B40)=1),1,0)</f>
        <v/>
      </c>
      <c r="Q40" s="12">
        <f>IF(P40=1,O40-M40,0)</f>
        <v/>
      </c>
      <c r="R40" s="11">
        <f>IF(AND(P40=1,SUMIFS(Categories!$AA$5:$AA$11,Categories!$A$5:$A$11,B40)&gt;0),Q40/SUMIFS(Categories!$AA$5:$AA$11,Categories!$A$5:$A$11,B40),0)</f>
        <v/>
      </c>
      <c r="S40" s="12">
        <f>R40*SUMIFS(Categories!$AB$5:$AB$11,Categories!$A$5:$A$11,B40)</f>
        <v/>
      </c>
      <c r="T40" s="12">
        <f>S40*J40</f>
        <v/>
      </c>
      <c r="U40" s="12">
        <f>IF(T40&lt;=0,0,(rate_below/100)*MIN(T40,MAX(0,ceiling-D40))+(rate_above/100)*(T40-MIN(T40,MAX(0,ceiling-D40))))</f>
        <v/>
      </c>
      <c r="V40" s="12">
        <f>T40+U40</f>
        <v/>
      </c>
      <c r="W40" s="13">
        <f>IF(AND(C40="F",M40&lt;O40,SUMIFS(Categories!$AH$5:$AH$11,Categories!$A$5:$A$11,B40)=1),1,0)</f>
        <v/>
      </c>
      <c r="X40" s="12">
        <f>IF(W40=1,O40-M40,0)</f>
        <v/>
      </c>
      <c r="Y40" s="11">
        <f>IF(AND(W40=1,SUMIFS(Categories!$AI$5:$AI$11,Categories!$A$5:$A$11,B40)&gt;0),X40/SUMIFS(Categories!$AI$5:$AI$11,Categories!$A$5:$A$11,B40),0)</f>
        <v/>
      </c>
      <c r="Z40" s="12">
        <f>Y40*SUMIFS(Categories!$AJ$5:$AJ$11,Categories!$A$5:$A$11,B40)</f>
        <v/>
      </c>
      <c r="AA40" s="12">
        <f>Z40*J40</f>
        <v/>
      </c>
      <c r="AB40" s="12">
        <f>IF(AA40&lt;=0,0,(rate_below/100)*MIN(AA40,MAX(0,ceiling-D40))+(rate_above/100)*(AA40-MIN(AA40,MAX(0,ceiling-D40))))</f>
        <v/>
      </c>
      <c r="AC40" s="12">
        <f>AA40+AB40</f>
        <v/>
      </c>
      <c r="AD40" s="13">
        <f>SUMPRODUCT(($B$5:$B$216=B40)*($M$5:$M$216&lt;M40))+SUMPRODUCT(($B$5:$B$216=B40)*($M$5:$M$216=M40)*(ROW($M$5:$M$216)&lt;ROW(M40)))+1</f>
        <v/>
      </c>
      <c r="AE40" s="13">
        <f>COUNTIF($B$5:$B$216,B40)</f>
        <v/>
      </c>
      <c r="AF40" s="13">
        <f>SUMPRODUCT(($B$5:$B$216=B40)*($C$5:$C$216=C40)*($M$5:$M$216&lt;M40))+SUMPRODUCT(($B$5:$B$216=B40)*($C$5:$C$216=C40)*($M$5:$M$216=M40)*(ROW($M$5:$M$216)&lt;ROW(M40)))+1</f>
        <v/>
      </c>
      <c r="AG40" s="13">
        <f>COUNTIFS($B$5:$B$216,B40,$C$5:$C$216,C40)</f>
        <v/>
      </c>
    </row>
    <row r="41">
      <c r="A41" s="9" t="inlineStr">
        <is>
          <t>E037</t>
        </is>
      </c>
      <c r="B41" s="9" t="inlineStr">
        <is>
          <t>Engineering</t>
        </is>
      </c>
      <c r="C41" s="9" t="inlineStr">
        <is>
          <t>M</t>
        </is>
      </c>
      <c r="D41" s="10" t="n">
        <v>86073.94</v>
      </c>
      <c r="E41" s="10" t="n">
        <v>9787.459999999999</v>
      </c>
      <c r="F41" s="9" t="n">
        <v>11</v>
      </c>
      <c r="G41" s="9" t="n">
        <v>5</v>
      </c>
      <c r="H41" s="9" t="n">
        <v>1</v>
      </c>
      <c r="I41" s="9" t="n">
        <v>12</v>
      </c>
      <c r="J41" s="11">
        <f>H41*(I41/12)</f>
        <v/>
      </c>
      <c r="K41" s="12">
        <f>D41/J41</f>
        <v/>
      </c>
      <c r="L41" s="12">
        <f>E41/J41</f>
        <v/>
      </c>
      <c r="M41" s="12">
        <f>K41+L41</f>
        <v/>
      </c>
      <c r="N41" s="12">
        <f>D41+E41</f>
        <v/>
      </c>
      <c r="O41" s="12">
        <f>(SUMIFS($M$5:$M$216,$B$5:$B$216,B41,$AD$5:$AD$216,INT((AE41+1)/2))+SUMIFS($M$5:$M$216,$B$5:$B$216,B41,$AD$5:$AD$216,INT(AE41/2)+1))/2</f>
        <v/>
      </c>
      <c r="P41" s="13">
        <f>IF(AND(C41="F",M41&lt;O41,SUMIFS(Categories!$Z$5:$Z$11,Categories!$A$5:$A$11,B41)=1),1,0)</f>
        <v/>
      </c>
      <c r="Q41" s="12">
        <f>IF(P41=1,O41-M41,0)</f>
        <v/>
      </c>
      <c r="R41" s="11">
        <f>IF(AND(P41=1,SUMIFS(Categories!$AA$5:$AA$11,Categories!$A$5:$A$11,B41)&gt;0),Q41/SUMIFS(Categories!$AA$5:$AA$11,Categories!$A$5:$A$11,B41),0)</f>
        <v/>
      </c>
      <c r="S41" s="12">
        <f>R41*SUMIFS(Categories!$AB$5:$AB$11,Categories!$A$5:$A$11,B41)</f>
        <v/>
      </c>
      <c r="T41" s="12">
        <f>S41*J41</f>
        <v/>
      </c>
      <c r="U41" s="12">
        <f>IF(T41&lt;=0,0,(rate_below/100)*MIN(T41,MAX(0,ceiling-D41))+(rate_above/100)*(T41-MIN(T41,MAX(0,ceiling-D41))))</f>
        <v/>
      </c>
      <c r="V41" s="12">
        <f>T41+U41</f>
        <v/>
      </c>
      <c r="W41" s="13">
        <f>IF(AND(C41="F",M41&lt;O41,SUMIFS(Categories!$AH$5:$AH$11,Categories!$A$5:$A$11,B41)=1),1,0)</f>
        <v/>
      </c>
      <c r="X41" s="12">
        <f>IF(W41=1,O41-M41,0)</f>
        <v/>
      </c>
      <c r="Y41" s="11">
        <f>IF(AND(W41=1,SUMIFS(Categories!$AI$5:$AI$11,Categories!$A$5:$A$11,B41)&gt;0),X41/SUMIFS(Categories!$AI$5:$AI$11,Categories!$A$5:$A$11,B41),0)</f>
        <v/>
      </c>
      <c r="Z41" s="12">
        <f>Y41*SUMIFS(Categories!$AJ$5:$AJ$11,Categories!$A$5:$A$11,B41)</f>
        <v/>
      </c>
      <c r="AA41" s="12">
        <f>Z41*J41</f>
        <v/>
      </c>
      <c r="AB41" s="12">
        <f>IF(AA41&lt;=0,0,(rate_below/100)*MIN(AA41,MAX(0,ceiling-D41))+(rate_above/100)*(AA41-MIN(AA41,MAX(0,ceiling-D41))))</f>
        <v/>
      </c>
      <c r="AC41" s="12">
        <f>AA41+AB41</f>
        <v/>
      </c>
      <c r="AD41" s="13">
        <f>SUMPRODUCT(($B$5:$B$216=B41)*($M$5:$M$216&lt;M41))+SUMPRODUCT(($B$5:$B$216=B41)*($M$5:$M$216=M41)*(ROW($M$5:$M$216)&lt;ROW(M41)))+1</f>
        <v/>
      </c>
      <c r="AE41" s="13">
        <f>COUNTIF($B$5:$B$216,B41)</f>
        <v/>
      </c>
      <c r="AF41" s="13">
        <f>SUMPRODUCT(($B$5:$B$216=B41)*($C$5:$C$216=C41)*($M$5:$M$216&lt;M41))+SUMPRODUCT(($B$5:$B$216=B41)*($C$5:$C$216=C41)*($M$5:$M$216=M41)*(ROW($M$5:$M$216)&lt;ROW(M41)))+1</f>
        <v/>
      </c>
      <c r="AG41" s="13">
        <f>COUNTIFS($B$5:$B$216,B41,$C$5:$C$216,C41)</f>
        <v/>
      </c>
    </row>
    <row r="42">
      <c r="A42" s="9" t="inlineStr">
        <is>
          <t>E038</t>
        </is>
      </c>
      <c r="B42" s="9" t="inlineStr">
        <is>
          <t>Engineering</t>
        </is>
      </c>
      <c r="C42" s="9" t="inlineStr">
        <is>
          <t>F</t>
        </is>
      </c>
      <c r="D42" s="10" t="n">
        <v>43239.91</v>
      </c>
      <c r="E42" s="10" t="n">
        <v>5820.91</v>
      </c>
      <c r="F42" s="9" t="n">
        <v>4.9</v>
      </c>
      <c r="G42" s="9" t="n">
        <v>1</v>
      </c>
      <c r="H42" s="9" t="n">
        <v>1</v>
      </c>
      <c r="I42" s="9" t="n">
        <v>12</v>
      </c>
      <c r="J42" s="11">
        <f>H42*(I42/12)</f>
        <v/>
      </c>
      <c r="K42" s="12">
        <f>D42/J42</f>
        <v/>
      </c>
      <c r="L42" s="12">
        <f>E42/J42</f>
        <v/>
      </c>
      <c r="M42" s="12">
        <f>K42+L42</f>
        <v/>
      </c>
      <c r="N42" s="12">
        <f>D42+E42</f>
        <v/>
      </c>
      <c r="O42" s="12">
        <f>(SUMIFS($M$5:$M$216,$B$5:$B$216,B42,$AD$5:$AD$216,INT((AE42+1)/2))+SUMIFS($M$5:$M$216,$B$5:$B$216,B42,$AD$5:$AD$216,INT(AE42/2)+1))/2</f>
        <v/>
      </c>
      <c r="P42" s="13">
        <f>IF(AND(C42="F",M42&lt;O42,SUMIFS(Categories!$Z$5:$Z$11,Categories!$A$5:$A$11,B42)=1),1,0)</f>
        <v/>
      </c>
      <c r="Q42" s="12">
        <f>IF(P42=1,O42-M42,0)</f>
        <v/>
      </c>
      <c r="R42" s="11">
        <f>IF(AND(P42=1,SUMIFS(Categories!$AA$5:$AA$11,Categories!$A$5:$A$11,B42)&gt;0),Q42/SUMIFS(Categories!$AA$5:$AA$11,Categories!$A$5:$A$11,B42),0)</f>
        <v/>
      </c>
      <c r="S42" s="12">
        <f>R42*SUMIFS(Categories!$AB$5:$AB$11,Categories!$A$5:$A$11,B42)</f>
        <v/>
      </c>
      <c r="T42" s="12">
        <f>S42*J42</f>
        <v/>
      </c>
      <c r="U42" s="12">
        <f>IF(T42&lt;=0,0,(rate_below/100)*MIN(T42,MAX(0,ceiling-D42))+(rate_above/100)*(T42-MIN(T42,MAX(0,ceiling-D42))))</f>
        <v/>
      </c>
      <c r="V42" s="12">
        <f>T42+U42</f>
        <v/>
      </c>
      <c r="W42" s="13">
        <f>IF(AND(C42="F",M42&lt;O42,SUMIFS(Categories!$AH$5:$AH$11,Categories!$A$5:$A$11,B42)=1),1,0)</f>
        <v/>
      </c>
      <c r="X42" s="12">
        <f>IF(W42=1,O42-M42,0)</f>
        <v/>
      </c>
      <c r="Y42" s="11">
        <f>IF(AND(W42=1,SUMIFS(Categories!$AI$5:$AI$11,Categories!$A$5:$A$11,B42)&gt;0),X42/SUMIFS(Categories!$AI$5:$AI$11,Categories!$A$5:$A$11,B42),0)</f>
        <v/>
      </c>
      <c r="Z42" s="12">
        <f>Y42*SUMIFS(Categories!$AJ$5:$AJ$11,Categories!$A$5:$A$11,B42)</f>
        <v/>
      </c>
      <c r="AA42" s="12">
        <f>Z42*J42</f>
        <v/>
      </c>
      <c r="AB42" s="12">
        <f>IF(AA42&lt;=0,0,(rate_below/100)*MIN(AA42,MAX(0,ceiling-D42))+(rate_above/100)*(AA42-MIN(AA42,MAX(0,ceiling-D42))))</f>
        <v/>
      </c>
      <c r="AC42" s="12">
        <f>AA42+AB42</f>
        <v/>
      </c>
      <c r="AD42" s="13">
        <f>SUMPRODUCT(($B$5:$B$216=B42)*($M$5:$M$216&lt;M42))+SUMPRODUCT(($B$5:$B$216=B42)*($M$5:$M$216=M42)*(ROW($M$5:$M$216)&lt;ROW(M42)))+1</f>
        <v/>
      </c>
      <c r="AE42" s="13">
        <f>COUNTIF($B$5:$B$216,B42)</f>
        <v/>
      </c>
      <c r="AF42" s="13">
        <f>SUMPRODUCT(($B$5:$B$216=B42)*($C$5:$C$216=C42)*($M$5:$M$216&lt;M42))+SUMPRODUCT(($B$5:$B$216=B42)*($C$5:$C$216=C42)*($M$5:$M$216=M42)*(ROW($M$5:$M$216)&lt;ROW(M42)))+1</f>
        <v/>
      </c>
      <c r="AG42" s="13">
        <f>COUNTIFS($B$5:$B$216,B42,$C$5:$C$216,C42)</f>
        <v/>
      </c>
    </row>
    <row r="43">
      <c r="A43" s="9" t="inlineStr">
        <is>
          <t>E039</t>
        </is>
      </c>
      <c r="B43" s="9" t="inlineStr">
        <is>
          <t>Engineering</t>
        </is>
      </c>
      <c r="C43" s="9" t="inlineStr">
        <is>
          <t>F</t>
        </is>
      </c>
      <c r="D43" s="10" t="n">
        <v>53756.62</v>
      </c>
      <c r="E43" s="10" t="n">
        <v>7366.79</v>
      </c>
      <c r="F43" s="9" t="n">
        <v>3.6</v>
      </c>
      <c r="G43" s="9" t="n">
        <v>2</v>
      </c>
      <c r="H43" s="9" t="n">
        <v>1</v>
      </c>
      <c r="I43" s="9" t="n">
        <v>12</v>
      </c>
      <c r="J43" s="11">
        <f>H43*(I43/12)</f>
        <v/>
      </c>
      <c r="K43" s="12">
        <f>D43/J43</f>
        <v/>
      </c>
      <c r="L43" s="12">
        <f>E43/J43</f>
        <v/>
      </c>
      <c r="M43" s="12">
        <f>K43+L43</f>
        <v/>
      </c>
      <c r="N43" s="12">
        <f>D43+E43</f>
        <v/>
      </c>
      <c r="O43" s="12">
        <f>(SUMIFS($M$5:$M$216,$B$5:$B$216,B43,$AD$5:$AD$216,INT((AE43+1)/2))+SUMIFS($M$5:$M$216,$B$5:$B$216,B43,$AD$5:$AD$216,INT(AE43/2)+1))/2</f>
        <v/>
      </c>
      <c r="P43" s="13">
        <f>IF(AND(C43="F",M43&lt;O43,SUMIFS(Categories!$Z$5:$Z$11,Categories!$A$5:$A$11,B43)=1),1,0)</f>
        <v/>
      </c>
      <c r="Q43" s="12">
        <f>IF(P43=1,O43-M43,0)</f>
        <v/>
      </c>
      <c r="R43" s="11">
        <f>IF(AND(P43=1,SUMIFS(Categories!$AA$5:$AA$11,Categories!$A$5:$A$11,B43)&gt;0),Q43/SUMIFS(Categories!$AA$5:$AA$11,Categories!$A$5:$A$11,B43),0)</f>
        <v/>
      </c>
      <c r="S43" s="12">
        <f>R43*SUMIFS(Categories!$AB$5:$AB$11,Categories!$A$5:$A$11,B43)</f>
        <v/>
      </c>
      <c r="T43" s="12">
        <f>S43*J43</f>
        <v/>
      </c>
      <c r="U43" s="12">
        <f>IF(T43&lt;=0,0,(rate_below/100)*MIN(T43,MAX(0,ceiling-D43))+(rate_above/100)*(T43-MIN(T43,MAX(0,ceiling-D43))))</f>
        <v/>
      </c>
      <c r="V43" s="12">
        <f>T43+U43</f>
        <v/>
      </c>
      <c r="W43" s="13">
        <f>IF(AND(C43="F",M43&lt;O43,SUMIFS(Categories!$AH$5:$AH$11,Categories!$A$5:$A$11,B43)=1),1,0)</f>
        <v/>
      </c>
      <c r="X43" s="12">
        <f>IF(W43=1,O43-M43,0)</f>
        <v/>
      </c>
      <c r="Y43" s="11">
        <f>IF(AND(W43=1,SUMIFS(Categories!$AI$5:$AI$11,Categories!$A$5:$A$11,B43)&gt;0),X43/SUMIFS(Categories!$AI$5:$AI$11,Categories!$A$5:$A$11,B43),0)</f>
        <v/>
      </c>
      <c r="Z43" s="12">
        <f>Y43*SUMIFS(Categories!$AJ$5:$AJ$11,Categories!$A$5:$A$11,B43)</f>
        <v/>
      </c>
      <c r="AA43" s="12">
        <f>Z43*J43</f>
        <v/>
      </c>
      <c r="AB43" s="12">
        <f>IF(AA43&lt;=0,0,(rate_below/100)*MIN(AA43,MAX(0,ceiling-D43))+(rate_above/100)*(AA43-MIN(AA43,MAX(0,ceiling-D43))))</f>
        <v/>
      </c>
      <c r="AC43" s="12">
        <f>AA43+AB43</f>
        <v/>
      </c>
      <c r="AD43" s="13">
        <f>SUMPRODUCT(($B$5:$B$216=B43)*($M$5:$M$216&lt;M43))+SUMPRODUCT(($B$5:$B$216=B43)*($M$5:$M$216=M43)*(ROW($M$5:$M$216)&lt;ROW(M43)))+1</f>
        <v/>
      </c>
      <c r="AE43" s="13">
        <f>COUNTIF($B$5:$B$216,B43)</f>
        <v/>
      </c>
      <c r="AF43" s="13">
        <f>SUMPRODUCT(($B$5:$B$216=B43)*($C$5:$C$216=C43)*($M$5:$M$216&lt;M43))+SUMPRODUCT(($B$5:$B$216=B43)*($C$5:$C$216=C43)*($M$5:$M$216=M43)*(ROW($M$5:$M$216)&lt;ROW(M43)))+1</f>
        <v/>
      </c>
      <c r="AG43" s="13">
        <f>COUNTIFS($B$5:$B$216,B43,$C$5:$C$216,C43)</f>
        <v/>
      </c>
    </row>
    <row r="44">
      <c r="A44" s="9" t="inlineStr">
        <is>
          <t>E040</t>
        </is>
      </c>
      <c r="B44" s="9" t="inlineStr">
        <is>
          <t>Engineering</t>
        </is>
      </c>
      <c r="C44" s="9" t="inlineStr">
        <is>
          <t>M</t>
        </is>
      </c>
      <c r="D44" s="10" t="n">
        <v>100078.79</v>
      </c>
      <c r="E44" s="10" t="n">
        <v>11500.09</v>
      </c>
      <c r="F44" s="9" t="n">
        <v>10.2</v>
      </c>
      <c r="G44" s="9" t="n">
        <v>6</v>
      </c>
      <c r="H44" s="9" t="n">
        <v>1</v>
      </c>
      <c r="I44" s="9" t="n">
        <v>12</v>
      </c>
      <c r="J44" s="11">
        <f>H44*(I44/12)</f>
        <v/>
      </c>
      <c r="K44" s="12">
        <f>D44/J44</f>
        <v/>
      </c>
      <c r="L44" s="12">
        <f>E44/J44</f>
        <v/>
      </c>
      <c r="M44" s="12">
        <f>K44+L44</f>
        <v/>
      </c>
      <c r="N44" s="12">
        <f>D44+E44</f>
        <v/>
      </c>
      <c r="O44" s="12">
        <f>(SUMIFS($M$5:$M$216,$B$5:$B$216,B44,$AD$5:$AD$216,INT((AE44+1)/2))+SUMIFS($M$5:$M$216,$B$5:$B$216,B44,$AD$5:$AD$216,INT(AE44/2)+1))/2</f>
        <v/>
      </c>
      <c r="P44" s="13">
        <f>IF(AND(C44="F",M44&lt;O44,SUMIFS(Categories!$Z$5:$Z$11,Categories!$A$5:$A$11,B44)=1),1,0)</f>
        <v/>
      </c>
      <c r="Q44" s="12">
        <f>IF(P44=1,O44-M44,0)</f>
        <v/>
      </c>
      <c r="R44" s="11">
        <f>IF(AND(P44=1,SUMIFS(Categories!$AA$5:$AA$11,Categories!$A$5:$A$11,B44)&gt;0),Q44/SUMIFS(Categories!$AA$5:$AA$11,Categories!$A$5:$A$11,B44),0)</f>
        <v/>
      </c>
      <c r="S44" s="12">
        <f>R44*SUMIFS(Categories!$AB$5:$AB$11,Categories!$A$5:$A$11,B44)</f>
        <v/>
      </c>
      <c r="T44" s="12">
        <f>S44*J44</f>
        <v/>
      </c>
      <c r="U44" s="12">
        <f>IF(T44&lt;=0,0,(rate_below/100)*MIN(T44,MAX(0,ceiling-D44))+(rate_above/100)*(T44-MIN(T44,MAX(0,ceiling-D44))))</f>
        <v/>
      </c>
      <c r="V44" s="12">
        <f>T44+U44</f>
        <v/>
      </c>
      <c r="W44" s="13">
        <f>IF(AND(C44="F",M44&lt;O44,SUMIFS(Categories!$AH$5:$AH$11,Categories!$A$5:$A$11,B44)=1),1,0)</f>
        <v/>
      </c>
      <c r="X44" s="12">
        <f>IF(W44=1,O44-M44,0)</f>
        <v/>
      </c>
      <c r="Y44" s="11">
        <f>IF(AND(W44=1,SUMIFS(Categories!$AI$5:$AI$11,Categories!$A$5:$A$11,B44)&gt;0),X44/SUMIFS(Categories!$AI$5:$AI$11,Categories!$A$5:$A$11,B44),0)</f>
        <v/>
      </c>
      <c r="Z44" s="12">
        <f>Y44*SUMIFS(Categories!$AJ$5:$AJ$11,Categories!$A$5:$A$11,B44)</f>
        <v/>
      </c>
      <c r="AA44" s="12">
        <f>Z44*J44</f>
        <v/>
      </c>
      <c r="AB44" s="12">
        <f>IF(AA44&lt;=0,0,(rate_below/100)*MIN(AA44,MAX(0,ceiling-D44))+(rate_above/100)*(AA44-MIN(AA44,MAX(0,ceiling-D44))))</f>
        <v/>
      </c>
      <c r="AC44" s="12">
        <f>AA44+AB44</f>
        <v/>
      </c>
      <c r="AD44" s="13">
        <f>SUMPRODUCT(($B$5:$B$216=B44)*($M$5:$M$216&lt;M44))+SUMPRODUCT(($B$5:$B$216=B44)*($M$5:$M$216=M44)*(ROW($M$5:$M$216)&lt;ROW(M44)))+1</f>
        <v/>
      </c>
      <c r="AE44" s="13">
        <f>COUNTIF($B$5:$B$216,B44)</f>
        <v/>
      </c>
      <c r="AF44" s="13">
        <f>SUMPRODUCT(($B$5:$B$216=B44)*($C$5:$C$216=C44)*($M$5:$M$216&lt;M44))+SUMPRODUCT(($B$5:$B$216=B44)*($C$5:$C$216=C44)*($M$5:$M$216=M44)*(ROW($M$5:$M$216)&lt;ROW(M44)))+1</f>
        <v/>
      </c>
      <c r="AG44" s="13">
        <f>COUNTIFS($B$5:$B$216,B44,$C$5:$C$216,C44)</f>
        <v/>
      </c>
    </row>
    <row r="45">
      <c r="A45" s="9" t="inlineStr">
        <is>
          <t>E041</t>
        </is>
      </c>
      <c r="B45" s="9" t="inlineStr">
        <is>
          <t>Engineering</t>
        </is>
      </c>
      <c r="C45" s="9" t="inlineStr">
        <is>
          <t>M</t>
        </is>
      </c>
      <c r="D45" s="10" t="n">
        <v>64977.74</v>
      </c>
      <c r="E45" s="10" t="n">
        <v>7815.94</v>
      </c>
      <c r="F45" s="9" t="n">
        <v>4.8</v>
      </c>
      <c r="G45" s="9" t="n">
        <v>3</v>
      </c>
      <c r="H45" s="9" t="n">
        <v>1</v>
      </c>
      <c r="I45" s="9" t="n">
        <v>12</v>
      </c>
      <c r="J45" s="11">
        <f>H45*(I45/12)</f>
        <v/>
      </c>
      <c r="K45" s="12">
        <f>D45/J45</f>
        <v/>
      </c>
      <c r="L45" s="12">
        <f>E45/J45</f>
        <v/>
      </c>
      <c r="M45" s="12">
        <f>K45+L45</f>
        <v/>
      </c>
      <c r="N45" s="12">
        <f>D45+E45</f>
        <v/>
      </c>
      <c r="O45" s="12">
        <f>(SUMIFS($M$5:$M$216,$B$5:$B$216,B45,$AD$5:$AD$216,INT((AE45+1)/2))+SUMIFS($M$5:$M$216,$B$5:$B$216,B45,$AD$5:$AD$216,INT(AE45/2)+1))/2</f>
        <v/>
      </c>
      <c r="P45" s="13">
        <f>IF(AND(C45="F",M45&lt;O45,SUMIFS(Categories!$Z$5:$Z$11,Categories!$A$5:$A$11,B45)=1),1,0)</f>
        <v/>
      </c>
      <c r="Q45" s="12">
        <f>IF(P45=1,O45-M45,0)</f>
        <v/>
      </c>
      <c r="R45" s="11">
        <f>IF(AND(P45=1,SUMIFS(Categories!$AA$5:$AA$11,Categories!$A$5:$A$11,B45)&gt;0),Q45/SUMIFS(Categories!$AA$5:$AA$11,Categories!$A$5:$A$11,B45),0)</f>
        <v/>
      </c>
      <c r="S45" s="12">
        <f>R45*SUMIFS(Categories!$AB$5:$AB$11,Categories!$A$5:$A$11,B45)</f>
        <v/>
      </c>
      <c r="T45" s="12">
        <f>S45*J45</f>
        <v/>
      </c>
      <c r="U45" s="12">
        <f>IF(T45&lt;=0,0,(rate_below/100)*MIN(T45,MAX(0,ceiling-D45))+(rate_above/100)*(T45-MIN(T45,MAX(0,ceiling-D45))))</f>
        <v/>
      </c>
      <c r="V45" s="12">
        <f>T45+U45</f>
        <v/>
      </c>
      <c r="W45" s="13">
        <f>IF(AND(C45="F",M45&lt;O45,SUMIFS(Categories!$AH$5:$AH$11,Categories!$A$5:$A$11,B45)=1),1,0)</f>
        <v/>
      </c>
      <c r="X45" s="12">
        <f>IF(W45=1,O45-M45,0)</f>
        <v/>
      </c>
      <c r="Y45" s="11">
        <f>IF(AND(W45=1,SUMIFS(Categories!$AI$5:$AI$11,Categories!$A$5:$A$11,B45)&gt;0),X45/SUMIFS(Categories!$AI$5:$AI$11,Categories!$A$5:$A$11,B45),0)</f>
        <v/>
      </c>
      <c r="Z45" s="12">
        <f>Y45*SUMIFS(Categories!$AJ$5:$AJ$11,Categories!$A$5:$A$11,B45)</f>
        <v/>
      </c>
      <c r="AA45" s="12">
        <f>Z45*J45</f>
        <v/>
      </c>
      <c r="AB45" s="12">
        <f>IF(AA45&lt;=0,0,(rate_below/100)*MIN(AA45,MAX(0,ceiling-D45))+(rate_above/100)*(AA45-MIN(AA45,MAX(0,ceiling-D45))))</f>
        <v/>
      </c>
      <c r="AC45" s="12">
        <f>AA45+AB45</f>
        <v/>
      </c>
      <c r="AD45" s="13">
        <f>SUMPRODUCT(($B$5:$B$216=B45)*($M$5:$M$216&lt;M45))+SUMPRODUCT(($B$5:$B$216=B45)*($M$5:$M$216=M45)*(ROW($M$5:$M$216)&lt;ROW(M45)))+1</f>
        <v/>
      </c>
      <c r="AE45" s="13">
        <f>COUNTIF($B$5:$B$216,B45)</f>
        <v/>
      </c>
      <c r="AF45" s="13">
        <f>SUMPRODUCT(($B$5:$B$216=B45)*($C$5:$C$216=C45)*($M$5:$M$216&lt;M45))+SUMPRODUCT(($B$5:$B$216=B45)*($C$5:$C$216=C45)*($M$5:$M$216=M45)*(ROW($M$5:$M$216)&lt;ROW(M45)))+1</f>
        <v/>
      </c>
      <c r="AG45" s="13">
        <f>COUNTIFS($B$5:$B$216,B45,$C$5:$C$216,C45)</f>
        <v/>
      </c>
    </row>
    <row r="46">
      <c r="A46" s="9" t="inlineStr">
        <is>
          <t>E042</t>
        </is>
      </c>
      <c r="B46" s="9" t="inlineStr">
        <is>
          <t>Engineering</t>
        </is>
      </c>
      <c r="C46" s="9" t="inlineStr">
        <is>
          <t>M</t>
        </is>
      </c>
      <c r="D46" s="10" t="n">
        <v>87312.07000000001</v>
      </c>
      <c r="E46" s="10" t="n">
        <v>8513.42</v>
      </c>
      <c r="F46" s="9" t="n">
        <v>11</v>
      </c>
      <c r="G46" s="9" t="n">
        <v>5</v>
      </c>
      <c r="H46" s="9" t="n">
        <v>1</v>
      </c>
      <c r="I46" s="9" t="n">
        <v>12</v>
      </c>
      <c r="J46" s="11">
        <f>H46*(I46/12)</f>
        <v/>
      </c>
      <c r="K46" s="12">
        <f>D46/J46</f>
        <v/>
      </c>
      <c r="L46" s="12">
        <f>E46/J46</f>
        <v/>
      </c>
      <c r="M46" s="12">
        <f>K46+L46</f>
        <v/>
      </c>
      <c r="N46" s="12">
        <f>D46+E46</f>
        <v/>
      </c>
      <c r="O46" s="12">
        <f>(SUMIFS($M$5:$M$216,$B$5:$B$216,B46,$AD$5:$AD$216,INT((AE46+1)/2))+SUMIFS($M$5:$M$216,$B$5:$B$216,B46,$AD$5:$AD$216,INT(AE46/2)+1))/2</f>
        <v/>
      </c>
      <c r="P46" s="13">
        <f>IF(AND(C46="F",M46&lt;O46,SUMIFS(Categories!$Z$5:$Z$11,Categories!$A$5:$A$11,B46)=1),1,0)</f>
        <v/>
      </c>
      <c r="Q46" s="12">
        <f>IF(P46=1,O46-M46,0)</f>
        <v/>
      </c>
      <c r="R46" s="11">
        <f>IF(AND(P46=1,SUMIFS(Categories!$AA$5:$AA$11,Categories!$A$5:$A$11,B46)&gt;0),Q46/SUMIFS(Categories!$AA$5:$AA$11,Categories!$A$5:$A$11,B46),0)</f>
        <v/>
      </c>
      <c r="S46" s="12">
        <f>R46*SUMIFS(Categories!$AB$5:$AB$11,Categories!$A$5:$A$11,B46)</f>
        <v/>
      </c>
      <c r="T46" s="12">
        <f>S46*J46</f>
        <v/>
      </c>
      <c r="U46" s="12">
        <f>IF(T46&lt;=0,0,(rate_below/100)*MIN(T46,MAX(0,ceiling-D46))+(rate_above/100)*(T46-MIN(T46,MAX(0,ceiling-D46))))</f>
        <v/>
      </c>
      <c r="V46" s="12">
        <f>T46+U46</f>
        <v/>
      </c>
      <c r="W46" s="13">
        <f>IF(AND(C46="F",M46&lt;O46,SUMIFS(Categories!$AH$5:$AH$11,Categories!$A$5:$A$11,B46)=1),1,0)</f>
        <v/>
      </c>
      <c r="X46" s="12">
        <f>IF(W46=1,O46-M46,0)</f>
        <v/>
      </c>
      <c r="Y46" s="11">
        <f>IF(AND(W46=1,SUMIFS(Categories!$AI$5:$AI$11,Categories!$A$5:$A$11,B46)&gt;0),X46/SUMIFS(Categories!$AI$5:$AI$11,Categories!$A$5:$A$11,B46),0)</f>
        <v/>
      </c>
      <c r="Z46" s="12">
        <f>Y46*SUMIFS(Categories!$AJ$5:$AJ$11,Categories!$A$5:$A$11,B46)</f>
        <v/>
      </c>
      <c r="AA46" s="12">
        <f>Z46*J46</f>
        <v/>
      </c>
      <c r="AB46" s="12">
        <f>IF(AA46&lt;=0,0,(rate_below/100)*MIN(AA46,MAX(0,ceiling-D46))+(rate_above/100)*(AA46-MIN(AA46,MAX(0,ceiling-D46))))</f>
        <v/>
      </c>
      <c r="AC46" s="12">
        <f>AA46+AB46</f>
        <v/>
      </c>
      <c r="AD46" s="13">
        <f>SUMPRODUCT(($B$5:$B$216=B46)*($M$5:$M$216&lt;M46))+SUMPRODUCT(($B$5:$B$216=B46)*($M$5:$M$216=M46)*(ROW($M$5:$M$216)&lt;ROW(M46)))+1</f>
        <v/>
      </c>
      <c r="AE46" s="13">
        <f>COUNTIF($B$5:$B$216,B46)</f>
        <v/>
      </c>
      <c r="AF46" s="13">
        <f>SUMPRODUCT(($B$5:$B$216=B46)*($C$5:$C$216=C46)*($M$5:$M$216&lt;M46))+SUMPRODUCT(($B$5:$B$216=B46)*($C$5:$C$216=C46)*($M$5:$M$216=M46)*(ROW($M$5:$M$216)&lt;ROW(M46)))+1</f>
        <v/>
      </c>
      <c r="AG46" s="13">
        <f>COUNTIFS($B$5:$B$216,B46,$C$5:$C$216,C46)</f>
        <v/>
      </c>
    </row>
    <row r="47">
      <c r="A47" s="9" t="inlineStr">
        <is>
          <t>E043</t>
        </is>
      </c>
      <c r="B47" s="9" t="inlineStr">
        <is>
          <t>Engineering</t>
        </is>
      </c>
      <c r="C47" s="9" t="inlineStr">
        <is>
          <t>F</t>
        </is>
      </c>
      <c r="D47" s="10" t="n">
        <v>76375.75</v>
      </c>
      <c r="E47" s="10" t="n">
        <v>7423.21</v>
      </c>
      <c r="F47" s="9" t="n">
        <v>7.2</v>
      </c>
      <c r="G47" s="9" t="n">
        <v>5</v>
      </c>
      <c r="H47" s="9" t="n">
        <v>1</v>
      </c>
      <c r="I47" s="9" t="n">
        <v>12</v>
      </c>
      <c r="J47" s="11">
        <f>H47*(I47/12)</f>
        <v/>
      </c>
      <c r="K47" s="12">
        <f>D47/J47</f>
        <v/>
      </c>
      <c r="L47" s="12">
        <f>E47/J47</f>
        <v/>
      </c>
      <c r="M47" s="12">
        <f>K47+L47</f>
        <v/>
      </c>
      <c r="N47" s="12">
        <f>D47+E47</f>
        <v/>
      </c>
      <c r="O47" s="12">
        <f>(SUMIFS($M$5:$M$216,$B$5:$B$216,B47,$AD$5:$AD$216,INT((AE47+1)/2))+SUMIFS($M$5:$M$216,$B$5:$B$216,B47,$AD$5:$AD$216,INT(AE47/2)+1))/2</f>
        <v/>
      </c>
      <c r="P47" s="13">
        <f>IF(AND(C47="F",M47&lt;O47,SUMIFS(Categories!$Z$5:$Z$11,Categories!$A$5:$A$11,B47)=1),1,0)</f>
        <v/>
      </c>
      <c r="Q47" s="12">
        <f>IF(P47=1,O47-M47,0)</f>
        <v/>
      </c>
      <c r="R47" s="11">
        <f>IF(AND(P47=1,SUMIFS(Categories!$AA$5:$AA$11,Categories!$A$5:$A$11,B47)&gt;0),Q47/SUMIFS(Categories!$AA$5:$AA$11,Categories!$A$5:$A$11,B47),0)</f>
        <v/>
      </c>
      <c r="S47" s="12">
        <f>R47*SUMIFS(Categories!$AB$5:$AB$11,Categories!$A$5:$A$11,B47)</f>
        <v/>
      </c>
      <c r="T47" s="12">
        <f>S47*J47</f>
        <v/>
      </c>
      <c r="U47" s="12">
        <f>IF(T47&lt;=0,0,(rate_below/100)*MIN(T47,MAX(0,ceiling-D47))+(rate_above/100)*(T47-MIN(T47,MAX(0,ceiling-D47))))</f>
        <v/>
      </c>
      <c r="V47" s="12">
        <f>T47+U47</f>
        <v/>
      </c>
      <c r="W47" s="13">
        <f>IF(AND(C47="F",M47&lt;O47,SUMIFS(Categories!$AH$5:$AH$11,Categories!$A$5:$A$11,B47)=1),1,0)</f>
        <v/>
      </c>
      <c r="X47" s="12">
        <f>IF(W47=1,O47-M47,0)</f>
        <v/>
      </c>
      <c r="Y47" s="11">
        <f>IF(AND(W47=1,SUMIFS(Categories!$AI$5:$AI$11,Categories!$A$5:$A$11,B47)&gt;0),X47/SUMIFS(Categories!$AI$5:$AI$11,Categories!$A$5:$A$11,B47),0)</f>
        <v/>
      </c>
      <c r="Z47" s="12">
        <f>Y47*SUMIFS(Categories!$AJ$5:$AJ$11,Categories!$A$5:$A$11,B47)</f>
        <v/>
      </c>
      <c r="AA47" s="12">
        <f>Z47*J47</f>
        <v/>
      </c>
      <c r="AB47" s="12">
        <f>IF(AA47&lt;=0,0,(rate_below/100)*MIN(AA47,MAX(0,ceiling-D47))+(rate_above/100)*(AA47-MIN(AA47,MAX(0,ceiling-D47))))</f>
        <v/>
      </c>
      <c r="AC47" s="12">
        <f>AA47+AB47</f>
        <v/>
      </c>
      <c r="AD47" s="13">
        <f>SUMPRODUCT(($B$5:$B$216=B47)*($M$5:$M$216&lt;M47))+SUMPRODUCT(($B$5:$B$216=B47)*($M$5:$M$216=M47)*(ROW($M$5:$M$216)&lt;ROW(M47)))+1</f>
        <v/>
      </c>
      <c r="AE47" s="13">
        <f>COUNTIF($B$5:$B$216,B47)</f>
        <v/>
      </c>
      <c r="AF47" s="13">
        <f>SUMPRODUCT(($B$5:$B$216=B47)*($C$5:$C$216=C47)*($M$5:$M$216&lt;M47))+SUMPRODUCT(($B$5:$B$216=B47)*($C$5:$C$216=C47)*($M$5:$M$216=M47)*(ROW($M$5:$M$216)&lt;ROW(M47)))+1</f>
        <v/>
      </c>
      <c r="AG47" s="13">
        <f>COUNTIFS($B$5:$B$216,B47,$C$5:$C$216,C47)</f>
        <v/>
      </c>
    </row>
    <row r="48">
      <c r="A48" s="9" t="inlineStr">
        <is>
          <t>E044</t>
        </is>
      </c>
      <c r="B48" s="9" t="inlineStr">
        <is>
          <t>Engineering</t>
        </is>
      </c>
      <c r="C48" s="9" t="inlineStr">
        <is>
          <t>M</t>
        </is>
      </c>
      <c r="D48" s="10" t="n">
        <v>79548.88</v>
      </c>
      <c r="E48" s="10" t="n">
        <v>8743.32</v>
      </c>
      <c r="F48" s="9" t="n">
        <v>7.7</v>
      </c>
      <c r="G48" s="9" t="n">
        <v>4</v>
      </c>
      <c r="H48" s="9" t="n">
        <v>1</v>
      </c>
      <c r="I48" s="9" t="n">
        <v>12</v>
      </c>
      <c r="J48" s="11">
        <f>H48*(I48/12)</f>
        <v/>
      </c>
      <c r="K48" s="12">
        <f>D48/J48</f>
        <v/>
      </c>
      <c r="L48" s="12">
        <f>E48/J48</f>
        <v/>
      </c>
      <c r="M48" s="12">
        <f>K48+L48</f>
        <v/>
      </c>
      <c r="N48" s="12">
        <f>D48+E48</f>
        <v/>
      </c>
      <c r="O48" s="12">
        <f>(SUMIFS($M$5:$M$216,$B$5:$B$216,B48,$AD$5:$AD$216,INT((AE48+1)/2))+SUMIFS($M$5:$M$216,$B$5:$B$216,B48,$AD$5:$AD$216,INT(AE48/2)+1))/2</f>
        <v/>
      </c>
      <c r="P48" s="13">
        <f>IF(AND(C48="F",M48&lt;O48,SUMIFS(Categories!$Z$5:$Z$11,Categories!$A$5:$A$11,B48)=1),1,0)</f>
        <v/>
      </c>
      <c r="Q48" s="12">
        <f>IF(P48=1,O48-M48,0)</f>
        <v/>
      </c>
      <c r="R48" s="11">
        <f>IF(AND(P48=1,SUMIFS(Categories!$AA$5:$AA$11,Categories!$A$5:$A$11,B48)&gt;0),Q48/SUMIFS(Categories!$AA$5:$AA$11,Categories!$A$5:$A$11,B48),0)</f>
        <v/>
      </c>
      <c r="S48" s="12">
        <f>R48*SUMIFS(Categories!$AB$5:$AB$11,Categories!$A$5:$A$11,B48)</f>
        <v/>
      </c>
      <c r="T48" s="12">
        <f>S48*J48</f>
        <v/>
      </c>
      <c r="U48" s="12">
        <f>IF(T48&lt;=0,0,(rate_below/100)*MIN(T48,MAX(0,ceiling-D48))+(rate_above/100)*(T48-MIN(T48,MAX(0,ceiling-D48))))</f>
        <v/>
      </c>
      <c r="V48" s="12">
        <f>T48+U48</f>
        <v/>
      </c>
      <c r="W48" s="13">
        <f>IF(AND(C48="F",M48&lt;O48,SUMIFS(Categories!$AH$5:$AH$11,Categories!$A$5:$A$11,B48)=1),1,0)</f>
        <v/>
      </c>
      <c r="X48" s="12">
        <f>IF(W48=1,O48-M48,0)</f>
        <v/>
      </c>
      <c r="Y48" s="11">
        <f>IF(AND(W48=1,SUMIFS(Categories!$AI$5:$AI$11,Categories!$A$5:$A$11,B48)&gt;0),X48/SUMIFS(Categories!$AI$5:$AI$11,Categories!$A$5:$A$11,B48),0)</f>
        <v/>
      </c>
      <c r="Z48" s="12">
        <f>Y48*SUMIFS(Categories!$AJ$5:$AJ$11,Categories!$A$5:$A$11,B48)</f>
        <v/>
      </c>
      <c r="AA48" s="12">
        <f>Z48*J48</f>
        <v/>
      </c>
      <c r="AB48" s="12">
        <f>IF(AA48&lt;=0,0,(rate_below/100)*MIN(AA48,MAX(0,ceiling-D48))+(rate_above/100)*(AA48-MIN(AA48,MAX(0,ceiling-D48))))</f>
        <v/>
      </c>
      <c r="AC48" s="12">
        <f>AA48+AB48</f>
        <v/>
      </c>
      <c r="AD48" s="13">
        <f>SUMPRODUCT(($B$5:$B$216=B48)*($M$5:$M$216&lt;M48))+SUMPRODUCT(($B$5:$B$216=B48)*($M$5:$M$216=M48)*(ROW($M$5:$M$216)&lt;ROW(M48)))+1</f>
        <v/>
      </c>
      <c r="AE48" s="13">
        <f>COUNTIF($B$5:$B$216,B48)</f>
        <v/>
      </c>
      <c r="AF48" s="13">
        <f>SUMPRODUCT(($B$5:$B$216=B48)*($C$5:$C$216=C48)*($M$5:$M$216&lt;M48))+SUMPRODUCT(($B$5:$B$216=B48)*($C$5:$C$216=C48)*($M$5:$M$216=M48)*(ROW($M$5:$M$216)&lt;ROW(M48)))+1</f>
        <v/>
      </c>
      <c r="AG48" s="13">
        <f>COUNTIFS($B$5:$B$216,B48,$C$5:$C$216,C48)</f>
        <v/>
      </c>
    </row>
    <row r="49">
      <c r="A49" s="9" t="inlineStr">
        <is>
          <t>E045</t>
        </is>
      </c>
      <c r="B49" s="9" t="inlineStr">
        <is>
          <t>Operations</t>
        </is>
      </c>
      <c r="C49" s="9" t="inlineStr">
        <is>
          <t>F</t>
        </is>
      </c>
      <c r="D49" s="10" t="n">
        <v>50156.33</v>
      </c>
      <c r="E49" s="10" t="n">
        <v>3653.95</v>
      </c>
      <c r="F49" s="9" t="n">
        <v>5.1</v>
      </c>
      <c r="G49" s="9" t="n">
        <v>3</v>
      </c>
      <c r="H49" s="9" t="n">
        <v>1</v>
      </c>
      <c r="I49" s="9" t="n">
        <v>12</v>
      </c>
      <c r="J49" s="11">
        <f>H49*(I49/12)</f>
        <v/>
      </c>
      <c r="K49" s="12">
        <f>D49/J49</f>
        <v/>
      </c>
      <c r="L49" s="12">
        <f>E49/J49</f>
        <v/>
      </c>
      <c r="M49" s="12">
        <f>K49+L49</f>
        <v/>
      </c>
      <c r="N49" s="12">
        <f>D49+E49</f>
        <v/>
      </c>
      <c r="O49" s="12">
        <f>(SUMIFS($M$5:$M$216,$B$5:$B$216,B49,$AD$5:$AD$216,INT((AE49+1)/2))+SUMIFS($M$5:$M$216,$B$5:$B$216,B49,$AD$5:$AD$216,INT(AE49/2)+1))/2</f>
        <v/>
      </c>
      <c r="P49" s="13">
        <f>IF(AND(C49="F",M49&lt;O49,SUMIFS(Categories!$Z$5:$Z$11,Categories!$A$5:$A$11,B49)=1),1,0)</f>
        <v/>
      </c>
      <c r="Q49" s="12">
        <f>IF(P49=1,O49-M49,0)</f>
        <v/>
      </c>
      <c r="R49" s="11">
        <f>IF(AND(P49=1,SUMIFS(Categories!$AA$5:$AA$11,Categories!$A$5:$A$11,B49)&gt;0),Q49/SUMIFS(Categories!$AA$5:$AA$11,Categories!$A$5:$A$11,B49),0)</f>
        <v/>
      </c>
      <c r="S49" s="12">
        <f>R49*SUMIFS(Categories!$AB$5:$AB$11,Categories!$A$5:$A$11,B49)</f>
        <v/>
      </c>
      <c r="T49" s="12">
        <f>S49*J49</f>
        <v/>
      </c>
      <c r="U49" s="12">
        <f>IF(T49&lt;=0,0,(rate_below/100)*MIN(T49,MAX(0,ceiling-D49))+(rate_above/100)*(T49-MIN(T49,MAX(0,ceiling-D49))))</f>
        <v/>
      </c>
      <c r="V49" s="12">
        <f>T49+U49</f>
        <v/>
      </c>
      <c r="W49" s="13">
        <f>IF(AND(C49="F",M49&lt;O49,SUMIFS(Categories!$AH$5:$AH$11,Categories!$A$5:$A$11,B49)=1),1,0)</f>
        <v/>
      </c>
      <c r="X49" s="12">
        <f>IF(W49=1,O49-M49,0)</f>
        <v/>
      </c>
      <c r="Y49" s="11">
        <f>IF(AND(W49=1,SUMIFS(Categories!$AI$5:$AI$11,Categories!$A$5:$A$11,B49)&gt;0),X49/SUMIFS(Categories!$AI$5:$AI$11,Categories!$A$5:$A$11,B49),0)</f>
        <v/>
      </c>
      <c r="Z49" s="12">
        <f>Y49*SUMIFS(Categories!$AJ$5:$AJ$11,Categories!$A$5:$A$11,B49)</f>
        <v/>
      </c>
      <c r="AA49" s="12">
        <f>Z49*J49</f>
        <v/>
      </c>
      <c r="AB49" s="12">
        <f>IF(AA49&lt;=0,0,(rate_below/100)*MIN(AA49,MAX(0,ceiling-D49))+(rate_above/100)*(AA49-MIN(AA49,MAX(0,ceiling-D49))))</f>
        <v/>
      </c>
      <c r="AC49" s="12">
        <f>AA49+AB49</f>
        <v/>
      </c>
      <c r="AD49" s="13">
        <f>SUMPRODUCT(($B$5:$B$216=B49)*($M$5:$M$216&lt;M49))+SUMPRODUCT(($B$5:$B$216=B49)*($M$5:$M$216=M49)*(ROW($M$5:$M$216)&lt;ROW(M49)))+1</f>
        <v/>
      </c>
      <c r="AE49" s="13">
        <f>COUNTIF($B$5:$B$216,B49)</f>
        <v/>
      </c>
      <c r="AF49" s="13">
        <f>SUMPRODUCT(($B$5:$B$216=B49)*($C$5:$C$216=C49)*($M$5:$M$216&lt;M49))+SUMPRODUCT(($B$5:$B$216=B49)*($C$5:$C$216=C49)*($M$5:$M$216=M49)*(ROW($M$5:$M$216)&lt;ROW(M49)))+1</f>
        <v/>
      </c>
      <c r="AG49" s="13">
        <f>COUNTIFS($B$5:$B$216,B49,$C$5:$C$216,C49)</f>
        <v/>
      </c>
    </row>
    <row r="50">
      <c r="A50" s="9" t="inlineStr">
        <is>
          <t>E046</t>
        </is>
      </c>
      <c r="B50" s="9" t="inlineStr">
        <is>
          <t>Operations</t>
        </is>
      </c>
      <c r="C50" s="9" t="inlineStr">
        <is>
          <t>M</t>
        </is>
      </c>
      <c r="D50" s="10" t="n">
        <v>57638.34</v>
      </c>
      <c r="E50" s="10" t="n">
        <v>3952.18</v>
      </c>
      <c r="F50" s="9" t="n">
        <v>5.5</v>
      </c>
      <c r="G50" s="9" t="n">
        <v>4</v>
      </c>
      <c r="H50" s="9" t="n">
        <v>1</v>
      </c>
      <c r="I50" s="9" t="n">
        <v>12</v>
      </c>
      <c r="J50" s="11">
        <f>H50*(I50/12)</f>
        <v/>
      </c>
      <c r="K50" s="12">
        <f>D50/J50</f>
        <v/>
      </c>
      <c r="L50" s="12">
        <f>E50/J50</f>
        <v/>
      </c>
      <c r="M50" s="12">
        <f>K50+L50</f>
        <v/>
      </c>
      <c r="N50" s="12">
        <f>D50+E50</f>
        <v/>
      </c>
      <c r="O50" s="12">
        <f>(SUMIFS($M$5:$M$216,$B$5:$B$216,B50,$AD$5:$AD$216,INT((AE50+1)/2))+SUMIFS($M$5:$M$216,$B$5:$B$216,B50,$AD$5:$AD$216,INT(AE50/2)+1))/2</f>
        <v/>
      </c>
      <c r="P50" s="13">
        <f>IF(AND(C50="F",M50&lt;O50,SUMIFS(Categories!$Z$5:$Z$11,Categories!$A$5:$A$11,B50)=1),1,0)</f>
        <v/>
      </c>
      <c r="Q50" s="12">
        <f>IF(P50=1,O50-M50,0)</f>
        <v/>
      </c>
      <c r="R50" s="11">
        <f>IF(AND(P50=1,SUMIFS(Categories!$AA$5:$AA$11,Categories!$A$5:$A$11,B50)&gt;0),Q50/SUMIFS(Categories!$AA$5:$AA$11,Categories!$A$5:$A$11,B50),0)</f>
        <v/>
      </c>
      <c r="S50" s="12">
        <f>R50*SUMIFS(Categories!$AB$5:$AB$11,Categories!$A$5:$A$11,B50)</f>
        <v/>
      </c>
      <c r="T50" s="12">
        <f>S50*J50</f>
        <v/>
      </c>
      <c r="U50" s="12">
        <f>IF(T50&lt;=0,0,(rate_below/100)*MIN(T50,MAX(0,ceiling-D50))+(rate_above/100)*(T50-MIN(T50,MAX(0,ceiling-D50))))</f>
        <v/>
      </c>
      <c r="V50" s="12">
        <f>T50+U50</f>
        <v/>
      </c>
      <c r="W50" s="13">
        <f>IF(AND(C50="F",M50&lt;O50,SUMIFS(Categories!$AH$5:$AH$11,Categories!$A$5:$A$11,B50)=1),1,0)</f>
        <v/>
      </c>
      <c r="X50" s="12">
        <f>IF(W50=1,O50-M50,0)</f>
        <v/>
      </c>
      <c r="Y50" s="11">
        <f>IF(AND(W50=1,SUMIFS(Categories!$AI$5:$AI$11,Categories!$A$5:$A$11,B50)&gt;0),X50/SUMIFS(Categories!$AI$5:$AI$11,Categories!$A$5:$A$11,B50),0)</f>
        <v/>
      </c>
      <c r="Z50" s="12">
        <f>Y50*SUMIFS(Categories!$AJ$5:$AJ$11,Categories!$A$5:$A$11,B50)</f>
        <v/>
      </c>
      <c r="AA50" s="12">
        <f>Z50*J50</f>
        <v/>
      </c>
      <c r="AB50" s="12">
        <f>IF(AA50&lt;=0,0,(rate_below/100)*MIN(AA50,MAX(0,ceiling-D50))+(rate_above/100)*(AA50-MIN(AA50,MAX(0,ceiling-D50))))</f>
        <v/>
      </c>
      <c r="AC50" s="12">
        <f>AA50+AB50</f>
        <v/>
      </c>
      <c r="AD50" s="13">
        <f>SUMPRODUCT(($B$5:$B$216=B50)*($M$5:$M$216&lt;M50))+SUMPRODUCT(($B$5:$B$216=B50)*($M$5:$M$216=M50)*(ROW($M$5:$M$216)&lt;ROW(M50)))+1</f>
        <v/>
      </c>
      <c r="AE50" s="13">
        <f>COUNTIF($B$5:$B$216,B50)</f>
        <v/>
      </c>
      <c r="AF50" s="13">
        <f>SUMPRODUCT(($B$5:$B$216=B50)*($C$5:$C$216=C50)*($M$5:$M$216&lt;M50))+SUMPRODUCT(($B$5:$B$216=B50)*($C$5:$C$216=C50)*($M$5:$M$216=M50)*(ROW($M$5:$M$216)&lt;ROW(M50)))+1</f>
        <v/>
      </c>
      <c r="AG50" s="13">
        <f>COUNTIFS($B$5:$B$216,B50,$C$5:$C$216,C50)</f>
        <v/>
      </c>
    </row>
    <row r="51">
      <c r="A51" s="9" t="inlineStr">
        <is>
          <t>E047</t>
        </is>
      </c>
      <c r="B51" s="9" t="inlineStr">
        <is>
          <t>Operations</t>
        </is>
      </c>
      <c r="C51" s="9" t="inlineStr">
        <is>
          <t>M</t>
        </is>
      </c>
      <c r="D51" s="10" t="n">
        <v>31314.55</v>
      </c>
      <c r="E51" s="10" t="n">
        <v>2259.82</v>
      </c>
      <c r="F51" s="9" t="n">
        <v>5.6</v>
      </c>
      <c r="G51" s="9" t="n">
        <v>3</v>
      </c>
      <c r="H51" s="9" t="n">
        <v>0.6</v>
      </c>
      <c r="I51" s="9" t="n">
        <v>12</v>
      </c>
      <c r="J51" s="11">
        <f>H51*(I51/12)</f>
        <v/>
      </c>
      <c r="K51" s="12">
        <f>D51/J51</f>
        <v/>
      </c>
      <c r="L51" s="12">
        <f>E51/J51</f>
        <v/>
      </c>
      <c r="M51" s="12">
        <f>K51+L51</f>
        <v/>
      </c>
      <c r="N51" s="12">
        <f>D51+E51</f>
        <v/>
      </c>
      <c r="O51" s="12">
        <f>(SUMIFS($M$5:$M$216,$B$5:$B$216,B51,$AD$5:$AD$216,INT((AE51+1)/2))+SUMIFS($M$5:$M$216,$B$5:$B$216,B51,$AD$5:$AD$216,INT(AE51/2)+1))/2</f>
        <v/>
      </c>
      <c r="P51" s="13">
        <f>IF(AND(C51="F",M51&lt;O51,SUMIFS(Categories!$Z$5:$Z$11,Categories!$A$5:$A$11,B51)=1),1,0)</f>
        <v/>
      </c>
      <c r="Q51" s="12">
        <f>IF(P51=1,O51-M51,0)</f>
        <v/>
      </c>
      <c r="R51" s="11">
        <f>IF(AND(P51=1,SUMIFS(Categories!$AA$5:$AA$11,Categories!$A$5:$A$11,B51)&gt;0),Q51/SUMIFS(Categories!$AA$5:$AA$11,Categories!$A$5:$A$11,B51),0)</f>
        <v/>
      </c>
      <c r="S51" s="12">
        <f>R51*SUMIFS(Categories!$AB$5:$AB$11,Categories!$A$5:$A$11,B51)</f>
        <v/>
      </c>
      <c r="T51" s="12">
        <f>S51*J51</f>
        <v/>
      </c>
      <c r="U51" s="12">
        <f>IF(T51&lt;=0,0,(rate_below/100)*MIN(T51,MAX(0,ceiling-D51))+(rate_above/100)*(T51-MIN(T51,MAX(0,ceiling-D51))))</f>
        <v/>
      </c>
      <c r="V51" s="12">
        <f>T51+U51</f>
        <v/>
      </c>
      <c r="W51" s="13">
        <f>IF(AND(C51="F",M51&lt;O51,SUMIFS(Categories!$AH$5:$AH$11,Categories!$A$5:$A$11,B51)=1),1,0)</f>
        <v/>
      </c>
      <c r="X51" s="12">
        <f>IF(W51=1,O51-M51,0)</f>
        <v/>
      </c>
      <c r="Y51" s="11">
        <f>IF(AND(W51=1,SUMIFS(Categories!$AI$5:$AI$11,Categories!$A$5:$A$11,B51)&gt;0),X51/SUMIFS(Categories!$AI$5:$AI$11,Categories!$A$5:$A$11,B51),0)</f>
        <v/>
      </c>
      <c r="Z51" s="12">
        <f>Y51*SUMIFS(Categories!$AJ$5:$AJ$11,Categories!$A$5:$A$11,B51)</f>
        <v/>
      </c>
      <c r="AA51" s="12">
        <f>Z51*J51</f>
        <v/>
      </c>
      <c r="AB51" s="12">
        <f>IF(AA51&lt;=0,0,(rate_below/100)*MIN(AA51,MAX(0,ceiling-D51))+(rate_above/100)*(AA51-MIN(AA51,MAX(0,ceiling-D51))))</f>
        <v/>
      </c>
      <c r="AC51" s="12">
        <f>AA51+AB51</f>
        <v/>
      </c>
      <c r="AD51" s="13">
        <f>SUMPRODUCT(($B$5:$B$216=B51)*($M$5:$M$216&lt;M51))+SUMPRODUCT(($B$5:$B$216=B51)*($M$5:$M$216=M51)*(ROW($M$5:$M$216)&lt;ROW(M51)))+1</f>
        <v/>
      </c>
      <c r="AE51" s="13">
        <f>COUNTIF($B$5:$B$216,B51)</f>
        <v/>
      </c>
      <c r="AF51" s="13">
        <f>SUMPRODUCT(($B$5:$B$216=B51)*($C$5:$C$216=C51)*($M$5:$M$216&lt;M51))+SUMPRODUCT(($B$5:$B$216=B51)*($C$5:$C$216=C51)*($M$5:$M$216=M51)*(ROW($M$5:$M$216)&lt;ROW(M51)))+1</f>
        <v/>
      </c>
      <c r="AG51" s="13">
        <f>COUNTIFS($B$5:$B$216,B51,$C$5:$C$216,C51)</f>
        <v/>
      </c>
    </row>
    <row r="52">
      <c r="A52" s="9" t="inlineStr">
        <is>
          <t>E048</t>
        </is>
      </c>
      <c r="B52" s="9" t="inlineStr">
        <is>
          <t>Operations</t>
        </is>
      </c>
      <c r="C52" s="9" t="inlineStr">
        <is>
          <t>M</t>
        </is>
      </c>
      <c r="D52" s="10" t="n">
        <v>60911.89</v>
      </c>
      <c r="E52" s="10" t="n">
        <v>3773.49</v>
      </c>
      <c r="F52" s="9" t="n">
        <v>9.699999999999999</v>
      </c>
      <c r="G52" s="9" t="n">
        <v>4</v>
      </c>
      <c r="H52" s="9" t="n">
        <v>1</v>
      </c>
      <c r="I52" s="9" t="n">
        <v>12</v>
      </c>
      <c r="J52" s="11">
        <f>H52*(I52/12)</f>
        <v/>
      </c>
      <c r="K52" s="12">
        <f>D52/J52</f>
        <v/>
      </c>
      <c r="L52" s="12">
        <f>E52/J52</f>
        <v/>
      </c>
      <c r="M52" s="12">
        <f>K52+L52</f>
        <v/>
      </c>
      <c r="N52" s="12">
        <f>D52+E52</f>
        <v/>
      </c>
      <c r="O52" s="12">
        <f>(SUMIFS($M$5:$M$216,$B$5:$B$216,B52,$AD$5:$AD$216,INT((AE52+1)/2))+SUMIFS($M$5:$M$216,$B$5:$B$216,B52,$AD$5:$AD$216,INT(AE52/2)+1))/2</f>
        <v/>
      </c>
      <c r="P52" s="13">
        <f>IF(AND(C52="F",M52&lt;O52,SUMIFS(Categories!$Z$5:$Z$11,Categories!$A$5:$A$11,B52)=1),1,0)</f>
        <v/>
      </c>
      <c r="Q52" s="12">
        <f>IF(P52=1,O52-M52,0)</f>
        <v/>
      </c>
      <c r="R52" s="11">
        <f>IF(AND(P52=1,SUMIFS(Categories!$AA$5:$AA$11,Categories!$A$5:$A$11,B52)&gt;0),Q52/SUMIFS(Categories!$AA$5:$AA$11,Categories!$A$5:$A$11,B52),0)</f>
        <v/>
      </c>
      <c r="S52" s="12">
        <f>R52*SUMIFS(Categories!$AB$5:$AB$11,Categories!$A$5:$A$11,B52)</f>
        <v/>
      </c>
      <c r="T52" s="12">
        <f>S52*J52</f>
        <v/>
      </c>
      <c r="U52" s="12">
        <f>IF(T52&lt;=0,0,(rate_below/100)*MIN(T52,MAX(0,ceiling-D52))+(rate_above/100)*(T52-MIN(T52,MAX(0,ceiling-D52))))</f>
        <v/>
      </c>
      <c r="V52" s="12">
        <f>T52+U52</f>
        <v/>
      </c>
      <c r="W52" s="13">
        <f>IF(AND(C52="F",M52&lt;O52,SUMIFS(Categories!$AH$5:$AH$11,Categories!$A$5:$A$11,B52)=1),1,0)</f>
        <v/>
      </c>
      <c r="X52" s="12">
        <f>IF(W52=1,O52-M52,0)</f>
        <v/>
      </c>
      <c r="Y52" s="11">
        <f>IF(AND(W52=1,SUMIFS(Categories!$AI$5:$AI$11,Categories!$A$5:$A$11,B52)&gt;0),X52/SUMIFS(Categories!$AI$5:$AI$11,Categories!$A$5:$A$11,B52),0)</f>
        <v/>
      </c>
      <c r="Z52" s="12">
        <f>Y52*SUMIFS(Categories!$AJ$5:$AJ$11,Categories!$A$5:$A$11,B52)</f>
        <v/>
      </c>
      <c r="AA52" s="12">
        <f>Z52*J52</f>
        <v/>
      </c>
      <c r="AB52" s="12">
        <f>IF(AA52&lt;=0,0,(rate_below/100)*MIN(AA52,MAX(0,ceiling-D52))+(rate_above/100)*(AA52-MIN(AA52,MAX(0,ceiling-D52))))</f>
        <v/>
      </c>
      <c r="AC52" s="12">
        <f>AA52+AB52</f>
        <v/>
      </c>
      <c r="AD52" s="13">
        <f>SUMPRODUCT(($B$5:$B$216=B52)*($M$5:$M$216&lt;M52))+SUMPRODUCT(($B$5:$B$216=B52)*($M$5:$M$216=M52)*(ROW($M$5:$M$216)&lt;ROW(M52)))+1</f>
        <v/>
      </c>
      <c r="AE52" s="13">
        <f>COUNTIF($B$5:$B$216,B52)</f>
        <v/>
      </c>
      <c r="AF52" s="13">
        <f>SUMPRODUCT(($B$5:$B$216=B52)*($C$5:$C$216=C52)*($M$5:$M$216&lt;M52))+SUMPRODUCT(($B$5:$B$216=B52)*($C$5:$C$216=C52)*($M$5:$M$216=M52)*(ROW($M$5:$M$216)&lt;ROW(M52)))+1</f>
        <v/>
      </c>
      <c r="AG52" s="13">
        <f>COUNTIFS($B$5:$B$216,B52,$C$5:$C$216,C52)</f>
        <v/>
      </c>
    </row>
    <row r="53">
      <c r="A53" s="9" t="inlineStr">
        <is>
          <t>E049</t>
        </is>
      </c>
      <c r="B53" s="9" t="inlineStr">
        <is>
          <t>Operations</t>
        </is>
      </c>
      <c r="C53" s="9" t="inlineStr">
        <is>
          <t>M</t>
        </is>
      </c>
      <c r="D53" s="10" t="n">
        <v>71085.13</v>
      </c>
      <c r="E53" s="10" t="n">
        <v>6066</v>
      </c>
      <c r="F53" s="9" t="n">
        <v>9.9</v>
      </c>
      <c r="G53" s="9" t="n">
        <v>5</v>
      </c>
      <c r="H53" s="9" t="n">
        <v>1</v>
      </c>
      <c r="I53" s="9" t="n">
        <v>12</v>
      </c>
      <c r="J53" s="11">
        <f>H53*(I53/12)</f>
        <v/>
      </c>
      <c r="K53" s="12">
        <f>D53/J53</f>
        <v/>
      </c>
      <c r="L53" s="12">
        <f>E53/J53</f>
        <v/>
      </c>
      <c r="M53" s="12">
        <f>K53+L53</f>
        <v/>
      </c>
      <c r="N53" s="12">
        <f>D53+E53</f>
        <v/>
      </c>
      <c r="O53" s="12">
        <f>(SUMIFS($M$5:$M$216,$B$5:$B$216,B53,$AD$5:$AD$216,INT((AE53+1)/2))+SUMIFS($M$5:$M$216,$B$5:$B$216,B53,$AD$5:$AD$216,INT(AE53/2)+1))/2</f>
        <v/>
      </c>
      <c r="P53" s="13">
        <f>IF(AND(C53="F",M53&lt;O53,SUMIFS(Categories!$Z$5:$Z$11,Categories!$A$5:$A$11,B53)=1),1,0)</f>
        <v/>
      </c>
      <c r="Q53" s="12">
        <f>IF(P53=1,O53-M53,0)</f>
        <v/>
      </c>
      <c r="R53" s="11">
        <f>IF(AND(P53=1,SUMIFS(Categories!$AA$5:$AA$11,Categories!$A$5:$A$11,B53)&gt;0),Q53/SUMIFS(Categories!$AA$5:$AA$11,Categories!$A$5:$A$11,B53),0)</f>
        <v/>
      </c>
      <c r="S53" s="12">
        <f>R53*SUMIFS(Categories!$AB$5:$AB$11,Categories!$A$5:$A$11,B53)</f>
        <v/>
      </c>
      <c r="T53" s="12">
        <f>S53*J53</f>
        <v/>
      </c>
      <c r="U53" s="12">
        <f>IF(T53&lt;=0,0,(rate_below/100)*MIN(T53,MAX(0,ceiling-D53))+(rate_above/100)*(T53-MIN(T53,MAX(0,ceiling-D53))))</f>
        <v/>
      </c>
      <c r="V53" s="12">
        <f>T53+U53</f>
        <v/>
      </c>
      <c r="W53" s="13">
        <f>IF(AND(C53="F",M53&lt;O53,SUMIFS(Categories!$AH$5:$AH$11,Categories!$A$5:$A$11,B53)=1),1,0)</f>
        <v/>
      </c>
      <c r="X53" s="12">
        <f>IF(W53=1,O53-M53,0)</f>
        <v/>
      </c>
      <c r="Y53" s="11">
        <f>IF(AND(W53=1,SUMIFS(Categories!$AI$5:$AI$11,Categories!$A$5:$A$11,B53)&gt;0),X53/SUMIFS(Categories!$AI$5:$AI$11,Categories!$A$5:$A$11,B53),0)</f>
        <v/>
      </c>
      <c r="Z53" s="12">
        <f>Y53*SUMIFS(Categories!$AJ$5:$AJ$11,Categories!$A$5:$A$11,B53)</f>
        <v/>
      </c>
      <c r="AA53" s="12">
        <f>Z53*J53</f>
        <v/>
      </c>
      <c r="AB53" s="12">
        <f>IF(AA53&lt;=0,0,(rate_below/100)*MIN(AA53,MAX(0,ceiling-D53))+(rate_above/100)*(AA53-MIN(AA53,MAX(0,ceiling-D53))))</f>
        <v/>
      </c>
      <c r="AC53" s="12">
        <f>AA53+AB53</f>
        <v/>
      </c>
      <c r="AD53" s="13">
        <f>SUMPRODUCT(($B$5:$B$216=B53)*($M$5:$M$216&lt;M53))+SUMPRODUCT(($B$5:$B$216=B53)*($M$5:$M$216=M53)*(ROW($M$5:$M$216)&lt;ROW(M53)))+1</f>
        <v/>
      </c>
      <c r="AE53" s="13">
        <f>COUNTIF($B$5:$B$216,B53)</f>
        <v/>
      </c>
      <c r="AF53" s="13">
        <f>SUMPRODUCT(($B$5:$B$216=B53)*($C$5:$C$216=C53)*($M$5:$M$216&lt;M53))+SUMPRODUCT(($B$5:$B$216=B53)*($C$5:$C$216=C53)*($M$5:$M$216=M53)*(ROW($M$5:$M$216)&lt;ROW(M53)))+1</f>
        <v/>
      </c>
      <c r="AG53" s="13">
        <f>COUNTIFS($B$5:$B$216,B53,$C$5:$C$216,C53)</f>
        <v/>
      </c>
    </row>
    <row r="54">
      <c r="A54" s="9" t="inlineStr">
        <is>
          <t>E050</t>
        </is>
      </c>
      <c r="B54" s="9" t="inlineStr">
        <is>
          <t>Operations</t>
        </is>
      </c>
      <c r="C54" s="9" t="inlineStr">
        <is>
          <t>M</t>
        </is>
      </c>
      <c r="D54" s="10" t="n">
        <v>45606.86</v>
      </c>
      <c r="E54" s="10" t="n">
        <v>2794.31</v>
      </c>
      <c r="F54" s="9" t="n">
        <v>4</v>
      </c>
      <c r="G54" s="9" t="n">
        <v>2</v>
      </c>
      <c r="H54" s="9" t="n">
        <v>1</v>
      </c>
      <c r="I54" s="9" t="n">
        <v>12</v>
      </c>
      <c r="J54" s="11">
        <f>H54*(I54/12)</f>
        <v/>
      </c>
      <c r="K54" s="12">
        <f>D54/J54</f>
        <v/>
      </c>
      <c r="L54" s="12">
        <f>E54/J54</f>
        <v/>
      </c>
      <c r="M54" s="12">
        <f>K54+L54</f>
        <v/>
      </c>
      <c r="N54" s="12">
        <f>D54+E54</f>
        <v/>
      </c>
      <c r="O54" s="12">
        <f>(SUMIFS($M$5:$M$216,$B$5:$B$216,B54,$AD$5:$AD$216,INT((AE54+1)/2))+SUMIFS($M$5:$M$216,$B$5:$B$216,B54,$AD$5:$AD$216,INT(AE54/2)+1))/2</f>
        <v/>
      </c>
      <c r="P54" s="13">
        <f>IF(AND(C54="F",M54&lt;O54,SUMIFS(Categories!$Z$5:$Z$11,Categories!$A$5:$A$11,B54)=1),1,0)</f>
        <v/>
      </c>
      <c r="Q54" s="12">
        <f>IF(P54=1,O54-M54,0)</f>
        <v/>
      </c>
      <c r="R54" s="11">
        <f>IF(AND(P54=1,SUMIFS(Categories!$AA$5:$AA$11,Categories!$A$5:$A$11,B54)&gt;0),Q54/SUMIFS(Categories!$AA$5:$AA$11,Categories!$A$5:$A$11,B54),0)</f>
        <v/>
      </c>
      <c r="S54" s="12">
        <f>R54*SUMIFS(Categories!$AB$5:$AB$11,Categories!$A$5:$A$11,B54)</f>
        <v/>
      </c>
      <c r="T54" s="12">
        <f>S54*J54</f>
        <v/>
      </c>
      <c r="U54" s="12">
        <f>IF(T54&lt;=0,0,(rate_below/100)*MIN(T54,MAX(0,ceiling-D54))+(rate_above/100)*(T54-MIN(T54,MAX(0,ceiling-D54))))</f>
        <v/>
      </c>
      <c r="V54" s="12">
        <f>T54+U54</f>
        <v/>
      </c>
      <c r="W54" s="13">
        <f>IF(AND(C54="F",M54&lt;O54,SUMIFS(Categories!$AH$5:$AH$11,Categories!$A$5:$A$11,B54)=1),1,0)</f>
        <v/>
      </c>
      <c r="X54" s="12">
        <f>IF(W54=1,O54-M54,0)</f>
        <v/>
      </c>
      <c r="Y54" s="11">
        <f>IF(AND(W54=1,SUMIFS(Categories!$AI$5:$AI$11,Categories!$A$5:$A$11,B54)&gt;0),X54/SUMIFS(Categories!$AI$5:$AI$11,Categories!$A$5:$A$11,B54),0)</f>
        <v/>
      </c>
      <c r="Z54" s="12">
        <f>Y54*SUMIFS(Categories!$AJ$5:$AJ$11,Categories!$A$5:$A$11,B54)</f>
        <v/>
      </c>
      <c r="AA54" s="12">
        <f>Z54*J54</f>
        <v/>
      </c>
      <c r="AB54" s="12">
        <f>IF(AA54&lt;=0,0,(rate_below/100)*MIN(AA54,MAX(0,ceiling-D54))+(rate_above/100)*(AA54-MIN(AA54,MAX(0,ceiling-D54))))</f>
        <v/>
      </c>
      <c r="AC54" s="12">
        <f>AA54+AB54</f>
        <v/>
      </c>
      <c r="AD54" s="13">
        <f>SUMPRODUCT(($B$5:$B$216=B54)*($M$5:$M$216&lt;M54))+SUMPRODUCT(($B$5:$B$216=B54)*($M$5:$M$216=M54)*(ROW($M$5:$M$216)&lt;ROW(M54)))+1</f>
        <v/>
      </c>
      <c r="AE54" s="13">
        <f>COUNTIF($B$5:$B$216,B54)</f>
        <v/>
      </c>
      <c r="AF54" s="13">
        <f>SUMPRODUCT(($B$5:$B$216=B54)*($C$5:$C$216=C54)*($M$5:$M$216&lt;M54))+SUMPRODUCT(($B$5:$B$216=B54)*($C$5:$C$216=C54)*($M$5:$M$216=M54)*(ROW($M$5:$M$216)&lt;ROW(M54)))+1</f>
        <v/>
      </c>
      <c r="AG54" s="13">
        <f>COUNTIFS($B$5:$B$216,B54,$C$5:$C$216,C54)</f>
        <v/>
      </c>
    </row>
    <row r="55">
      <c r="A55" s="9" t="inlineStr">
        <is>
          <t>E051</t>
        </is>
      </c>
      <c r="B55" s="9" t="inlineStr">
        <is>
          <t>Operations</t>
        </is>
      </c>
      <c r="C55" s="9" t="inlineStr">
        <is>
          <t>M</t>
        </is>
      </c>
      <c r="D55" s="10" t="n">
        <v>44771.96</v>
      </c>
      <c r="E55" s="10" t="n">
        <v>3003.78</v>
      </c>
      <c r="F55" s="9" t="n">
        <v>6.6</v>
      </c>
      <c r="G55" s="9" t="n">
        <v>2</v>
      </c>
      <c r="H55" s="9" t="n">
        <v>1</v>
      </c>
      <c r="I55" s="9" t="n">
        <v>12</v>
      </c>
      <c r="J55" s="11">
        <f>H55*(I55/12)</f>
        <v/>
      </c>
      <c r="K55" s="12">
        <f>D55/J55</f>
        <v/>
      </c>
      <c r="L55" s="12">
        <f>E55/J55</f>
        <v/>
      </c>
      <c r="M55" s="12">
        <f>K55+L55</f>
        <v/>
      </c>
      <c r="N55" s="12">
        <f>D55+E55</f>
        <v/>
      </c>
      <c r="O55" s="12">
        <f>(SUMIFS($M$5:$M$216,$B$5:$B$216,B55,$AD$5:$AD$216,INT((AE55+1)/2))+SUMIFS($M$5:$M$216,$B$5:$B$216,B55,$AD$5:$AD$216,INT(AE55/2)+1))/2</f>
        <v/>
      </c>
      <c r="P55" s="13">
        <f>IF(AND(C55="F",M55&lt;O55,SUMIFS(Categories!$Z$5:$Z$11,Categories!$A$5:$A$11,B55)=1),1,0)</f>
        <v/>
      </c>
      <c r="Q55" s="12">
        <f>IF(P55=1,O55-M55,0)</f>
        <v/>
      </c>
      <c r="R55" s="11">
        <f>IF(AND(P55=1,SUMIFS(Categories!$AA$5:$AA$11,Categories!$A$5:$A$11,B55)&gt;0),Q55/SUMIFS(Categories!$AA$5:$AA$11,Categories!$A$5:$A$11,B55),0)</f>
        <v/>
      </c>
      <c r="S55" s="12">
        <f>R55*SUMIFS(Categories!$AB$5:$AB$11,Categories!$A$5:$A$11,B55)</f>
        <v/>
      </c>
      <c r="T55" s="12">
        <f>S55*J55</f>
        <v/>
      </c>
      <c r="U55" s="12">
        <f>IF(T55&lt;=0,0,(rate_below/100)*MIN(T55,MAX(0,ceiling-D55))+(rate_above/100)*(T55-MIN(T55,MAX(0,ceiling-D55))))</f>
        <v/>
      </c>
      <c r="V55" s="12">
        <f>T55+U55</f>
        <v/>
      </c>
      <c r="W55" s="13">
        <f>IF(AND(C55="F",M55&lt;O55,SUMIFS(Categories!$AH$5:$AH$11,Categories!$A$5:$A$11,B55)=1),1,0)</f>
        <v/>
      </c>
      <c r="X55" s="12">
        <f>IF(W55=1,O55-M55,0)</f>
        <v/>
      </c>
      <c r="Y55" s="11">
        <f>IF(AND(W55=1,SUMIFS(Categories!$AI$5:$AI$11,Categories!$A$5:$A$11,B55)&gt;0),X55/SUMIFS(Categories!$AI$5:$AI$11,Categories!$A$5:$A$11,B55),0)</f>
        <v/>
      </c>
      <c r="Z55" s="12">
        <f>Y55*SUMIFS(Categories!$AJ$5:$AJ$11,Categories!$A$5:$A$11,B55)</f>
        <v/>
      </c>
      <c r="AA55" s="12">
        <f>Z55*J55</f>
        <v/>
      </c>
      <c r="AB55" s="12">
        <f>IF(AA55&lt;=0,0,(rate_below/100)*MIN(AA55,MAX(0,ceiling-D55))+(rate_above/100)*(AA55-MIN(AA55,MAX(0,ceiling-D55))))</f>
        <v/>
      </c>
      <c r="AC55" s="12">
        <f>AA55+AB55</f>
        <v/>
      </c>
      <c r="AD55" s="13">
        <f>SUMPRODUCT(($B$5:$B$216=B55)*($M$5:$M$216&lt;M55))+SUMPRODUCT(($B$5:$B$216=B55)*($M$5:$M$216=M55)*(ROW($M$5:$M$216)&lt;ROW(M55)))+1</f>
        <v/>
      </c>
      <c r="AE55" s="13">
        <f>COUNTIF($B$5:$B$216,B55)</f>
        <v/>
      </c>
      <c r="AF55" s="13">
        <f>SUMPRODUCT(($B$5:$B$216=B55)*($C$5:$C$216=C55)*($M$5:$M$216&lt;M55))+SUMPRODUCT(($B$5:$B$216=B55)*($C$5:$C$216=C55)*($M$5:$M$216=M55)*(ROW($M$5:$M$216)&lt;ROW(M55)))+1</f>
        <v/>
      </c>
      <c r="AG55" s="13">
        <f>COUNTIFS($B$5:$B$216,B55,$C$5:$C$216,C55)</f>
        <v/>
      </c>
    </row>
    <row r="56">
      <c r="A56" s="9" t="inlineStr">
        <is>
          <t>E052</t>
        </is>
      </c>
      <c r="B56" s="9" t="inlineStr">
        <is>
          <t>Operations</t>
        </is>
      </c>
      <c r="C56" s="9" t="inlineStr">
        <is>
          <t>M</t>
        </is>
      </c>
      <c r="D56" s="10" t="n">
        <v>44584.29</v>
      </c>
      <c r="E56" s="10" t="n">
        <v>2919.49</v>
      </c>
      <c r="F56" s="9" t="n">
        <v>5.3</v>
      </c>
      <c r="G56" s="9" t="n">
        <v>3</v>
      </c>
      <c r="H56" s="9" t="n">
        <v>1</v>
      </c>
      <c r="I56" s="9" t="n">
        <v>10</v>
      </c>
      <c r="J56" s="11">
        <f>H56*(I56/12)</f>
        <v/>
      </c>
      <c r="K56" s="12">
        <f>D56/J56</f>
        <v/>
      </c>
      <c r="L56" s="12">
        <f>E56/J56</f>
        <v/>
      </c>
      <c r="M56" s="12">
        <f>K56+L56</f>
        <v/>
      </c>
      <c r="N56" s="12">
        <f>D56+E56</f>
        <v/>
      </c>
      <c r="O56" s="12">
        <f>(SUMIFS($M$5:$M$216,$B$5:$B$216,B56,$AD$5:$AD$216,INT((AE56+1)/2))+SUMIFS($M$5:$M$216,$B$5:$B$216,B56,$AD$5:$AD$216,INT(AE56/2)+1))/2</f>
        <v/>
      </c>
      <c r="P56" s="13">
        <f>IF(AND(C56="F",M56&lt;O56,SUMIFS(Categories!$Z$5:$Z$11,Categories!$A$5:$A$11,B56)=1),1,0)</f>
        <v/>
      </c>
      <c r="Q56" s="12">
        <f>IF(P56=1,O56-M56,0)</f>
        <v/>
      </c>
      <c r="R56" s="11">
        <f>IF(AND(P56=1,SUMIFS(Categories!$AA$5:$AA$11,Categories!$A$5:$A$11,B56)&gt;0),Q56/SUMIFS(Categories!$AA$5:$AA$11,Categories!$A$5:$A$11,B56),0)</f>
        <v/>
      </c>
      <c r="S56" s="12">
        <f>R56*SUMIFS(Categories!$AB$5:$AB$11,Categories!$A$5:$A$11,B56)</f>
        <v/>
      </c>
      <c r="T56" s="12">
        <f>S56*J56</f>
        <v/>
      </c>
      <c r="U56" s="12">
        <f>IF(T56&lt;=0,0,(rate_below/100)*MIN(T56,MAX(0,ceiling-D56))+(rate_above/100)*(T56-MIN(T56,MAX(0,ceiling-D56))))</f>
        <v/>
      </c>
      <c r="V56" s="12">
        <f>T56+U56</f>
        <v/>
      </c>
      <c r="W56" s="13">
        <f>IF(AND(C56="F",M56&lt;O56,SUMIFS(Categories!$AH$5:$AH$11,Categories!$A$5:$A$11,B56)=1),1,0)</f>
        <v/>
      </c>
      <c r="X56" s="12">
        <f>IF(W56=1,O56-M56,0)</f>
        <v/>
      </c>
      <c r="Y56" s="11">
        <f>IF(AND(W56=1,SUMIFS(Categories!$AI$5:$AI$11,Categories!$A$5:$A$11,B56)&gt;0),X56/SUMIFS(Categories!$AI$5:$AI$11,Categories!$A$5:$A$11,B56),0)</f>
        <v/>
      </c>
      <c r="Z56" s="12">
        <f>Y56*SUMIFS(Categories!$AJ$5:$AJ$11,Categories!$A$5:$A$11,B56)</f>
        <v/>
      </c>
      <c r="AA56" s="12">
        <f>Z56*J56</f>
        <v/>
      </c>
      <c r="AB56" s="12">
        <f>IF(AA56&lt;=0,0,(rate_below/100)*MIN(AA56,MAX(0,ceiling-D56))+(rate_above/100)*(AA56-MIN(AA56,MAX(0,ceiling-D56))))</f>
        <v/>
      </c>
      <c r="AC56" s="12">
        <f>AA56+AB56</f>
        <v/>
      </c>
      <c r="AD56" s="13">
        <f>SUMPRODUCT(($B$5:$B$216=B56)*($M$5:$M$216&lt;M56))+SUMPRODUCT(($B$5:$B$216=B56)*($M$5:$M$216=M56)*(ROW($M$5:$M$216)&lt;ROW(M56)))+1</f>
        <v/>
      </c>
      <c r="AE56" s="13">
        <f>COUNTIF($B$5:$B$216,B56)</f>
        <v/>
      </c>
      <c r="AF56" s="13">
        <f>SUMPRODUCT(($B$5:$B$216=B56)*($C$5:$C$216=C56)*($M$5:$M$216&lt;M56))+SUMPRODUCT(($B$5:$B$216=B56)*($C$5:$C$216=C56)*($M$5:$M$216=M56)*(ROW($M$5:$M$216)&lt;ROW(M56)))+1</f>
        <v/>
      </c>
      <c r="AG56" s="13">
        <f>COUNTIFS($B$5:$B$216,B56,$C$5:$C$216,C56)</f>
        <v/>
      </c>
    </row>
    <row r="57">
      <c r="A57" s="9" t="inlineStr">
        <is>
          <t>E053</t>
        </is>
      </c>
      <c r="B57" s="9" t="inlineStr">
        <is>
          <t>Operations</t>
        </is>
      </c>
      <c r="C57" s="9" t="inlineStr">
        <is>
          <t>M</t>
        </is>
      </c>
      <c r="D57" s="10" t="n">
        <v>38320.37</v>
      </c>
      <c r="E57" s="10" t="n">
        <v>2993.93</v>
      </c>
      <c r="F57" s="9" t="n">
        <v>4.5</v>
      </c>
      <c r="G57" s="9" t="n">
        <v>1</v>
      </c>
      <c r="H57" s="9" t="n">
        <v>1</v>
      </c>
      <c r="I57" s="9" t="n">
        <v>12</v>
      </c>
      <c r="J57" s="11">
        <f>H57*(I57/12)</f>
        <v/>
      </c>
      <c r="K57" s="12">
        <f>D57/J57</f>
        <v/>
      </c>
      <c r="L57" s="12">
        <f>E57/J57</f>
        <v/>
      </c>
      <c r="M57" s="12">
        <f>K57+L57</f>
        <v/>
      </c>
      <c r="N57" s="12">
        <f>D57+E57</f>
        <v/>
      </c>
      <c r="O57" s="12">
        <f>(SUMIFS($M$5:$M$216,$B$5:$B$216,B57,$AD$5:$AD$216,INT((AE57+1)/2))+SUMIFS($M$5:$M$216,$B$5:$B$216,B57,$AD$5:$AD$216,INT(AE57/2)+1))/2</f>
        <v/>
      </c>
      <c r="P57" s="13">
        <f>IF(AND(C57="F",M57&lt;O57,SUMIFS(Categories!$Z$5:$Z$11,Categories!$A$5:$A$11,B57)=1),1,0)</f>
        <v/>
      </c>
      <c r="Q57" s="12">
        <f>IF(P57=1,O57-M57,0)</f>
        <v/>
      </c>
      <c r="R57" s="11">
        <f>IF(AND(P57=1,SUMIFS(Categories!$AA$5:$AA$11,Categories!$A$5:$A$11,B57)&gt;0),Q57/SUMIFS(Categories!$AA$5:$AA$11,Categories!$A$5:$A$11,B57),0)</f>
        <v/>
      </c>
      <c r="S57" s="12">
        <f>R57*SUMIFS(Categories!$AB$5:$AB$11,Categories!$A$5:$A$11,B57)</f>
        <v/>
      </c>
      <c r="T57" s="12">
        <f>S57*J57</f>
        <v/>
      </c>
      <c r="U57" s="12">
        <f>IF(T57&lt;=0,0,(rate_below/100)*MIN(T57,MAX(0,ceiling-D57))+(rate_above/100)*(T57-MIN(T57,MAX(0,ceiling-D57))))</f>
        <v/>
      </c>
      <c r="V57" s="12">
        <f>T57+U57</f>
        <v/>
      </c>
      <c r="W57" s="13">
        <f>IF(AND(C57="F",M57&lt;O57,SUMIFS(Categories!$AH$5:$AH$11,Categories!$A$5:$A$11,B57)=1),1,0)</f>
        <v/>
      </c>
      <c r="X57" s="12">
        <f>IF(W57=1,O57-M57,0)</f>
        <v/>
      </c>
      <c r="Y57" s="11">
        <f>IF(AND(W57=1,SUMIFS(Categories!$AI$5:$AI$11,Categories!$A$5:$A$11,B57)&gt;0),X57/SUMIFS(Categories!$AI$5:$AI$11,Categories!$A$5:$A$11,B57),0)</f>
        <v/>
      </c>
      <c r="Z57" s="12">
        <f>Y57*SUMIFS(Categories!$AJ$5:$AJ$11,Categories!$A$5:$A$11,B57)</f>
        <v/>
      </c>
      <c r="AA57" s="12">
        <f>Z57*J57</f>
        <v/>
      </c>
      <c r="AB57" s="12">
        <f>IF(AA57&lt;=0,0,(rate_below/100)*MIN(AA57,MAX(0,ceiling-D57))+(rate_above/100)*(AA57-MIN(AA57,MAX(0,ceiling-D57))))</f>
        <v/>
      </c>
      <c r="AC57" s="12">
        <f>AA57+AB57</f>
        <v/>
      </c>
      <c r="AD57" s="13">
        <f>SUMPRODUCT(($B$5:$B$216=B57)*($M$5:$M$216&lt;M57))+SUMPRODUCT(($B$5:$B$216=B57)*($M$5:$M$216=M57)*(ROW($M$5:$M$216)&lt;ROW(M57)))+1</f>
        <v/>
      </c>
      <c r="AE57" s="13">
        <f>COUNTIF($B$5:$B$216,B57)</f>
        <v/>
      </c>
      <c r="AF57" s="13">
        <f>SUMPRODUCT(($B$5:$B$216=B57)*($C$5:$C$216=C57)*($M$5:$M$216&lt;M57))+SUMPRODUCT(($B$5:$B$216=B57)*($C$5:$C$216=C57)*($M$5:$M$216=M57)*(ROW($M$5:$M$216)&lt;ROW(M57)))+1</f>
        <v/>
      </c>
      <c r="AG57" s="13">
        <f>COUNTIFS($B$5:$B$216,B57,$C$5:$C$216,C57)</f>
        <v/>
      </c>
    </row>
    <row r="58">
      <c r="A58" s="9" t="inlineStr">
        <is>
          <t>E054</t>
        </is>
      </c>
      <c r="B58" s="9" t="inlineStr">
        <is>
          <t>Operations</t>
        </is>
      </c>
      <c r="C58" s="9" t="inlineStr">
        <is>
          <t>F</t>
        </is>
      </c>
      <c r="D58" s="10" t="n">
        <v>41946.6</v>
      </c>
      <c r="E58" s="10" t="n">
        <v>3482.59</v>
      </c>
      <c r="F58" s="9" t="n">
        <v>2.3</v>
      </c>
      <c r="G58" s="9" t="n">
        <v>2</v>
      </c>
      <c r="H58" s="9" t="n">
        <v>1</v>
      </c>
      <c r="I58" s="9" t="n">
        <v>12</v>
      </c>
      <c r="J58" s="11">
        <f>H58*(I58/12)</f>
        <v/>
      </c>
      <c r="K58" s="12">
        <f>D58/J58</f>
        <v/>
      </c>
      <c r="L58" s="12">
        <f>E58/J58</f>
        <v/>
      </c>
      <c r="M58" s="12">
        <f>K58+L58</f>
        <v/>
      </c>
      <c r="N58" s="12">
        <f>D58+E58</f>
        <v/>
      </c>
      <c r="O58" s="12">
        <f>(SUMIFS($M$5:$M$216,$B$5:$B$216,B58,$AD$5:$AD$216,INT((AE58+1)/2))+SUMIFS($M$5:$M$216,$B$5:$B$216,B58,$AD$5:$AD$216,INT(AE58/2)+1))/2</f>
        <v/>
      </c>
      <c r="P58" s="13">
        <f>IF(AND(C58="F",M58&lt;O58,SUMIFS(Categories!$Z$5:$Z$11,Categories!$A$5:$A$11,B58)=1),1,0)</f>
        <v/>
      </c>
      <c r="Q58" s="12">
        <f>IF(P58=1,O58-M58,0)</f>
        <v/>
      </c>
      <c r="R58" s="11">
        <f>IF(AND(P58=1,SUMIFS(Categories!$AA$5:$AA$11,Categories!$A$5:$A$11,B58)&gt;0),Q58/SUMIFS(Categories!$AA$5:$AA$11,Categories!$A$5:$A$11,B58),0)</f>
        <v/>
      </c>
      <c r="S58" s="12">
        <f>R58*SUMIFS(Categories!$AB$5:$AB$11,Categories!$A$5:$A$11,B58)</f>
        <v/>
      </c>
      <c r="T58" s="12">
        <f>S58*J58</f>
        <v/>
      </c>
      <c r="U58" s="12">
        <f>IF(T58&lt;=0,0,(rate_below/100)*MIN(T58,MAX(0,ceiling-D58))+(rate_above/100)*(T58-MIN(T58,MAX(0,ceiling-D58))))</f>
        <v/>
      </c>
      <c r="V58" s="12">
        <f>T58+U58</f>
        <v/>
      </c>
      <c r="W58" s="13">
        <f>IF(AND(C58="F",M58&lt;O58,SUMIFS(Categories!$AH$5:$AH$11,Categories!$A$5:$A$11,B58)=1),1,0)</f>
        <v/>
      </c>
      <c r="X58" s="12">
        <f>IF(W58=1,O58-M58,0)</f>
        <v/>
      </c>
      <c r="Y58" s="11">
        <f>IF(AND(W58=1,SUMIFS(Categories!$AI$5:$AI$11,Categories!$A$5:$A$11,B58)&gt;0),X58/SUMIFS(Categories!$AI$5:$AI$11,Categories!$A$5:$A$11,B58),0)</f>
        <v/>
      </c>
      <c r="Z58" s="12">
        <f>Y58*SUMIFS(Categories!$AJ$5:$AJ$11,Categories!$A$5:$A$11,B58)</f>
        <v/>
      </c>
      <c r="AA58" s="12">
        <f>Z58*J58</f>
        <v/>
      </c>
      <c r="AB58" s="12">
        <f>IF(AA58&lt;=0,0,(rate_below/100)*MIN(AA58,MAX(0,ceiling-D58))+(rate_above/100)*(AA58-MIN(AA58,MAX(0,ceiling-D58))))</f>
        <v/>
      </c>
      <c r="AC58" s="12">
        <f>AA58+AB58</f>
        <v/>
      </c>
      <c r="AD58" s="13">
        <f>SUMPRODUCT(($B$5:$B$216=B58)*($M$5:$M$216&lt;M58))+SUMPRODUCT(($B$5:$B$216=B58)*($M$5:$M$216=M58)*(ROW($M$5:$M$216)&lt;ROW(M58)))+1</f>
        <v/>
      </c>
      <c r="AE58" s="13">
        <f>COUNTIF($B$5:$B$216,B58)</f>
        <v/>
      </c>
      <c r="AF58" s="13">
        <f>SUMPRODUCT(($B$5:$B$216=B58)*($C$5:$C$216=C58)*($M$5:$M$216&lt;M58))+SUMPRODUCT(($B$5:$B$216=B58)*($C$5:$C$216=C58)*($M$5:$M$216=M58)*(ROW($M$5:$M$216)&lt;ROW(M58)))+1</f>
        <v/>
      </c>
      <c r="AG58" s="13">
        <f>COUNTIFS($B$5:$B$216,B58,$C$5:$C$216,C58)</f>
        <v/>
      </c>
    </row>
    <row r="59">
      <c r="A59" s="9" t="inlineStr">
        <is>
          <t>E055</t>
        </is>
      </c>
      <c r="B59" s="9" t="inlineStr">
        <is>
          <t>Operations</t>
        </is>
      </c>
      <c r="C59" s="9" t="inlineStr">
        <is>
          <t>F</t>
        </is>
      </c>
      <c r="D59" s="10" t="n">
        <v>53206</v>
      </c>
      <c r="E59" s="10" t="n">
        <v>3900.84</v>
      </c>
      <c r="F59" s="9" t="n">
        <v>5.9</v>
      </c>
      <c r="G59" s="9" t="n">
        <v>3</v>
      </c>
      <c r="H59" s="9" t="n">
        <v>1</v>
      </c>
      <c r="I59" s="9" t="n">
        <v>12</v>
      </c>
      <c r="J59" s="11">
        <f>H59*(I59/12)</f>
        <v/>
      </c>
      <c r="K59" s="12">
        <f>D59/J59</f>
        <v/>
      </c>
      <c r="L59" s="12">
        <f>E59/J59</f>
        <v/>
      </c>
      <c r="M59" s="12">
        <f>K59+L59</f>
        <v/>
      </c>
      <c r="N59" s="12">
        <f>D59+E59</f>
        <v/>
      </c>
      <c r="O59" s="12">
        <f>(SUMIFS($M$5:$M$216,$B$5:$B$216,B59,$AD$5:$AD$216,INT((AE59+1)/2))+SUMIFS($M$5:$M$216,$B$5:$B$216,B59,$AD$5:$AD$216,INT(AE59/2)+1))/2</f>
        <v/>
      </c>
      <c r="P59" s="13">
        <f>IF(AND(C59="F",M59&lt;O59,SUMIFS(Categories!$Z$5:$Z$11,Categories!$A$5:$A$11,B59)=1),1,0)</f>
        <v/>
      </c>
      <c r="Q59" s="12">
        <f>IF(P59=1,O59-M59,0)</f>
        <v/>
      </c>
      <c r="R59" s="11">
        <f>IF(AND(P59=1,SUMIFS(Categories!$AA$5:$AA$11,Categories!$A$5:$A$11,B59)&gt;0),Q59/SUMIFS(Categories!$AA$5:$AA$11,Categories!$A$5:$A$11,B59),0)</f>
        <v/>
      </c>
      <c r="S59" s="12">
        <f>R59*SUMIFS(Categories!$AB$5:$AB$11,Categories!$A$5:$A$11,B59)</f>
        <v/>
      </c>
      <c r="T59" s="12">
        <f>S59*J59</f>
        <v/>
      </c>
      <c r="U59" s="12">
        <f>IF(T59&lt;=0,0,(rate_below/100)*MIN(T59,MAX(0,ceiling-D59))+(rate_above/100)*(T59-MIN(T59,MAX(0,ceiling-D59))))</f>
        <v/>
      </c>
      <c r="V59" s="12">
        <f>T59+U59</f>
        <v/>
      </c>
      <c r="W59" s="13">
        <f>IF(AND(C59="F",M59&lt;O59,SUMIFS(Categories!$AH$5:$AH$11,Categories!$A$5:$A$11,B59)=1),1,0)</f>
        <v/>
      </c>
      <c r="X59" s="12">
        <f>IF(W59=1,O59-M59,0)</f>
        <v/>
      </c>
      <c r="Y59" s="11">
        <f>IF(AND(W59=1,SUMIFS(Categories!$AI$5:$AI$11,Categories!$A$5:$A$11,B59)&gt;0),X59/SUMIFS(Categories!$AI$5:$AI$11,Categories!$A$5:$A$11,B59),0)</f>
        <v/>
      </c>
      <c r="Z59" s="12">
        <f>Y59*SUMIFS(Categories!$AJ$5:$AJ$11,Categories!$A$5:$A$11,B59)</f>
        <v/>
      </c>
      <c r="AA59" s="12">
        <f>Z59*J59</f>
        <v/>
      </c>
      <c r="AB59" s="12">
        <f>IF(AA59&lt;=0,0,(rate_below/100)*MIN(AA59,MAX(0,ceiling-D59))+(rate_above/100)*(AA59-MIN(AA59,MAX(0,ceiling-D59))))</f>
        <v/>
      </c>
      <c r="AC59" s="12">
        <f>AA59+AB59</f>
        <v/>
      </c>
      <c r="AD59" s="13">
        <f>SUMPRODUCT(($B$5:$B$216=B59)*($M$5:$M$216&lt;M59))+SUMPRODUCT(($B$5:$B$216=B59)*($M$5:$M$216=M59)*(ROW($M$5:$M$216)&lt;ROW(M59)))+1</f>
        <v/>
      </c>
      <c r="AE59" s="13">
        <f>COUNTIF($B$5:$B$216,B59)</f>
        <v/>
      </c>
      <c r="AF59" s="13">
        <f>SUMPRODUCT(($B$5:$B$216=B59)*($C$5:$C$216=C59)*($M$5:$M$216&lt;M59))+SUMPRODUCT(($B$5:$B$216=B59)*($C$5:$C$216=C59)*($M$5:$M$216=M59)*(ROW($M$5:$M$216)&lt;ROW(M59)))+1</f>
        <v/>
      </c>
      <c r="AG59" s="13">
        <f>COUNTIFS($B$5:$B$216,B59,$C$5:$C$216,C59)</f>
        <v/>
      </c>
    </row>
    <row r="60">
      <c r="A60" s="9" t="inlineStr">
        <is>
          <t>E056</t>
        </is>
      </c>
      <c r="B60" s="9" t="inlineStr">
        <is>
          <t>Operations</t>
        </is>
      </c>
      <c r="C60" s="9" t="inlineStr">
        <is>
          <t>F</t>
        </is>
      </c>
      <c r="D60" s="10" t="n">
        <v>40728.37</v>
      </c>
      <c r="E60" s="10" t="n">
        <v>3709.51</v>
      </c>
      <c r="F60" s="9" t="n">
        <v>3</v>
      </c>
      <c r="G60" s="9" t="n">
        <v>1</v>
      </c>
      <c r="H60" s="9" t="n">
        <v>1</v>
      </c>
      <c r="I60" s="9" t="n">
        <v>12</v>
      </c>
      <c r="J60" s="11">
        <f>H60*(I60/12)</f>
        <v/>
      </c>
      <c r="K60" s="12">
        <f>D60/J60</f>
        <v/>
      </c>
      <c r="L60" s="12">
        <f>E60/J60</f>
        <v/>
      </c>
      <c r="M60" s="12">
        <f>K60+L60</f>
        <v/>
      </c>
      <c r="N60" s="12">
        <f>D60+E60</f>
        <v/>
      </c>
      <c r="O60" s="12">
        <f>(SUMIFS($M$5:$M$216,$B$5:$B$216,B60,$AD$5:$AD$216,INT((AE60+1)/2))+SUMIFS($M$5:$M$216,$B$5:$B$216,B60,$AD$5:$AD$216,INT(AE60/2)+1))/2</f>
        <v/>
      </c>
      <c r="P60" s="13">
        <f>IF(AND(C60="F",M60&lt;O60,SUMIFS(Categories!$Z$5:$Z$11,Categories!$A$5:$A$11,B60)=1),1,0)</f>
        <v/>
      </c>
      <c r="Q60" s="12">
        <f>IF(P60=1,O60-M60,0)</f>
        <v/>
      </c>
      <c r="R60" s="11">
        <f>IF(AND(P60=1,SUMIFS(Categories!$AA$5:$AA$11,Categories!$A$5:$A$11,B60)&gt;0),Q60/SUMIFS(Categories!$AA$5:$AA$11,Categories!$A$5:$A$11,B60),0)</f>
        <v/>
      </c>
      <c r="S60" s="12">
        <f>R60*SUMIFS(Categories!$AB$5:$AB$11,Categories!$A$5:$A$11,B60)</f>
        <v/>
      </c>
      <c r="T60" s="12">
        <f>S60*J60</f>
        <v/>
      </c>
      <c r="U60" s="12">
        <f>IF(T60&lt;=0,0,(rate_below/100)*MIN(T60,MAX(0,ceiling-D60))+(rate_above/100)*(T60-MIN(T60,MAX(0,ceiling-D60))))</f>
        <v/>
      </c>
      <c r="V60" s="12">
        <f>T60+U60</f>
        <v/>
      </c>
      <c r="W60" s="13">
        <f>IF(AND(C60="F",M60&lt;O60,SUMIFS(Categories!$AH$5:$AH$11,Categories!$A$5:$A$11,B60)=1),1,0)</f>
        <v/>
      </c>
      <c r="X60" s="12">
        <f>IF(W60=1,O60-M60,0)</f>
        <v/>
      </c>
      <c r="Y60" s="11">
        <f>IF(AND(W60=1,SUMIFS(Categories!$AI$5:$AI$11,Categories!$A$5:$A$11,B60)&gt;0),X60/SUMIFS(Categories!$AI$5:$AI$11,Categories!$A$5:$A$11,B60),0)</f>
        <v/>
      </c>
      <c r="Z60" s="12">
        <f>Y60*SUMIFS(Categories!$AJ$5:$AJ$11,Categories!$A$5:$A$11,B60)</f>
        <v/>
      </c>
      <c r="AA60" s="12">
        <f>Z60*J60</f>
        <v/>
      </c>
      <c r="AB60" s="12">
        <f>IF(AA60&lt;=0,0,(rate_below/100)*MIN(AA60,MAX(0,ceiling-D60))+(rate_above/100)*(AA60-MIN(AA60,MAX(0,ceiling-D60))))</f>
        <v/>
      </c>
      <c r="AC60" s="12">
        <f>AA60+AB60</f>
        <v/>
      </c>
      <c r="AD60" s="13">
        <f>SUMPRODUCT(($B$5:$B$216=B60)*($M$5:$M$216&lt;M60))+SUMPRODUCT(($B$5:$B$216=B60)*($M$5:$M$216=M60)*(ROW($M$5:$M$216)&lt;ROW(M60)))+1</f>
        <v/>
      </c>
      <c r="AE60" s="13">
        <f>COUNTIF($B$5:$B$216,B60)</f>
        <v/>
      </c>
      <c r="AF60" s="13">
        <f>SUMPRODUCT(($B$5:$B$216=B60)*($C$5:$C$216=C60)*($M$5:$M$216&lt;M60))+SUMPRODUCT(($B$5:$B$216=B60)*($C$5:$C$216=C60)*($M$5:$M$216=M60)*(ROW($M$5:$M$216)&lt;ROW(M60)))+1</f>
        <v/>
      </c>
      <c r="AG60" s="13">
        <f>COUNTIFS($B$5:$B$216,B60,$C$5:$C$216,C60)</f>
        <v/>
      </c>
    </row>
    <row r="61">
      <c r="A61" s="9" t="inlineStr">
        <is>
          <t>E057</t>
        </is>
      </c>
      <c r="B61" s="9" t="inlineStr">
        <is>
          <t>Operations</t>
        </is>
      </c>
      <c r="C61" s="9" t="inlineStr">
        <is>
          <t>M</t>
        </is>
      </c>
      <c r="D61" s="10" t="n">
        <v>48013.42</v>
      </c>
      <c r="E61" s="10" t="n">
        <v>3831.15</v>
      </c>
      <c r="F61" s="9" t="n">
        <v>6.4</v>
      </c>
      <c r="G61" s="9" t="n">
        <v>2</v>
      </c>
      <c r="H61" s="9" t="n">
        <v>1</v>
      </c>
      <c r="I61" s="9" t="n">
        <v>12</v>
      </c>
      <c r="J61" s="11">
        <f>H61*(I61/12)</f>
        <v/>
      </c>
      <c r="K61" s="12">
        <f>D61/J61</f>
        <v/>
      </c>
      <c r="L61" s="12">
        <f>E61/J61</f>
        <v/>
      </c>
      <c r="M61" s="12">
        <f>K61+L61</f>
        <v/>
      </c>
      <c r="N61" s="12">
        <f>D61+E61</f>
        <v/>
      </c>
      <c r="O61" s="12">
        <f>(SUMIFS($M$5:$M$216,$B$5:$B$216,B61,$AD$5:$AD$216,INT((AE61+1)/2))+SUMIFS($M$5:$M$216,$B$5:$B$216,B61,$AD$5:$AD$216,INT(AE61/2)+1))/2</f>
        <v/>
      </c>
      <c r="P61" s="13">
        <f>IF(AND(C61="F",M61&lt;O61,SUMIFS(Categories!$Z$5:$Z$11,Categories!$A$5:$A$11,B61)=1),1,0)</f>
        <v/>
      </c>
      <c r="Q61" s="12">
        <f>IF(P61=1,O61-M61,0)</f>
        <v/>
      </c>
      <c r="R61" s="11">
        <f>IF(AND(P61=1,SUMIFS(Categories!$AA$5:$AA$11,Categories!$A$5:$A$11,B61)&gt;0),Q61/SUMIFS(Categories!$AA$5:$AA$11,Categories!$A$5:$A$11,B61),0)</f>
        <v/>
      </c>
      <c r="S61" s="12">
        <f>R61*SUMIFS(Categories!$AB$5:$AB$11,Categories!$A$5:$A$11,B61)</f>
        <v/>
      </c>
      <c r="T61" s="12">
        <f>S61*J61</f>
        <v/>
      </c>
      <c r="U61" s="12">
        <f>IF(T61&lt;=0,0,(rate_below/100)*MIN(T61,MAX(0,ceiling-D61))+(rate_above/100)*(T61-MIN(T61,MAX(0,ceiling-D61))))</f>
        <v/>
      </c>
      <c r="V61" s="12">
        <f>T61+U61</f>
        <v/>
      </c>
      <c r="W61" s="13">
        <f>IF(AND(C61="F",M61&lt;O61,SUMIFS(Categories!$AH$5:$AH$11,Categories!$A$5:$A$11,B61)=1),1,0)</f>
        <v/>
      </c>
      <c r="X61" s="12">
        <f>IF(W61=1,O61-M61,0)</f>
        <v/>
      </c>
      <c r="Y61" s="11">
        <f>IF(AND(W61=1,SUMIFS(Categories!$AI$5:$AI$11,Categories!$A$5:$A$11,B61)&gt;0),X61/SUMIFS(Categories!$AI$5:$AI$11,Categories!$A$5:$A$11,B61),0)</f>
        <v/>
      </c>
      <c r="Z61" s="12">
        <f>Y61*SUMIFS(Categories!$AJ$5:$AJ$11,Categories!$A$5:$A$11,B61)</f>
        <v/>
      </c>
      <c r="AA61" s="12">
        <f>Z61*J61</f>
        <v/>
      </c>
      <c r="AB61" s="12">
        <f>IF(AA61&lt;=0,0,(rate_below/100)*MIN(AA61,MAX(0,ceiling-D61))+(rate_above/100)*(AA61-MIN(AA61,MAX(0,ceiling-D61))))</f>
        <v/>
      </c>
      <c r="AC61" s="12">
        <f>AA61+AB61</f>
        <v/>
      </c>
      <c r="AD61" s="13">
        <f>SUMPRODUCT(($B$5:$B$216=B61)*($M$5:$M$216&lt;M61))+SUMPRODUCT(($B$5:$B$216=B61)*($M$5:$M$216=M61)*(ROW($M$5:$M$216)&lt;ROW(M61)))+1</f>
        <v/>
      </c>
      <c r="AE61" s="13">
        <f>COUNTIF($B$5:$B$216,B61)</f>
        <v/>
      </c>
      <c r="AF61" s="13">
        <f>SUMPRODUCT(($B$5:$B$216=B61)*($C$5:$C$216=C61)*($M$5:$M$216&lt;M61))+SUMPRODUCT(($B$5:$B$216=B61)*($C$5:$C$216=C61)*($M$5:$M$216=M61)*(ROW($M$5:$M$216)&lt;ROW(M61)))+1</f>
        <v/>
      </c>
      <c r="AG61" s="13">
        <f>COUNTIFS($B$5:$B$216,B61,$C$5:$C$216,C61)</f>
        <v/>
      </c>
    </row>
    <row r="62">
      <c r="A62" s="9" t="inlineStr">
        <is>
          <t>E058</t>
        </is>
      </c>
      <c r="B62" s="9" t="inlineStr">
        <is>
          <t>Operations</t>
        </is>
      </c>
      <c r="C62" s="9" t="inlineStr">
        <is>
          <t>M</t>
        </is>
      </c>
      <c r="D62" s="10" t="n">
        <v>48256.76</v>
      </c>
      <c r="E62" s="10" t="n">
        <v>4037.33</v>
      </c>
      <c r="F62" s="9" t="n">
        <v>9.9</v>
      </c>
      <c r="G62" s="9" t="n">
        <v>4</v>
      </c>
      <c r="H62" s="9" t="n">
        <v>0.8</v>
      </c>
      <c r="I62" s="9" t="n">
        <v>12</v>
      </c>
      <c r="J62" s="11">
        <f>H62*(I62/12)</f>
        <v/>
      </c>
      <c r="K62" s="12">
        <f>D62/J62</f>
        <v/>
      </c>
      <c r="L62" s="12">
        <f>E62/J62</f>
        <v/>
      </c>
      <c r="M62" s="12">
        <f>K62+L62</f>
        <v/>
      </c>
      <c r="N62" s="12">
        <f>D62+E62</f>
        <v/>
      </c>
      <c r="O62" s="12">
        <f>(SUMIFS($M$5:$M$216,$B$5:$B$216,B62,$AD$5:$AD$216,INT((AE62+1)/2))+SUMIFS($M$5:$M$216,$B$5:$B$216,B62,$AD$5:$AD$216,INT(AE62/2)+1))/2</f>
        <v/>
      </c>
      <c r="P62" s="13">
        <f>IF(AND(C62="F",M62&lt;O62,SUMIFS(Categories!$Z$5:$Z$11,Categories!$A$5:$A$11,B62)=1),1,0)</f>
        <v/>
      </c>
      <c r="Q62" s="12">
        <f>IF(P62=1,O62-M62,0)</f>
        <v/>
      </c>
      <c r="R62" s="11">
        <f>IF(AND(P62=1,SUMIFS(Categories!$AA$5:$AA$11,Categories!$A$5:$A$11,B62)&gt;0),Q62/SUMIFS(Categories!$AA$5:$AA$11,Categories!$A$5:$A$11,B62),0)</f>
        <v/>
      </c>
      <c r="S62" s="12">
        <f>R62*SUMIFS(Categories!$AB$5:$AB$11,Categories!$A$5:$A$11,B62)</f>
        <v/>
      </c>
      <c r="T62" s="12">
        <f>S62*J62</f>
        <v/>
      </c>
      <c r="U62" s="12">
        <f>IF(T62&lt;=0,0,(rate_below/100)*MIN(T62,MAX(0,ceiling-D62))+(rate_above/100)*(T62-MIN(T62,MAX(0,ceiling-D62))))</f>
        <v/>
      </c>
      <c r="V62" s="12">
        <f>T62+U62</f>
        <v/>
      </c>
      <c r="W62" s="13">
        <f>IF(AND(C62="F",M62&lt;O62,SUMIFS(Categories!$AH$5:$AH$11,Categories!$A$5:$A$11,B62)=1),1,0)</f>
        <v/>
      </c>
      <c r="X62" s="12">
        <f>IF(W62=1,O62-M62,0)</f>
        <v/>
      </c>
      <c r="Y62" s="11">
        <f>IF(AND(W62=1,SUMIFS(Categories!$AI$5:$AI$11,Categories!$A$5:$A$11,B62)&gt;0),X62/SUMIFS(Categories!$AI$5:$AI$11,Categories!$A$5:$A$11,B62),0)</f>
        <v/>
      </c>
      <c r="Z62" s="12">
        <f>Y62*SUMIFS(Categories!$AJ$5:$AJ$11,Categories!$A$5:$A$11,B62)</f>
        <v/>
      </c>
      <c r="AA62" s="12">
        <f>Z62*J62</f>
        <v/>
      </c>
      <c r="AB62" s="12">
        <f>IF(AA62&lt;=0,0,(rate_below/100)*MIN(AA62,MAX(0,ceiling-D62))+(rate_above/100)*(AA62-MIN(AA62,MAX(0,ceiling-D62))))</f>
        <v/>
      </c>
      <c r="AC62" s="12">
        <f>AA62+AB62</f>
        <v/>
      </c>
      <c r="AD62" s="13">
        <f>SUMPRODUCT(($B$5:$B$216=B62)*($M$5:$M$216&lt;M62))+SUMPRODUCT(($B$5:$B$216=B62)*($M$5:$M$216=M62)*(ROW($M$5:$M$216)&lt;ROW(M62)))+1</f>
        <v/>
      </c>
      <c r="AE62" s="13">
        <f>COUNTIF($B$5:$B$216,B62)</f>
        <v/>
      </c>
      <c r="AF62" s="13">
        <f>SUMPRODUCT(($B$5:$B$216=B62)*($C$5:$C$216=C62)*($M$5:$M$216&lt;M62))+SUMPRODUCT(($B$5:$B$216=B62)*($C$5:$C$216=C62)*($M$5:$M$216=M62)*(ROW($M$5:$M$216)&lt;ROW(M62)))+1</f>
        <v/>
      </c>
      <c r="AG62" s="13">
        <f>COUNTIFS($B$5:$B$216,B62,$C$5:$C$216,C62)</f>
        <v/>
      </c>
    </row>
    <row r="63">
      <c r="A63" s="9" t="inlineStr">
        <is>
          <t>E059</t>
        </is>
      </c>
      <c r="B63" s="9" t="inlineStr">
        <is>
          <t>Operations</t>
        </is>
      </c>
      <c r="C63" s="9" t="inlineStr">
        <is>
          <t>F</t>
        </is>
      </c>
      <c r="D63" s="10" t="n">
        <v>58379.25</v>
      </c>
      <c r="E63" s="10" t="n">
        <v>3619.09</v>
      </c>
      <c r="F63" s="9" t="n">
        <v>9.1</v>
      </c>
      <c r="G63" s="9" t="n">
        <v>4</v>
      </c>
      <c r="H63" s="9" t="n">
        <v>1</v>
      </c>
      <c r="I63" s="9" t="n">
        <v>12</v>
      </c>
      <c r="J63" s="11">
        <f>H63*(I63/12)</f>
        <v/>
      </c>
      <c r="K63" s="12">
        <f>D63/J63</f>
        <v/>
      </c>
      <c r="L63" s="12">
        <f>E63/J63</f>
        <v/>
      </c>
      <c r="M63" s="12">
        <f>K63+L63</f>
        <v/>
      </c>
      <c r="N63" s="12">
        <f>D63+E63</f>
        <v/>
      </c>
      <c r="O63" s="12">
        <f>(SUMIFS($M$5:$M$216,$B$5:$B$216,B63,$AD$5:$AD$216,INT((AE63+1)/2))+SUMIFS($M$5:$M$216,$B$5:$B$216,B63,$AD$5:$AD$216,INT(AE63/2)+1))/2</f>
        <v/>
      </c>
      <c r="P63" s="13">
        <f>IF(AND(C63="F",M63&lt;O63,SUMIFS(Categories!$Z$5:$Z$11,Categories!$A$5:$A$11,B63)=1),1,0)</f>
        <v/>
      </c>
      <c r="Q63" s="12">
        <f>IF(P63=1,O63-M63,0)</f>
        <v/>
      </c>
      <c r="R63" s="11">
        <f>IF(AND(P63=1,SUMIFS(Categories!$AA$5:$AA$11,Categories!$A$5:$A$11,B63)&gt;0),Q63/SUMIFS(Categories!$AA$5:$AA$11,Categories!$A$5:$A$11,B63),0)</f>
        <v/>
      </c>
      <c r="S63" s="12">
        <f>R63*SUMIFS(Categories!$AB$5:$AB$11,Categories!$A$5:$A$11,B63)</f>
        <v/>
      </c>
      <c r="T63" s="12">
        <f>S63*J63</f>
        <v/>
      </c>
      <c r="U63" s="12">
        <f>IF(T63&lt;=0,0,(rate_below/100)*MIN(T63,MAX(0,ceiling-D63))+(rate_above/100)*(T63-MIN(T63,MAX(0,ceiling-D63))))</f>
        <v/>
      </c>
      <c r="V63" s="12">
        <f>T63+U63</f>
        <v/>
      </c>
      <c r="W63" s="13">
        <f>IF(AND(C63="F",M63&lt;O63,SUMIFS(Categories!$AH$5:$AH$11,Categories!$A$5:$A$11,B63)=1),1,0)</f>
        <v/>
      </c>
      <c r="X63" s="12">
        <f>IF(W63=1,O63-M63,0)</f>
        <v/>
      </c>
      <c r="Y63" s="11">
        <f>IF(AND(W63=1,SUMIFS(Categories!$AI$5:$AI$11,Categories!$A$5:$A$11,B63)&gt;0),X63/SUMIFS(Categories!$AI$5:$AI$11,Categories!$A$5:$A$11,B63),0)</f>
        <v/>
      </c>
      <c r="Z63" s="12">
        <f>Y63*SUMIFS(Categories!$AJ$5:$AJ$11,Categories!$A$5:$A$11,B63)</f>
        <v/>
      </c>
      <c r="AA63" s="12">
        <f>Z63*J63</f>
        <v/>
      </c>
      <c r="AB63" s="12">
        <f>IF(AA63&lt;=0,0,(rate_below/100)*MIN(AA63,MAX(0,ceiling-D63))+(rate_above/100)*(AA63-MIN(AA63,MAX(0,ceiling-D63))))</f>
        <v/>
      </c>
      <c r="AC63" s="12">
        <f>AA63+AB63</f>
        <v/>
      </c>
      <c r="AD63" s="13">
        <f>SUMPRODUCT(($B$5:$B$216=B63)*($M$5:$M$216&lt;M63))+SUMPRODUCT(($B$5:$B$216=B63)*($M$5:$M$216=M63)*(ROW($M$5:$M$216)&lt;ROW(M63)))+1</f>
        <v/>
      </c>
      <c r="AE63" s="13">
        <f>COUNTIF($B$5:$B$216,B63)</f>
        <v/>
      </c>
      <c r="AF63" s="13">
        <f>SUMPRODUCT(($B$5:$B$216=B63)*($C$5:$C$216=C63)*($M$5:$M$216&lt;M63))+SUMPRODUCT(($B$5:$B$216=B63)*($C$5:$C$216=C63)*($M$5:$M$216=M63)*(ROW($M$5:$M$216)&lt;ROW(M63)))+1</f>
        <v/>
      </c>
      <c r="AG63" s="13">
        <f>COUNTIFS($B$5:$B$216,B63,$C$5:$C$216,C63)</f>
        <v/>
      </c>
    </row>
    <row r="64">
      <c r="A64" s="9" t="inlineStr">
        <is>
          <t>E060</t>
        </is>
      </c>
      <c r="B64" s="9" t="inlineStr">
        <is>
          <t>Operations</t>
        </is>
      </c>
      <c r="C64" s="9" t="inlineStr">
        <is>
          <t>F</t>
        </is>
      </c>
      <c r="D64" s="10" t="n">
        <v>41313.31</v>
      </c>
      <c r="E64" s="10" t="n">
        <v>3464.77</v>
      </c>
      <c r="F64" s="9" t="n">
        <v>1.6</v>
      </c>
      <c r="G64" s="9" t="n">
        <v>1</v>
      </c>
      <c r="H64" s="9" t="n">
        <v>1</v>
      </c>
      <c r="I64" s="9" t="n">
        <v>12</v>
      </c>
      <c r="J64" s="11">
        <f>H64*(I64/12)</f>
        <v/>
      </c>
      <c r="K64" s="12">
        <f>D64/J64</f>
        <v/>
      </c>
      <c r="L64" s="12">
        <f>E64/J64</f>
        <v/>
      </c>
      <c r="M64" s="12">
        <f>K64+L64</f>
        <v/>
      </c>
      <c r="N64" s="12">
        <f>D64+E64</f>
        <v/>
      </c>
      <c r="O64" s="12">
        <f>(SUMIFS($M$5:$M$216,$B$5:$B$216,B64,$AD$5:$AD$216,INT((AE64+1)/2))+SUMIFS($M$5:$M$216,$B$5:$B$216,B64,$AD$5:$AD$216,INT(AE64/2)+1))/2</f>
        <v/>
      </c>
      <c r="P64" s="13">
        <f>IF(AND(C64="F",M64&lt;O64,SUMIFS(Categories!$Z$5:$Z$11,Categories!$A$5:$A$11,B64)=1),1,0)</f>
        <v/>
      </c>
      <c r="Q64" s="12">
        <f>IF(P64=1,O64-M64,0)</f>
        <v/>
      </c>
      <c r="R64" s="11">
        <f>IF(AND(P64=1,SUMIFS(Categories!$AA$5:$AA$11,Categories!$A$5:$A$11,B64)&gt;0),Q64/SUMIFS(Categories!$AA$5:$AA$11,Categories!$A$5:$A$11,B64),0)</f>
        <v/>
      </c>
      <c r="S64" s="12">
        <f>R64*SUMIFS(Categories!$AB$5:$AB$11,Categories!$A$5:$A$11,B64)</f>
        <v/>
      </c>
      <c r="T64" s="12">
        <f>S64*J64</f>
        <v/>
      </c>
      <c r="U64" s="12">
        <f>IF(T64&lt;=0,0,(rate_below/100)*MIN(T64,MAX(0,ceiling-D64))+(rate_above/100)*(T64-MIN(T64,MAX(0,ceiling-D64))))</f>
        <v/>
      </c>
      <c r="V64" s="12">
        <f>T64+U64</f>
        <v/>
      </c>
      <c r="W64" s="13">
        <f>IF(AND(C64="F",M64&lt;O64,SUMIFS(Categories!$AH$5:$AH$11,Categories!$A$5:$A$11,B64)=1),1,0)</f>
        <v/>
      </c>
      <c r="X64" s="12">
        <f>IF(W64=1,O64-M64,0)</f>
        <v/>
      </c>
      <c r="Y64" s="11">
        <f>IF(AND(W64=1,SUMIFS(Categories!$AI$5:$AI$11,Categories!$A$5:$A$11,B64)&gt;0),X64/SUMIFS(Categories!$AI$5:$AI$11,Categories!$A$5:$A$11,B64),0)</f>
        <v/>
      </c>
      <c r="Z64" s="12">
        <f>Y64*SUMIFS(Categories!$AJ$5:$AJ$11,Categories!$A$5:$A$11,B64)</f>
        <v/>
      </c>
      <c r="AA64" s="12">
        <f>Z64*J64</f>
        <v/>
      </c>
      <c r="AB64" s="12">
        <f>IF(AA64&lt;=0,0,(rate_below/100)*MIN(AA64,MAX(0,ceiling-D64))+(rate_above/100)*(AA64-MIN(AA64,MAX(0,ceiling-D64))))</f>
        <v/>
      </c>
      <c r="AC64" s="12">
        <f>AA64+AB64</f>
        <v/>
      </c>
      <c r="AD64" s="13">
        <f>SUMPRODUCT(($B$5:$B$216=B64)*($M$5:$M$216&lt;M64))+SUMPRODUCT(($B$5:$B$216=B64)*($M$5:$M$216=M64)*(ROW($M$5:$M$216)&lt;ROW(M64)))+1</f>
        <v/>
      </c>
      <c r="AE64" s="13">
        <f>COUNTIF($B$5:$B$216,B64)</f>
        <v/>
      </c>
      <c r="AF64" s="13">
        <f>SUMPRODUCT(($B$5:$B$216=B64)*($C$5:$C$216=C64)*($M$5:$M$216&lt;M64))+SUMPRODUCT(($B$5:$B$216=B64)*($C$5:$C$216=C64)*($M$5:$M$216=M64)*(ROW($M$5:$M$216)&lt;ROW(M64)))+1</f>
        <v/>
      </c>
      <c r="AG64" s="13">
        <f>COUNTIFS($B$5:$B$216,B64,$C$5:$C$216,C64)</f>
        <v/>
      </c>
    </row>
    <row r="65">
      <c r="A65" s="9" t="inlineStr">
        <is>
          <t>E061</t>
        </is>
      </c>
      <c r="B65" s="9" t="inlineStr">
        <is>
          <t>Operations</t>
        </is>
      </c>
      <c r="C65" s="9" t="inlineStr">
        <is>
          <t>F</t>
        </is>
      </c>
      <c r="D65" s="10" t="n">
        <v>37979.07</v>
      </c>
      <c r="E65" s="10" t="n">
        <v>3585.38</v>
      </c>
      <c r="F65" s="9" t="n">
        <v>4.2</v>
      </c>
      <c r="G65" s="9" t="n">
        <v>1</v>
      </c>
      <c r="H65" s="9" t="n">
        <v>1</v>
      </c>
      <c r="I65" s="9" t="n">
        <v>12</v>
      </c>
      <c r="J65" s="11">
        <f>H65*(I65/12)</f>
        <v/>
      </c>
      <c r="K65" s="12">
        <f>D65/J65</f>
        <v/>
      </c>
      <c r="L65" s="12">
        <f>E65/J65</f>
        <v/>
      </c>
      <c r="M65" s="12">
        <f>K65+L65</f>
        <v/>
      </c>
      <c r="N65" s="12">
        <f>D65+E65</f>
        <v/>
      </c>
      <c r="O65" s="12">
        <f>(SUMIFS($M$5:$M$216,$B$5:$B$216,B65,$AD$5:$AD$216,INT((AE65+1)/2))+SUMIFS($M$5:$M$216,$B$5:$B$216,B65,$AD$5:$AD$216,INT(AE65/2)+1))/2</f>
        <v/>
      </c>
      <c r="P65" s="13">
        <f>IF(AND(C65="F",M65&lt;O65,SUMIFS(Categories!$Z$5:$Z$11,Categories!$A$5:$A$11,B65)=1),1,0)</f>
        <v/>
      </c>
      <c r="Q65" s="12">
        <f>IF(P65=1,O65-M65,0)</f>
        <v/>
      </c>
      <c r="R65" s="11">
        <f>IF(AND(P65=1,SUMIFS(Categories!$AA$5:$AA$11,Categories!$A$5:$A$11,B65)&gt;0),Q65/SUMIFS(Categories!$AA$5:$AA$11,Categories!$A$5:$A$11,B65),0)</f>
        <v/>
      </c>
      <c r="S65" s="12">
        <f>R65*SUMIFS(Categories!$AB$5:$AB$11,Categories!$A$5:$A$11,B65)</f>
        <v/>
      </c>
      <c r="T65" s="12">
        <f>S65*J65</f>
        <v/>
      </c>
      <c r="U65" s="12">
        <f>IF(T65&lt;=0,0,(rate_below/100)*MIN(T65,MAX(0,ceiling-D65))+(rate_above/100)*(T65-MIN(T65,MAX(0,ceiling-D65))))</f>
        <v/>
      </c>
      <c r="V65" s="12">
        <f>T65+U65</f>
        <v/>
      </c>
      <c r="W65" s="13">
        <f>IF(AND(C65="F",M65&lt;O65,SUMIFS(Categories!$AH$5:$AH$11,Categories!$A$5:$A$11,B65)=1),1,0)</f>
        <v/>
      </c>
      <c r="X65" s="12">
        <f>IF(W65=1,O65-M65,0)</f>
        <v/>
      </c>
      <c r="Y65" s="11">
        <f>IF(AND(W65=1,SUMIFS(Categories!$AI$5:$AI$11,Categories!$A$5:$A$11,B65)&gt;0),X65/SUMIFS(Categories!$AI$5:$AI$11,Categories!$A$5:$A$11,B65),0)</f>
        <v/>
      </c>
      <c r="Z65" s="12">
        <f>Y65*SUMIFS(Categories!$AJ$5:$AJ$11,Categories!$A$5:$A$11,B65)</f>
        <v/>
      </c>
      <c r="AA65" s="12">
        <f>Z65*J65</f>
        <v/>
      </c>
      <c r="AB65" s="12">
        <f>IF(AA65&lt;=0,0,(rate_below/100)*MIN(AA65,MAX(0,ceiling-D65))+(rate_above/100)*(AA65-MIN(AA65,MAX(0,ceiling-D65))))</f>
        <v/>
      </c>
      <c r="AC65" s="12">
        <f>AA65+AB65</f>
        <v/>
      </c>
      <c r="AD65" s="13">
        <f>SUMPRODUCT(($B$5:$B$216=B65)*($M$5:$M$216&lt;M65))+SUMPRODUCT(($B$5:$B$216=B65)*($M$5:$M$216=M65)*(ROW($M$5:$M$216)&lt;ROW(M65)))+1</f>
        <v/>
      </c>
      <c r="AE65" s="13">
        <f>COUNTIF($B$5:$B$216,B65)</f>
        <v/>
      </c>
      <c r="AF65" s="13">
        <f>SUMPRODUCT(($B$5:$B$216=B65)*($C$5:$C$216=C65)*($M$5:$M$216&lt;M65))+SUMPRODUCT(($B$5:$B$216=B65)*($C$5:$C$216=C65)*($M$5:$M$216=M65)*(ROW($M$5:$M$216)&lt;ROW(M65)))+1</f>
        <v/>
      </c>
      <c r="AG65" s="13">
        <f>COUNTIFS($B$5:$B$216,B65,$C$5:$C$216,C65)</f>
        <v/>
      </c>
    </row>
    <row r="66">
      <c r="A66" s="9" t="inlineStr">
        <is>
          <t>E062</t>
        </is>
      </c>
      <c r="B66" s="9" t="inlineStr">
        <is>
          <t>Operations</t>
        </is>
      </c>
      <c r="C66" s="9" t="inlineStr">
        <is>
          <t>F</t>
        </is>
      </c>
      <c r="D66" s="10" t="n">
        <v>48199.92</v>
      </c>
      <c r="E66" s="10" t="n">
        <v>4498.62</v>
      </c>
      <c r="F66" s="9" t="n">
        <v>7.7</v>
      </c>
      <c r="G66" s="9" t="n">
        <v>2</v>
      </c>
      <c r="H66" s="9" t="n">
        <v>1</v>
      </c>
      <c r="I66" s="9" t="n">
        <v>12</v>
      </c>
      <c r="J66" s="11">
        <f>H66*(I66/12)</f>
        <v/>
      </c>
      <c r="K66" s="12">
        <f>D66/J66</f>
        <v/>
      </c>
      <c r="L66" s="12">
        <f>E66/J66</f>
        <v/>
      </c>
      <c r="M66" s="12">
        <f>K66+L66</f>
        <v/>
      </c>
      <c r="N66" s="12">
        <f>D66+E66</f>
        <v/>
      </c>
      <c r="O66" s="12">
        <f>(SUMIFS($M$5:$M$216,$B$5:$B$216,B66,$AD$5:$AD$216,INT((AE66+1)/2))+SUMIFS($M$5:$M$216,$B$5:$B$216,B66,$AD$5:$AD$216,INT(AE66/2)+1))/2</f>
        <v/>
      </c>
      <c r="P66" s="13">
        <f>IF(AND(C66="F",M66&lt;O66,SUMIFS(Categories!$Z$5:$Z$11,Categories!$A$5:$A$11,B66)=1),1,0)</f>
        <v/>
      </c>
      <c r="Q66" s="12">
        <f>IF(P66=1,O66-M66,0)</f>
        <v/>
      </c>
      <c r="R66" s="11">
        <f>IF(AND(P66=1,SUMIFS(Categories!$AA$5:$AA$11,Categories!$A$5:$A$11,B66)&gt;0),Q66/SUMIFS(Categories!$AA$5:$AA$11,Categories!$A$5:$A$11,B66),0)</f>
        <v/>
      </c>
      <c r="S66" s="12">
        <f>R66*SUMIFS(Categories!$AB$5:$AB$11,Categories!$A$5:$A$11,B66)</f>
        <v/>
      </c>
      <c r="T66" s="12">
        <f>S66*J66</f>
        <v/>
      </c>
      <c r="U66" s="12">
        <f>IF(T66&lt;=0,0,(rate_below/100)*MIN(T66,MAX(0,ceiling-D66))+(rate_above/100)*(T66-MIN(T66,MAX(0,ceiling-D66))))</f>
        <v/>
      </c>
      <c r="V66" s="12">
        <f>T66+U66</f>
        <v/>
      </c>
      <c r="W66" s="13">
        <f>IF(AND(C66="F",M66&lt;O66,SUMIFS(Categories!$AH$5:$AH$11,Categories!$A$5:$A$11,B66)=1),1,0)</f>
        <v/>
      </c>
      <c r="X66" s="12">
        <f>IF(W66=1,O66-M66,0)</f>
        <v/>
      </c>
      <c r="Y66" s="11">
        <f>IF(AND(W66=1,SUMIFS(Categories!$AI$5:$AI$11,Categories!$A$5:$A$11,B66)&gt;0),X66/SUMIFS(Categories!$AI$5:$AI$11,Categories!$A$5:$A$11,B66),0)</f>
        <v/>
      </c>
      <c r="Z66" s="12">
        <f>Y66*SUMIFS(Categories!$AJ$5:$AJ$11,Categories!$A$5:$A$11,B66)</f>
        <v/>
      </c>
      <c r="AA66" s="12">
        <f>Z66*J66</f>
        <v/>
      </c>
      <c r="AB66" s="12">
        <f>IF(AA66&lt;=0,0,(rate_below/100)*MIN(AA66,MAX(0,ceiling-D66))+(rate_above/100)*(AA66-MIN(AA66,MAX(0,ceiling-D66))))</f>
        <v/>
      </c>
      <c r="AC66" s="12">
        <f>AA66+AB66</f>
        <v/>
      </c>
      <c r="AD66" s="13">
        <f>SUMPRODUCT(($B$5:$B$216=B66)*($M$5:$M$216&lt;M66))+SUMPRODUCT(($B$5:$B$216=B66)*($M$5:$M$216=M66)*(ROW($M$5:$M$216)&lt;ROW(M66)))+1</f>
        <v/>
      </c>
      <c r="AE66" s="13">
        <f>COUNTIF($B$5:$B$216,B66)</f>
        <v/>
      </c>
      <c r="AF66" s="13">
        <f>SUMPRODUCT(($B$5:$B$216=B66)*($C$5:$C$216=C66)*($M$5:$M$216&lt;M66))+SUMPRODUCT(($B$5:$B$216=B66)*($C$5:$C$216=C66)*($M$5:$M$216=M66)*(ROW($M$5:$M$216)&lt;ROW(M66)))+1</f>
        <v/>
      </c>
      <c r="AG66" s="13">
        <f>COUNTIFS($B$5:$B$216,B66,$C$5:$C$216,C66)</f>
        <v/>
      </c>
    </row>
    <row r="67">
      <c r="A67" s="9" t="inlineStr">
        <is>
          <t>E063</t>
        </is>
      </c>
      <c r="B67" s="9" t="inlineStr">
        <is>
          <t>Operations</t>
        </is>
      </c>
      <c r="C67" s="9" t="inlineStr">
        <is>
          <t>F</t>
        </is>
      </c>
      <c r="D67" s="10" t="n">
        <v>37058.73</v>
      </c>
      <c r="E67" s="10" t="n">
        <v>3702.71</v>
      </c>
      <c r="F67" s="9" t="n">
        <v>2.1</v>
      </c>
      <c r="G67" s="9" t="n">
        <v>1</v>
      </c>
      <c r="H67" s="9" t="n">
        <v>1</v>
      </c>
      <c r="I67" s="9" t="n">
        <v>12</v>
      </c>
      <c r="J67" s="11">
        <f>H67*(I67/12)</f>
        <v/>
      </c>
      <c r="K67" s="12">
        <f>D67/J67</f>
        <v/>
      </c>
      <c r="L67" s="12">
        <f>E67/J67</f>
        <v/>
      </c>
      <c r="M67" s="12">
        <f>K67+L67</f>
        <v/>
      </c>
      <c r="N67" s="12">
        <f>D67+E67</f>
        <v/>
      </c>
      <c r="O67" s="12">
        <f>(SUMIFS($M$5:$M$216,$B$5:$B$216,B67,$AD$5:$AD$216,INT((AE67+1)/2))+SUMIFS($M$5:$M$216,$B$5:$B$216,B67,$AD$5:$AD$216,INT(AE67/2)+1))/2</f>
        <v/>
      </c>
      <c r="P67" s="13">
        <f>IF(AND(C67="F",M67&lt;O67,SUMIFS(Categories!$Z$5:$Z$11,Categories!$A$5:$A$11,B67)=1),1,0)</f>
        <v/>
      </c>
      <c r="Q67" s="12">
        <f>IF(P67=1,O67-M67,0)</f>
        <v/>
      </c>
      <c r="R67" s="11">
        <f>IF(AND(P67=1,SUMIFS(Categories!$AA$5:$AA$11,Categories!$A$5:$A$11,B67)&gt;0),Q67/SUMIFS(Categories!$AA$5:$AA$11,Categories!$A$5:$A$11,B67),0)</f>
        <v/>
      </c>
      <c r="S67" s="12">
        <f>R67*SUMIFS(Categories!$AB$5:$AB$11,Categories!$A$5:$A$11,B67)</f>
        <v/>
      </c>
      <c r="T67" s="12">
        <f>S67*J67</f>
        <v/>
      </c>
      <c r="U67" s="12">
        <f>IF(T67&lt;=0,0,(rate_below/100)*MIN(T67,MAX(0,ceiling-D67))+(rate_above/100)*(T67-MIN(T67,MAX(0,ceiling-D67))))</f>
        <v/>
      </c>
      <c r="V67" s="12">
        <f>T67+U67</f>
        <v/>
      </c>
      <c r="W67" s="13">
        <f>IF(AND(C67="F",M67&lt;O67,SUMIFS(Categories!$AH$5:$AH$11,Categories!$A$5:$A$11,B67)=1),1,0)</f>
        <v/>
      </c>
      <c r="X67" s="12">
        <f>IF(W67=1,O67-M67,0)</f>
        <v/>
      </c>
      <c r="Y67" s="11">
        <f>IF(AND(W67=1,SUMIFS(Categories!$AI$5:$AI$11,Categories!$A$5:$A$11,B67)&gt;0),X67/SUMIFS(Categories!$AI$5:$AI$11,Categories!$A$5:$A$11,B67),0)</f>
        <v/>
      </c>
      <c r="Z67" s="12">
        <f>Y67*SUMIFS(Categories!$AJ$5:$AJ$11,Categories!$A$5:$A$11,B67)</f>
        <v/>
      </c>
      <c r="AA67" s="12">
        <f>Z67*J67</f>
        <v/>
      </c>
      <c r="AB67" s="12">
        <f>IF(AA67&lt;=0,0,(rate_below/100)*MIN(AA67,MAX(0,ceiling-D67))+(rate_above/100)*(AA67-MIN(AA67,MAX(0,ceiling-D67))))</f>
        <v/>
      </c>
      <c r="AC67" s="12">
        <f>AA67+AB67</f>
        <v/>
      </c>
      <c r="AD67" s="13">
        <f>SUMPRODUCT(($B$5:$B$216=B67)*($M$5:$M$216&lt;M67))+SUMPRODUCT(($B$5:$B$216=B67)*($M$5:$M$216=M67)*(ROW($M$5:$M$216)&lt;ROW(M67)))+1</f>
        <v/>
      </c>
      <c r="AE67" s="13">
        <f>COUNTIF($B$5:$B$216,B67)</f>
        <v/>
      </c>
      <c r="AF67" s="13">
        <f>SUMPRODUCT(($B$5:$B$216=B67)*($C$5:$C$216=C67)*($M$5:$M$216&lt;M67))+SUMPRODUCT(($B$5:$B$216=B67)*($C$5:$C$216=C67)*($M$5:$M$216=M67)*(ROW($M$5:$M$216)&lt;ROW(M67)))+1</f>
        <v/>
      </c>
      <c r="AG67" s="13">
        <f>COUNTIFS($B$5:$B$216,B67,$C$5:$C$216,C67)</f>
        <v/>
      </c>
    </row>
    <row r="68">
      <c r="A68" s="9" t="inlineStr">
        <is>
          <t>E064</t>
        </is>
      </c>
      <c r="B68" s="9" t="inlineStr">
        <is>
          <t>Operations</t>
        </is>
      </c>
      <c r="C68" s="9" t="inlineStr">
        <is>
          <t>M</t>
        </is>
      </c>
      <c r="D68" s="10" t="n">
        <v>38696.52</v>
      </c>
      <c r="E68" s="10" t="n">
        <v>3083.11</v>
      </c>
      <c r="F68" s="9" t="n">
        <v>1.9</v>
      </c>
      <c r="G68" s="9" t="n">
        <v>1</v>
      </c>
      <c r="H68" s="9" t="n">
        <v>1</v>
      </c>
      <c r="I68" s="9" t="n">
        <v>12</v>
      </c>
      <c r="J68" s="11">
        <f>H68*(I68/12)</f>
        <v/>
      </c>
      <c r="K68" s="12">
        <f>D68/J68</f>
        <v/>
      </c>
      <c r="L68" s="12">
        <f>E68/J68</f>
        <v/>
      </c>
      <c r="M68" s="12">
        <f>K68+L68</f>
        <v/>
      </c>
      <c r="N68" s="12">
        <f>D68+E68</f>
        <v/>
      </c>
      <c r="O68" s="12">
        <f>(SUMIFS($M$5:$M$216,$B$5:$B$216,B68,$AD$5:$AD$216,INT((AE68+1)/2))+SUMIFS($M$5:$M$216,$B$5:$B$216,B68,$AD$5:$AD$216,INT(AE68/2)+1))/2</f>
        <v/>
      </c>
      <c r="P68" s="13">
        <f>IF(AND(C68="F",M68&lt;O68,SUMIFS(Categories!$Z$5:$Z$11,Categories!$A$5:$A$11,B68)=1),1,0)</f>
        <v/>
      </c>
      <c r="Q68" s="12">
        <f>IF(P68=1,O68-M68,0)</f>
        <v/>
      </c>
      <c r="R68" s="11">
        <f>IF(AND(P68=1,SUMIFS(Categories!$AA$5:$AA$11,Categories!$A$5:$A$11,B68)&gt;0),Q68/SUMIFS(Categories!$AA$5:$AA$11,Categories!$A$5:$A$11,B68),0)</f>
        <v/>
      </c>
      <c r="S68" s="12">
        <f>R68*SUMIFS(Categories!$AB$5:$AB$11,Categories!$A$5:$A$11,B68)</f>
        <v/>
      </c>
      <c r="T68" s="12">
        <f>S68*J68</f>
        <v/>
      </c>
      <c r="U68" s="12">
        <f>IF(T68&lt;=0,0,(rate_below/100)*MIN(T68,MAX(0,ceiling-D68))+(rate_above/100)*(T68-MIN(T68,MAX(0,ceiling-D68))))</f>
        <v/>
      </c>
      <c r="V68" s="12">
        <f>T68+U68</f>
        <v/>
      </c>
      <c r="W68" s="13">
        <f>IF(AND(C68="F",M68&lt;O68,SUMIFS(Categories!$AH$5:$AH$11,Categories!$A$5:$A$11,B68)=1),1,0)</f>
        <v/>
      </c>
      <c r="X68" s="12">
        <f>IF(W68=1,O68-M68,0)</f>
        <v/>
      </c>
      <c r="Y68" s="11">
        <f>IF(AND(W68=1,SUMIFS(Categories!$AI$5:$AI$11,Categories!$A$5:$A$11,B68)&gt;0),X68/SUMIFS(Categories!$AI$5:$AI$11,Categories!$A$5:$A$11,B68),0)</f>
        <v/>
      </c>
      <c r="Z68" s="12">
        <f>Y68*SUMIFS(Categories!$AJ$5:$AJ$11,Categories!$A$5:$A$11,B68)</f>
        <v/>
      </c>
      <c r="AA68" s="12">
        <f>Z68*J68</f>
        <v/>
      </c>
      <c r="AB68" s="12">
        <f>IF(AA68&lt;=0,0,(rate_below/100)*MIN(AA68,MAX(0,ceiling-D68))+(rate_above/100)*(AA68-MIN(AA68,MAX(0,ceiling-D68))))</f>
        <v/>
      </c>
      <c r="AC68" s="12">
        <f>AA68+AB68</f>
        <v/>
      </c>
      <c r="AD68" s="13">
        <f>SUMPRODUCT(($B$5:$B$216=B68)*($M$5:$M$216&lt;M68))+SUMPRODUCT(($B$5:$B$216=B68)*($M$5:$M$216=M68)*(ROW($M$5:$M$216)&lt;ROW(M68)))+1</f>
        <v/>
      </c>
      <c r="AE68" s="13">
        <f>COUNTIF($B$5:$B$216,B68)</f>
        <v/>
      </c>
      <c r="AF68" s="13">
        <f>SUMPRODUCT(($B$5:$B$216=B68)*($C$5:$C$216=C68)*($M$5:$M$216&lt;M68))+SUMPRODUCT(($B$5:$B$216=B68)*($C$5:$C$216=C68)*($M$5:$M$216=M68)*(ROW($M$5:$M$216)&lt;ROW(M68)))+1</f>
        <v/>
      </c>
      <c r="AG68" s="13">
        <f>COUNTIFS($B$5:$B$216,B68,$C$5:$C$216,C68)</f>
        <v/>
      </c>
    </row>
    <row r="69">
      <c r="A69" s="9" t="inlineStr">
        <is>
          <t>E065</t>
        </is>
      </c>
      <c r="B69" s="9" t="inlineStr">
        <is>
          <t>Operations</t>
        </is>
      </c>
      <c r="C69" s="9" t="inlineStr">
        <is>
          <t>F</t>
        </is>
      </c>
      <c r="D69" s="10" t="n">
        <v>39425.93</v>
      </c>
      <c r="E69" s="10" t="n">
        <v>2567.3</v>
      </c>
      <c r="F69" s="9" t="n">
        <v>4.1</v>
      </c>
      <c r="G69" s="9" t="n">
        <v>1</v>
      </c>
      <c r="H69" s="9" t="n">
        <v>1</v>
      </c>
      <c r="I69" s="9" t="n">
        <v>12</v>
      </c>
      <c r="J69" s="11">
        <f>H69*(I69/12)</f>
        <v/>
      </c>
      <c r="K69" s="12">
        <f>D69/J69</f>
        <v/>
      </c>
      <c r="L69" s="12">
        <f>E69/J69</f>
        <v/>
      </c>
      <c r="M69" s="12">
        <f>K69+L69</f>
        <v/>
      </c>
      <c r="N69" s="12">
        <f>D69+E69</f>
        <v/>
      </c>
      <c r="O69" s="12">
        <f>(SUMIFS($M$5:$M$216,$B$5:$B$216,B69,$AD$5:$AD$216,INT((AE69+1)/2))+SUMIFS($M$5:$M$216,$B$5:$B$216,B69,$AD$5:$AD$216,INT(AE69/2)+1))/2</f>
        <v/>
      </c>
      <c r="P69" s="13">
        <f>IF(AND(C69="F",M69&lt;O69,SUMIFS(Categories!$Z$5:$Z$11,Categories!$A$5:$A$11,B69)=1),1,0)</f>
        <v/>
      </c>
      <c r="Q69" s="12">
        <f>IF(P69=1,O69-M69,0)</f>
        <v/>
      </c>
      <c r="R69" s="11">
        <f>IF(AND(P69=1,SUMIFS(Categories!$AA$5:$AA$11,Categories!$A$5:$A$11,B69)&gt;0),Q69/SUMIFS(Categories!$AA$5:$AA$11,Categories!$A$5:$A$11,B69),0)</f>
        <v/>
      </c>
      <c r="S69" s="12">
        <f>R69*SUMIFS(Categories!$AB$5:$AB$11,Categories!$A$5:$A$11,B69)</f>
        <v/>
      </c>
      <c r="T69" s="12">
        <f>S69*J69</f>
        <v/>
      </c>
      <c r="U69" s="12">
        <f>IF(T69&lt;=0,0,(rate_below/100)*MIN(T69,MAX(0,ceiling-D69))+(rate_above/100)*(T69-MIN(T69,MAX(0,ceiling-D69))))</f>
        <v/>
      </c>
      <c r="V69" s="12">
        <f>T69+U69</f>
        <v/>
      </c>
      <c r="W69" s="13">
        <f>IF(AND(C69="F",M69&lt;O69,SUMIFS(Categories!$AH$5:$AH$11,Categories!$A$5:$A$11,B69)=1),1,0)</f>
        <v/>
      </c>
      <c r="X69" s="12">
        <f>IF(W69=1,O69-M69,0)</f>
        <v/>
      </c>
      <c r="Y69" s="11">
        <f>IF(AND(W69=1,SUMIFS(Categories!$AI$5:$AI$11,Categories!$A$5:$A$11,B69)&gt;0),X69/SUMIFS(Categories!$AI$5:$AI$11,Categories!$A$5:$A$11,B69),0)</f>
        <v/>
      </c>
      <c r="Z69" s="12">
        <f>Y69*SUMIFS(Categories!$AJ$5:$AJ$11,Categories!$A$5:$A$11,B69)</f>
        <v/>
      </c>
      <c r="AA69" s="12">
        <f>Z69*J69</f>
        <v/>
      </c>
      <c r="AB69" s="12">
        <f>IF(AA69&lt;=0,0,(rate_below/100)*MIN(AA69,MAX(0,ceiling-D69))+(rate_above/100)*(AA69-MIN(AA69,MAX(0,ceiling-D69))))</f>
        <v/>
      </c>
      <c r="AC69" s="12">
        <f>AA69+AB69</f>
        <v/>
      </c>
      <c r="AD69" s="13">
        <f>SUMPRODUCT(($B$5:$B$216=B69)*($M$5:$M$216&lt;M69))+SUMPRODUCT(($B$5:$B$216=B69)*($M$5:$M$216=M69)*(ROW($M$5:$M$216)&lt;ROW(M69)))+1</f>
        <v/>
      </c>
      <c r="AE69" s="13">
        <f>COUNTIF($B$5:$B$216,B69)</f>
        <v/>
      </c>
      <c r="AF69" s="13">
        <f>SUMPRODUCT(($B$5:$B$216=B69)*($C$5:$C$216=C69)*($M$5:$M$216&lt;M69))+SUMPRODUCT(($B$5:$B$216=B69)*($C$5:$C$216=C69)*($M$5:$M$216=M69)*(ROW($M$5:$M$216)&lt;ROW(M69)))+1</f>
        <v/>
      </c>
      <c r="AG69" s="13">
        <f>COUNTIFS($B$5:$B$216,B69,$C$5:$C$216,C69)</f>
        <v/>
      </c>
    </row>
    <row r="70">
      <c r="A70" s="9" t="inlineStr">
        <is>
          <t>E066</t>
        </is>
      </c>
      <c r="B70" s="9" t="inlineStr">
        <is>
          <t>Operations</t>
        </is>
      </c>
      <c r="C70" s="9" t="inlineStr">
        <is>
          <t>F</t>
        </is>
      </c>
      <c r="D70" s="10" t="n">
        <v>43435.62</v>
      </c>
      <c r="E70" s="10" t="n">
        <v>2706.95</v>
      </c>
      <c r="F70" s="9" t="n">
        <v>1.7</v>
      </c>
      <c r="G70" s="9" t="n">
        <v>2</v>
      </c>
      <c r="H70" s="9" t="n">
        <v>1</v>
      </c>
      <c r="I70" s="9" t="n">
        <v>12</v>
      </c>
      <c r="J70" s="11">
        <f>H70*(I70/12)</f>
        <v/>
      </c>
      <c r="K70" s="12">
        <f>D70/J70</f>
        <v/>
      </c>
      <c r="L70" s="12">
        <f>E70/J70</f>
        <v/>
      </c>
      <c r="M70" s="12">
        <f>K70+L70</f>
        <v/>
      </c>
      <c r="N70" s="12">
        <f>D70+E70</f>
        <v/>
      </c>
      <c r="O70" s="12">
        <f>(SUMIFS($M$5:$M$216,$B$5:$B$216,B70,$AD$5:$AD$216,INT((AE70+1)/2))+SUMIFS($M$5:$M$216,$B$5:$B$216,B70,$AD$5:$AD$216,INT(AE70/2)+1))/2</f>
        <v/>
      </c>
      <c r="P70" s="13">
        <f>IF(AND(C70="F",M70&lt;O70,SUMIFS(Categories!$Z$5:$Z$11,Categories!$A$5:$A$11,B70)=1),1,0)</f>
        <v/>
      </c>
      <c r="Q70" s="12">
        <f>IF(P70=1,O70-M70,0)</f>
        <v/>
      </c>
      <c r="R70" s="11">
        <f>IF(AND(P70=1,SUMIFS(Categories!$AA$5:$AA$11,Categories!$A$5:$A$11,B70)&gt;0),Q70/SUMIFS(Categories!$AA$5:$AA$11,Categories!$A$5:$A$11,B70),0)</f>
        <v/>
      </c>
      <c r="S70" s="12">
        <f>R70*SUMIFS(Categories!$AB$5:$AB$11,Categories!$A$5:$A$11,B70)</f>
        <v/>
      </c>
      <c r="T70" s="12">
        <f>S70*J70</f>
        <v/>
      </c>
      <c r="U70" s="12">
        <f>IF(T70&lt;=0,0,(rate_below/100)*MIN(T70,MAX(0,ceiling-D70))+(rate_above/100)*(T70-MIN(T70,MAX(0,ceiling-D70))))</f>
        <v/>
      </c>
      <c r="V70" s="12">
        <f>T70+U70</f>
        <v/>
      </c>
      <c r="W70" s="13">
        <f>IF(AND(C70="F",M70&lt;O70,SUMIFS(Categories!$AH$5:$AH$11,Categories!$A$5:$A$11,B70)=1),1,0)</f>
        <v/>
      </c>
      <c r="X70" s="12">
        <f>IF(W70=1,O70-M70,0)</f>
        <v/>
      </c>
      <c r="Y70" s="11">
        <f>IF(AND(W70=1,SUMIFS(Categories!$AI$5:$AI$11,Categories!$A$5:$A$11,B70)&gt;0),X70/SUMIFS(Categories!$AI$5:$AI$11,Categories!$A$5:$A$11,B70),0)</f>
        <v/>
      </c>
      <c r="Z70" s="12">
        <f>Y70*SUMIFS(Categories!$AJ$5:$AJ$11,Categories!$A$5:$A$11,B70)</f>
        <v/>
      </c>
      <c r="AA70" s="12">
        <f>Z70*J70</f>
        <v/>
      </c>
      <c r="AB70" s="12">
        <f>IF(AA70&lt;=0,0,(rate_below/100)*MIN(AA70,MAX(0,ceiling-D70))+(rate_above/100)*(AA70-MIN(AA70,MAX(0,ceiling-D70))))</f>
        <v/>
      </c>
      <c r="AC70" s="12">
        <f>AA70+AB70</f>
        <v/>
      </c>
      <c r="AD70" s="13">
        <f>SUMPRODUCT(($B$5:$B$216=B70)*($M$5:$M$216&lt;M70))+SUMPRODUCT(($B$5:$B$216=B70)*($M$5:$M$216=M70)*(ROW($M$5:$M$216)&lt;ROW(M70)))+1</f>
        <v/>
      </c>
      <c r="AE70" s="13">
        <f>COUNTIF($B$5:$B$216,B70)</f>
        <v/>
      </c>
      <c r="AF70" s="13">
        <f>SUMPRODUCT(($B$5:$B$216=B70)*($C$5:$C$216=C70)*($M$5:$M$216&lt;M70))+SUMPRODUCT(($B$5:$B$216=B70)*($C$5:$C$216=C70)*($M$5:$M$216=M70)*(ROW($M$5:$M$216)&lt;ROW(M70)))+1</f>
        <v/>
      </c>
      <c r="AG70" s="13">
        <f>COUNTIFS($B$5:$B$216,B70,$C$5:$C$216,C70)</f>
        <v/>
      </c>
    </row>
    <row r="71">
      <c r="A71" s="9" t="inlineStr">
        <is>
          <t>E067</t>
        </is>
      </c>
      <c r="B71" s="9" t="inlineStr">
        <is>
          <t>Operations</t>
        </is>
      </c>
      <c r="C71" s="9" t="inlineStr">
        <is>
          <t>M</t>
        </is>
      </c>
      <c r="D71" s="10" t="n">
        <v>73721.75999999999</v>
      </c>
      <c r="E71" s="10" t="n">
        <v>7161.98</v>
      </c>
      <c r="F71" s="9" t="n">
        <v>6.7</v>
      </c>
      <c r="G71" s="9" t="n">
        <v>5</v>
      </c>
      <c r="H71" s="9" t="n">
        <v>1</v>
      </c>
      <c r="I71" s="9" t="n">
        <v>12</v>
      </c>
      <c r="J71" s="11">
        <f>H71*(I71/12)</f>
        <v/>
      </c>
      <c r="K71" s="12">
        <f>D71/J71</f>
        <v/>
      </c>
      <c r="L71" s="12">
        <f>E71/J71</f>
        <v/>
      </c>
      <c r="M71" s="12">
        <f>K71+L71</f>
        <v/>
      </c>
      <c r="N71" s="12">
        <f>D71+E71</f>
        <v/>
      </c>
      <c r="O71" s="12">
        <f>(SUMIFS($M$5:$M$216,$B$5:$B$216,B71,$AD$5:$AD$216,INT((AE71+1)/2))+SUMIFS($M$5:$M$216,$B$5:$B$216,B71,$AD$5:$AD$216,INT(AE71/2)+1))/2</f>
        <v/>
      </c>
      <c r="P71" s="13">
        <f>IF(AND(C71="F",M71&lt;O71,SUMIFS(Categories!$Z$5:$Z$11,Categories!$A$5:$A$11,B71)=1),1,0)</f>
        <v/>
      </c>
      <c r="Q71" s="12">
        <f>IF(P71=1,O71-M71,0)</f>
        <v/>
      </c>
      <c r="R71" s="11">
        <f>IF(AND(P71=1,SUMIFS(Categories!$AA$5:$AA$11,Categories!$A$5:$A$11,B71)&gt;0),Q71/SUMIFS(Categories!$AA$5:$AA$11,Categories!$A$5:$A$11,B71),0)</f>
        <v/>
      </c>
      <c r="S71" s="12">
        <f>R71*SUMIFS(Categories!$AB$5:$AB$11,Categories!$A$5:$A$11,B71)</f>
        <v/>
      </c>
      <c r="T71" s="12">
        <f>S71*J71</f>
        <v/>
      </c>
      <c r="U71" s="12">
        <f>IF(T71&lt;=0,0,(rate_below/100)*MIN(T71,MAX(0,ceiling-D71))+(rate_above/100)*(T71-MIN(T71,MAX(0,ceiling-D71))))</f>
        <v/>
      </c>
      <c r="V71" s="12">
        <f>T71+U71</f>
        <v/>
      </c>
      <c r="W71" s="13">
        <f>IF(AND(C71="F",M71&lt;O71,SUMIFS(Categories!$AH$5:$AH$11,Categories!$A$5:$A$11,B71)=1),1,0)</f>
        <v/>
      </c>
      <c r="X71" s="12">
        <f>IF(W71=1,O71-M71,0)</f>
        <v/>
      </c>
      <c r="Y71" s="11">
        <f>IF(AND(W71=1,SUMIFS(Categories!$AI$5:$AI$11,Categories!$A$5:$A$11,B71)&gt;0),X71/SUMIFS(Categories!$AI$5:$AI$11,Categories!$A$5:$A$11,B71),0)</f>
        <v/>
      </c>
      <c r="Z71" s="12">
        <f>Y71*SUMIFS(Categories!$AJ$5:$AJ$11,Categories!$A$5:$A$11,B71)</f>
        <v/>
      </c>
      <c r="AA71" s="12">
        <f>Z71*J71</f>
        <v/>
      </c>
      <c r="AB71" s="12">
        <f>IF(AA71&lt;=0,0,(rate_below/100)*MIN(AA71,MAX(0,ceiling-D71))+(rate_above/100)*(AA71-MIN(AA71,MAX(0,ceiling-D71))))</f>
        <v/>
      </c>
      <c r="AC71" s="12">
        <f>AA71+AB71</f>
        <v/>
      </c>
      <c r="AD71" s="13">
        <f>SUMPRODUCT(($B$5:$B$216=B71)*($M$5:$M$216&lt;M71))+SUMPRODUCT(($B$5:$B$216=B71)*($M$5:$M$216=M71)*(ROW($M$5:$M$216)&lt;ROW(M71)))+1</f>
        <v/>
      </c>
      <c r="AE71" s="13">
        <f>COUNTIF($B$5:$B$216,B71)</f>
        <v/>
      </c>
      <c r="AF71" s="13">
        <f>SUMPRODUCT(($B$5:$B$216=B71)*($C$5:$C$216=C71)*($M$5:$M$216&lt;M71))+SUMPRODUCT(($B$5:$B$216=B71)*($C$5:$C$216=C71)*($M$5:$M$216=M71)*(ROW($M$5:$M$216)&lt;ROW(M71)))+1</f>
        <v/>
      </c>
      <c r="AG71" s="13">
        <f>COUNTIFS($B$5:$B$216,B71,$C$5:$C$216,C71)</f>
        <v/>
      </c>
    </row>
    <row r="72">
      <c r="A72" s="9" t="inlineStr">
        <is>
          <t>E068</t>
        </is>
      </c>
      <c r="B72" s="9" t="inlineStr">
        <is>
          <t>Operations</t>
        </is>
      </c>
      <c r="C72" s="9" t="inlineStr">
        <is>
          <t>F</t>
        </is>
      </c>
      <c r="D72" s="10" t="n">
        <v>72303.96000000001</v>
      </c>
      <c r="E72" s="10" t="n">
        <v>6189.42</v>
      </c>
      <c r="F72" s="9" t="n">
        <v>8.1</v>
      </c>
      <c r="G72" s="9" t="n">
        <v>6</v>
      </c>
      <c r="H72" s="9" t="n">
        <v>1</v>
      </c>
      <c r="I72" s="9" t="n">
        <v>12</v>
      </c>
      <c r="J72" s="11">
        <f>H72*(I72/12)</f>
        <v/>
      </c>
      <c r="K72" s="12">
        <f>D72/J72</f>
        <v/>
      </c>
      <c r="L72" s="12">
        <f>E72/J72</f>
        <v/>
      </c>
      <c r="M72" s="12">
        <f>K72+L72</f>
        <v/>
      </c>
      <c r="N72" s="12">
        <f>D72+E72</f>
        <v/>
      </c>
      <c r="O72" s="12">
        <f>(SUMIFS($M$5:$M$216,$B$5:$B$216,B72,$AD$5:$AD$216,INT((AE72+1)/2))+SUMIFS($M$5:$M$216,$B$5:$B$216,B72,$AD$5:$AD$216,INT(AE72/2)+1))/2</f>
        <v/>
      </c>
      <c r="P72" s="13">
        <f>IF(AND(C72="F",M72&lt;O72,SUMIFS(Categories!$Z$5:$Z$11,Categories!$A$5:$A$11,B72)=1),1,0)</f>
        <v/>
      </c>
      <c r="Q72" s="12">
        <f>IF(P72=1,O72-M72,0)</f>
        <v/>
      </c>
      <c r="R72" s="11">
        <f>IF(AND(P72=1,SUMIFS(Categories!$AA$5:$AA$11,Categories!$A$5:$A$11,B72)&gt;0),Q72/SUMIFS(Categories!$AA$5:$AA$11,Categories!$A$5:$A$11,B72),0)</f>
        <v/>
      </c>
      <c r="S72" s="12">
        <f>R72*SUMIFS(Categories!$AB$5:$AB$11,Categories!$A$5:$A$11,B72)</f>
        <v/>
      </c>
      <c r="T72" s="12">
        <f>S72*J72</f>
        <v/>
      </c>
      <c r="U72" s="12">
        <f>IF(T72&lt;=0,0,(rate_below/100)*MIN(T72,MAX(0,ceiling-D72))+(rate_above/100)*(T72-MIN(T72,MAX(0,ceiling-D72))))</f>
        <v/>
      </c>
      <c r="V72" s="12">
        <f>T72+U72</f>
        <v/>
      </c>
      <c r="W72" s="13">
        <f>IF(AND(C72="F",M72&lt;O72,SUMIFS(Categories!$AH$5:$AH$11,Categories!$A$5:$A$11,B72)=1),1,0)</f>
        <v/>
      </c>
      <c r="X72" s="12">
        <f>IF(W72=1,O72-M72,0)</f>
        <v/>
      </c>
      <c r="Y72" s="11">
        <f>IF(AND(W72=1,SUMIFS(Categories!$AI$5:$AI$11,Categories!$A$5:$A$11,B72)&gt;0),X72/SUMIFS(Categories!$AI$5:$AI$11,Categories!$A$5:$A$11,B72),0)</f>
        <v/>
      </c>
      <c r="Z72" s="12">
        <f>Y72*SUMIFS(Categories!$AJ$5:$AJ$11,Categories!$A$5:$A$11,B72)</f>
        <v/>
      </c>
      <c r="AA72" s="12">
        <f>Z72*J72</f>
        <v/>
      </c>
      <c r="AB72" s="12">
        <f>IF(AA72&lt;=0,0,(rate_below/100)*MIN(AA72,MAX(0,ceiling-D72))+(rate_above/100)*(AA72-MIN(AA72,MAX(0,ceiling-D72))))</f>
        <v/>
      </c>
      <c r="AC72" s="12">
        <f>AA72+AB72</f>
        <v/>
      </c>
      <c r="AD72" s="13">
        <f>SUMPRODUCT(($B$5:$B$216=B72)*($M$5:$M$216&lt;M72))+SUMPRODUCT(($B$5:$B$216=B72)*($M$5:$M$216=M72)*(ROW($M$5:$M$216)&lt;ROW(M72)))+1</f>
        <v/>
      </c>
      <c r="AE72" s="13">
        <f>COUNTIF($B$5:$B$216,B72)</f>
        <v/>
      </c>
      <c r="AF72" s="13">
        <f>SUMPRODUCT(($B$5:$B$216=B72)*($C$5:$C$216=C72)*($M$5:$M$216&lt;M72))+SUMPRODUCT(($B$5:$B$216=B72)*($C$5:$C$216=C72)*($M$5:$M$216=M72)*(ROW($M$5:$M$216)&lt;ROW(M72)))+1</f>
        <v/>
      </c>
      <c r="AG72" s="13">
        <f>COUNTIFS($B$5:$B$216,B72,$C$5:$C$216,C72)</f>
        <v/>
      </c>
    </row>
    <row r="73">
      <c r="A73" s="9" t="inlineStr">
        <is>
          <t>E069</t>
        </is>
      </c>
      <c r="B73" s="9" t="inlineStr">
        <is>
          <t>Operations</t>
        </is>
      </c>
      <c r="C73" s="9" t="inlineStr">
        <is>
          <t>F</t>
        </is>
      </c>
      <c r="D73" s="10" t="n">
        <v>38097.77</v>
      </c>
      <c r="E73" s="10" t="n">
        <v>3400.19</v>
      </c>
      <c r="F73" s="9" t="n">
        <v>3.3</v>
      </c>
      <c r="G73" s="9" t="n">
        <v>1</v>
      </c>
      <c r="H73" s="9" t="n">
        <v>1</v>
      </c>
      <c r="I73" s="9" t="n">
        <v>12</v>
      </c>
      <c r="J73" s="11">
        <f>H73*(I73/12)</f>
        <v/>
      </c>
      <c r="K73" s="12">
        <f>D73/J73</f>
        <v/>
      </c>
      <c r="L73" s="12">
        <f>E73/J73</f>
        <v/>
      </c>
      <c r="M73" s="12">
        <f>K73+L73</f>
        <v/>
      </c>
      <c r="N73" s="12">
        <f>D73+E73</f>
        <v/>
      </c>
      <c r="O73" s="12">
        <f>(SUMIFS($M$5:$M$216,$B$5:$B$216,B73,$AD$5:$AD$216,INT((AE73+1)/2))+SUMIFS($M$5:$M$216,$B$5:$B$216,B73,$AD$5:$AD$216,INT(AE73/2)+1))/2</f>
        <v/>
      </c>
      <c r="P73" s="13">
        <f>IF(AND(C73="F",M73&lt;O73,SUMIFS(Categories!$Z$5:$Z$11,Categories!$A$5:$A$11,B73)=1),1,0)</f>
        <v/>
      </c>
      <c r="Q73" s="12">
        <f>IF(P73=1,O73-M73,0)</f>
        <v/>
      </c>
      <c r="R73" s="11">
        <f>IF(AND(P73=1,SUMIFS(Categories!$AA$5:$AA$11,Categories!$A$5:$A$11,B73)&gt;0),Q73/SUMIFS(Categories!$AA$5:$AA$11,Categories!$A$5:$A$11,B73),0)</f>
        <v/>
      </c>
      <c r="S73" s="12">
        <f>R73*SUMIFS(Categories!$AB$5:$AB$11,Categories!$A$5:$A$11,B73)</f>
        <v/>
      </c>
      <c r="T73" s="12">
        <f>S73*J73</f>
        <v/>
      </c>
      <c r="U73" s="12">
        <f>IF(T73&lt;=0,0,(rate_below/100)*MIN(T73,MAX(0,ceiling-D73))+(rate_above/100)*(T73-MIN(T73,MAX(0,ceiling-D73))))</f>
        <v/>
      </c>
      <c r="V73" s="12">
        <f>T73+U73</f>
        <v/>
      </c>
      <c r="W73" s="13">
        <f>IF(AND(C73="F",M73&lt;O73,SUMIFS(Categories!$AH$5:$AH$11,Categories!$A$5:$A$11,B73)=1),1,0)</f>
        <v/>
      </c>
      <c r="X73" s="12">
        <f>IF(W73=1,O73-M73,0)</f>
        <v/>
      </c>
      <c r="Y73" s="11">
        <f>IF(AND(W73=1,SUMIFS(Categories!$AI$5:$AI$11,Categories!$A$5:$A$11,B73)&gt;0),X73/SUMIFS(Categories!$AI$5:$AI$11,Categories!$A$5:$A$11,B73),0)</f>
        <v/>
      </c>
      <c r="Z73" s="12">
        <f>Y73*SUMIFS(Categories!$AJ$5:$AJ$11,Categories!$A$5:$A$11,B73)</f>
        <v/>
      </c>
      <c r="AA73" s="12">
        <f>Z73*J73</f>
        <v/>
      </c>
      <c r="AB73" s="12">
        <f>IF(AA73&lt;=0,0,(rate_below/100)*MIN(AA73,MAX(0,ceiling-D73))+(rate_above/100)*(AA73-MIN(AA73,MAX(0,ceiling-D73))))</f>
        <v/>
      </c>
      <c r="AC73" s="12">
        <f>AA73+AB73</f>
        <v/>
      </c>
      <c r="AD73" s="13">
        <f>SUMPRODUCT(($B$5:$B$216=B73)*($M$5:$M$216&lt;M73))+SUMPRODUCT(($B$5:$B$216=B73)*($M$5:$M$216=M73)*(ROW($M$5:$M$216)&lt;ROW(M73)))+1</f>
        <v/>
      </c>
      <c r="AE73" s="13">
        <f>COUNTIF($B$5:$B$216,B73)</f>
        <v/>
      </c>
      <c r="AF73" s="13">
        <f>SUMPRODUCT(($B$5:$B$216=B73)*($C$5:$C$216=C73)*($M$5:$M$216&lt;M73))+SUMPRODUCT(($B$5:$B$216=B73)*($C$5:$C$216=C73)*($M$5:$M$216=M73)*(ROW($M$5:$M$216)&lt;ROW(M73)))+1</f>
        <v/>
      </c>
      <c r="AG73" s="13">
        <f>COUNTIFS($B$5:$B$216,B73,$C$5:$C$216,C73)</f>
        <v/>
      </c>
    </row>
    <row r="74">
      <c r="A74" s="9" t="inlineStr">
        <is>
          <t>E070</t>
        </is>
      </c>
      <c r="B74" s="9" t="inlineStr">
        <is>
          <t>Operations</t>
        </is>
      </c>
      <c r="C74" s="9" t="inlineStr">
        <is>
          <t>M</t>
        </is>
      </c>
      <c r="D74" s="10" t="n">
        <v>52223.48</v>
      </c>
      <c r="E74" s="10" t="n">
        <v>5217.01</v>
      </c>
      <c r="F74" s="9" t="n">
        <v>5.1</v>
      </c>
      <c r="G74" s="9" t="n">
        <v>3</v>
      </c>
      <c r="H74" s="9" t="n">
        <v>1</v>
      </c>
      <c r="I74" s="9" t="n">
        <v>12</v>
      </c>
      <c r="J74" s="11">
        <f>H74*(I74/12)</f>
        <v/>
      </c>
      <c r="K74" s="12">
        <f>D74/J74</f>
        <v/>
      </c>
      <c r="L74" s="12">
        <f>E74/J74</f>
        <v/>
      </c>
      <c r="M74" s="12">
        <f>K74+L74</f>
        <v/>
      </c>
      <c r="N74" s="12">
        <f>D74+E74</f>
        <v/>
      </c>
      <c r="O74" s="12">
        <f>(SUMIFS($M$5:$M$216,$B$5:$B$216,B74,$AD$5:$AD$216,INT((AE74+1)/2))+SUMIFS($M$5:$M$216,$B$5:$B$216,B74,$AD$5:$AD$216,INT(AE74/2)+1))/2</f>
        <v/>
      </c>
      <c r="P74" s="13">
        <f>IF(AND(C74="F",M74&lt;O74,SUMIFS(Categories!$Z$5:$Z$11,Categories!$A$5:$A$11,B74)=1),1,0)</f>
        <v/>
      </c>
      <c r="Q74" s="12">
        <f>IF(P74=1,O74-M74,0)</f>
        <v/>
      </c>
      <c r="R74" s="11">
        <f>IF(AND(P74=1,SUMIFS(Categories!$AA$5:$AA$11,Categories!$A$5:$A$11,B74)&gt;0),Q74/SUMIFS(Categories!$AA$5:$AA$11,Categories!$A$5:$A$11,B74),0)</f>
        <v/>
      </c>
      <c r="S74" s="12">
        <f>R74*SUMIFS(Categories!$AB$5:$AB$11,Categories!$A$5:$A$11,B74)</f>
        <v/>
      </c>
      <c r="T74" s="12">
        <f>S74*J74</f>
        <v/>
      </c>
      <c r="U74" s="12">
        <f>IF(T74&lt;=0,0,(rate_below/100)*MIN(T74,MAX(0,ceiling-D74))+(rate_above/100)*(T74-MIN(T74,MAX(0,ceiling-D74))))</f>
        <v/>
      </c>
      <c r="V74" s="12">
        <f>T74+U74</f>
        <v/>
      </c>
      <c r="W74" s="13">
        <f>IF(AND(C74="F",M74&lt;O74,SUMIFS(Categories!$AH$5:$AH$11,Categories!$A$5:$A$11,B74)=1),1,0)</f>
        <v/>
      </c>
      <c r="X74" s="12">
        <f>IF(W74=1,O74-M74,0)</f>
        <v/>
      </c>
      <c r="Y74" s="11">
        <f>IF(AND(W74=1,SUMIFS(Categories!$AI$5:$AI$11,Categories!$A$5:$A$11,B74)&gt;0),X74/SUMIFS(Categories!$AI$5:$AI$11,Categories!$A$5:$A$11,B74),0)</f>
        <v/>
      </c>
      <c r="Z74" s="12">
        <f>Y74*SUMIFS(Categories!$AJ$5:$AJ$11,Categories!$A$5:$A$11,B74)</f>
        <v/>
      </c>
      <c r="AA74" s="12">
        <f>Z74*J74</f>
        <v/>
      </c>
      <c r="AB74" s="12">
        <f>IF(AA74&lt;=0,0,(rate_below/100)*MIN(AA74,MAX(0,ceiling-D74))+(rate_above/100)*(AA74-MIN(AA74,MAX(0,ceiling-D74))))</f>
        <v/>
      </c>
      <c r="AC74" s="12">
        <f>AA74+AB74</f>
        <v/>
      </c>
      <c r="AD74" s="13">
        <f>SUMPRODUCT(($B$5:$B$216=B74)*($M$5:$M$216&lt;M74))+SUMPRODUCT(($B$5:$B$216=B74)*($M$5:$M$216=M74)*(ROW($M$5:$M$216)&lt;ROW(M74)))+1</f>
        <v/>
      </c>
      <c r="AE74" s="13">
        <f>COUNTIF($B$5:$B$216,B74)</f>
        <v/>
      </c>
      <c r="AF74" s="13">
        <f>SUMPRODUCT(($B$5:$B$216=B74)*($C$5:$C$216=C74)*($M$5:$M$216&lt;M74))+SUMPRODUCT(($B$5:$B$216=B74)*($C$5:$C$216=C74)*($M$5:$M$216=M74)*(ROW($M$5:$M$216)&lt;ROW(M74)))+1</f>
        <v/>
      </c>
      <c r="AG74" s="13">
        <f>COUNTIFS($B$5:$B$216,B74,$C$5:$C$216,C74)</f>
        <v/>
      </c>
    </row>
    <row r="75">
      <c r="A75" s="9" t="inlineStr">
        <is>
          <t>E071</t>
        </is>
      </c>
      <c r="B75" s="9" t="inlineStr">
        <is>
          <t>Operations</t>
        </is>
      </c>
      <c r="C75" s="9" t="inlineStr">
        <is>
          <t>F</t>
        </is>
      </c>
      <c r="D75" s="10" t="n">
        <v>46899.73</v>
      </c>
      <c r="E75" s="10" t="n">
        <v>3721.12</v>
      </c>
      <c r="F75" s="9" t="n">
        <v>3.9</v>
      </c>
      <c r="G75" s="9" t="n">
        <v>2</v>
      </c>
      <c r="H75" s="9" t="n">
        <v>1</v>
      </c>
      <c r="I75" s="9" t="n">
        <v>12</v>
      </c>
      <c r="J75" s="11">
        <f>H75*(I75/12)</f>
        <v/>
      </c>
      <c r="K75" s="12">
        <f>D75/J75</f>
        <v/>
      </c>
      <c r="L75" s="12">
        <f>E75/J75</f>
        <v/>
      </c>
      <c r="M75" s="12">
        <f>K75+L75</f>
        <v/>
      </c>
      <c r="N75" s="12">
        <f>D75+E75</f>
        <v/>
      </c>
      <c r="O75" s="12">
        <f>(SUMIFS($M$5:$M$216,$B$5:$B$216,B75,$AD$5:$AD$216,INT((AE75+1)/2))+SUMIFS($M$5:$M$216,$B$5:$B$216,B75,$AD$5:$AD$216,INT(AE75/2)+1))/2</f>
        <v/>
      </c>
      <c r="P75" s="13">
        <f>IF(AND(C75="F",M75&lt;O75,SUMIFS(Categories!$Z$5:$Z$11,Categories!$A$5:$A$11,B75)=1),1,0)</f>
        <v/>
      </c>
      <c r="Q75" s="12">
        <f>IF(P75=1,O75-M75,0)</f>
        <v/>
      </c>
      <c r="R75" s="11">
        <f>IF(AND(P75=1,SUMIFS(Categories!$AA$5:$AA$11,Categories!$A$5:$A$11,B75)&gt;0),Q75/SUMIFS(Categories!$AA$5:$AA$11,Categories!$A$5:$A$11,B75),0)</f>
        <v/>
      </c>
      <c r="S75" s="12">
        <f>R75*SUMIFS(Categories!$AB$5:$AB$11,Categories!$A$5:$A$11,B75)</f>
        <v/>
      </c>
      <c r="T75" s="12">
        <f>S75*J75</f>
        <v/>
      </c>
      <c r="U75" s="12">
        <f>IF(T75&lt;=0,0,(rate_below/100)*MIN(T75,MAX(0,ceiling-D75))+(rate_above/100)*(T75-MIN(T75,MAX(0,ceiling-D75))))</f>
        <v/>
      </c>
      <c r="V75" s="12">
        <f>T75+U75</f>
        <v/>
      </c>
      <c r="W75" s="13">
        <f>IF(AND(C75="F",M75&lt;O75,SUMIFS(Categories!$AH$5:$AH$11,Categories!$A$5:$A$11,B75)=1),1,0)</f>
        <v/>
      </c>
      <c r="X75" s="12">
        <f>IF(W75=1,O75-M75,0)</f>
        <v/>
      </c>
      <c r="Y75" s="11">
        <f>IF(AND(W75=1,SUMIFS(Categories!$AI$5:$AI$11,Categories!$A$5:$A$11,B75)&gt;0),X75/SUMIFS(Categories!$AI$5:$AI$11,Categories!$A$5:$A$11,B75),0)</f>
        <v/>
      </c>
      <c r="Z75" s="12">
        <f>Y75*SUMIFS(Categories!$AJ$5:$AJ$11,Categories!$A$5:$A$11,B75)</f>
        <v/>
      </c>
      <c r="AA75" s="12">
        <f>Z75*J75</f>
        <v/>
      </c>
      <c r="AB75" s="12">
        <f>IF(AA75&lt;=0,0,(rate_below/100)*MIN(AA75,MAX(0,ceiling-D75))+(rate_above/100)*(AA75-MIN(AA75,MAX(0,ceiling-D75))))</f>
        <v/>
      </c>
      <c r="AC75" s="12">
        <f>AA75+AB75</f>
        <v/>
      </c>
      <c r="AD75" s="13">
        <f>SUMPRODUCT(($B$5:$B$216=B75)*($M$5:$M$216&lt;M75))+SUMPRODUCT(($B$5:$B$216=B75)*($M$5:$M$216=M75)*(ROW($M$5:$M$216)&lt;ROW(M75)))+1</f>
        <v/>
      </c>
      <c r="AE75" s="13">
        <f>COUNTIF($B$5:$B$216,B75)</f>
        <v/>
      </c>
      <c r="AF75" s="13">
        <f>SUMPRODUCT(($B$5:$B$216=B75)*($C$5:$C$216=C75)*($M$5:$M$216&lt;M75))+SUMPRODUCT(($B$5:$B$216=B75)*($C$5:$C$216=C75)*($M$5:$M$216=M75)*(ROW($M$5:$M$216)&lt;ROW(M75)))+1</f>
        <v/>
      </c>
      <c r="AG75" s="13">
        <f>COUNTIFS($B$5:$B$216,B75,$C$5:$C$216,C75)</f>
        <v/>
      </c>
    </row>
    <row r="76">
      <c r="A76" s="9" t="inlineStr">
        <is>
          <t>E072</t>
        </is>
      </c>
      <c r="B76" s="9" t="inlineStr">
        <is>
          <t>Operations</t>
        </is>
      </c>
      <c r="C76" s="9" t="inlineStr">
        <is>
          <t>F</t>
        </is>
      </c>
      <c r="D76" s="10" t="n">
        <v>46883.03</v>
      </c>
      <c r="E76" s="10" t="n">
        <v>3888.39</v>
      </c>
      <c r="F76" s="9" t="n">
        <v>6.6</v>
      </c>
      <c r="G76" s="9" t="n">
        <v>2</v>
      </c>
      <c r="H76" s="9" t="n">
        <v>1</v>
      </c>
      <c r="I76" s="9" t="n">
        <v>12</v>
      </c>
      <c r="J76" s="11">
        <f>H76*(I76/12)</f>
        <v/>
      </c>
      <c r="K76" s="12">
        <f>D76/J76</f>
        <v/>
      </c>
      <c r="L76" s="12">
        <f>E76/J76</f>
        <v/>
      </c>
      <c r="M76" s="12">
        <f>K76+L76</f>
        <v/>
      </c>
      <c r="N76" s="12">
        <f>D76+E76</f>
        <v/>
      </c>
      <c r="O76" s="12">
        <f>(SUMIFS($M$5:$M$216,$B$5:$B$216,B76,$AD$5:$AD$216,INT((AE76+1)/2))+SUMIFS($M$5:$M$216,$B$5:$B$216,B76,$AD$5:$AD$216,INT(AE76/2)+1))/2</f>
        <v/>
      </c>
      <c r="P76" s="13">
        <f>IF(AND(C76="F",M76&lt;O76,SUMIFS(Categories!$Z$5:$Z$11,Categories!$A$5:$A$11,B76)=1),1,0)</f>
        <v/>
      </c>
      <c r="Q76" s="12">
        <f>IF(P76=1,O76-M76,0)</f>
        <v/>
      </c>
      <c r="R76" s="11">
        <f>IF(AND(P76=1,SUMIFS(Categories!$AA$5:$AA$11,Categories!$A$5:$A$11,B76)&gt;0),Q76/SUMIFS(Categories!$AA$5:$AA$11,Categories!$A$5:$A$11,B76),0)</f>
        <v/>
      </c>
      <c r="S76" s="12">
        <f>R76*SUMIFS(Categories!$AB$5:$AB$11,Categories!$A$5:$A$11,B76)</f>
        <v/>
      </c>
      <c r="T76" s="12">
        <f>S76*J76</f>
        <v/>
      </c>
      <c r="U76" s="12">
        <f>IF(T76&lt;=0,0,(rate_below/100)*MIN(T76,MAX(0,ceiling-D76))+(rate_above/100)*(T76-MIN(T76,MAX(0,ceiling-D76))))</f>
        <v/>
      </c>
      <c r="V76" s="12">
        <f>T76+U76</f>
        <v/>
      </c>
      <c r="W76" s="13">
        <f>IF(AND(C76="F",M76&lt;O76,SUMIFS(Categories!$AH$5:$AH$11,Categories!$A$5:$A$11,B76)=1),1,0)</f>
        <v/>
      </c>
      <c r="X76" s="12">
        <f>IF(W76=1,O76-M76,0)</f>
        <v/>
      </c>
      <c r="Y76" s="11">
        <f>IF(AND(W76=1,SUMIFS(Categories!$AI$5:$AI$11,Categories!$A$5:$A$11,B76)&gt;0),X76/SUMIFS(Categories!$AI$5:$AI$11,Categories!$A$5:$A$11,B76),0)</f>
        <v/>
      </c>
      <c r="Z76" s="12">
        <f>Y76*SUMIFS(Categories!$AJ$5:$AJ$11,Categories!$A$5:$A$11,B76)</f>
        <v/>
      </c>
      <c r="AA76" s="12">
        <f>Z76*J76</f>
        <v/>
      </c>
      <c r="AB76" s="12">
        <f>IF(AA76&lt;=0,0,(rate_below/100)*MIN(AA76,MAX(0,ceiling-D76))+(rate_above/100)*(AA76-MIN(AA76,MAX(0,ceiling-D76))))</f>
        <v/>
      </c>
      <c r="AC76" s="12">
        <f>AA76+AB76</f>
        <v/>
      </c>
      <c r="AD76" s="13">
        <f>SUMPRODUCT(($B$5:$B$216=B76)*($M$5:$M$216&lt;M76))+SUMPRODUCT(($B$5:$B$216=B76)*($M$5:$M$216=M76)*(ROW($M$5:$M$216)&lt;ROW(M76)))+1</f>
        <v/>
      </c>
      <c r="AE76" s="13">
        <f>COUNTIF($B$5:$B$216,B76)</f>
        <v/>
      </c>
      <c r="AF76" s="13">
        <f>SUMPRODUCT(($B$5:$B$216=B76)*($C$5:$C$216=C76)*($M$5:$M$216&lt;M76))+SUMPRODUCT(($B$5:$B$216=B76)*($C$5:$C$216=C76)*($M$5:$M$216=M76)*(ROW($M$5:$M$216)&lt;ROW(M76)))+1</f>
        <v/>
      </c>
      <c r="AG76" s="13">
        <f>COUNTIFS($B$5:$B$216,B76,$C$5:$C$216,C76)</f>
        <v/>
      </c>
    </row>
    <row r="77">
      <c r="A77" s="9" t="inlineStr">
        <is>
          <t>E073</t>
        </is>
      </c>
      <c r="B77" s="9" t="inlineStr">
        <is>
          <t>Operations</t>
        </is>
      </c>
      <c r="C77" s="9" t="inlineStr">
        <is>
          <t>M</t>
        </is>
      </c>
      <c r="D77" s="10" t="n">
        <v>60207.88</v>
      </c>
      <c r="E77" s="10" t="n">
        <v>4514.99</v>
      </c>
      <c r="F77" s="9" t="n">
        <v>8.9</v>
      </c>
      <c r="G77" s="9" t="n">
        <v>4</v>
      </c>
      <c r="H77" s="9" t="n">
        <v>1</v>
      </c>
      <c r="I77" s="9" t="n">
        <v>12</v>
      </c>
      <c r="J77" s="11">
        <f>H77*(I77/12)</f>
        <v/>
      </c>
      <c r="K77" s="12">
        <f>D77/J77</f>
        <v/>
      </c>
      <c r="L77" s="12">
        <f>E77/J77</f>
        <v/>
      </c>
      <c r="M77" s="12">
        <f>K77+L77</f>
        <v/>
      </c>
      <c r="N77" s="12">
        <f>D77+E77</f>
        <v/>
      </c>
      <c r="O77" s="12">
        <f>(SUMIFS($M$5:$M$216,$B$5:$B$216,B77,$AD$5:$AD$216,INT((AE77+1)/2))+SUMIFS($M$5:$M$216,$B$5:$B$216,B77,$AD$5:$AD$216,INT(AE77/2)+1))/2</f>
        <v/>
      </c>
      <c r="P77" s="13">
        <f>IF(AND(C77="F",M77&lt;O77,SUMIFS(Categories!$Z$5:$Z$11,Categories!$A$5:$A$11,B77)=1),1,0)</f>
        <v/>
      </c>
      <c r="Q77" s="12">
        <f>IF(P77=1,O77-M77,0)</f>
        <v/>
      </c>
      <c r="R77" s="11">
        <f>IF(AND(P77=1,SUMIFS(Categories!$AA$5:$AA$11,Categories!$A$5:$A$11,B77)&gt;0),Q77/SUMIFS(Categories!$AA$5:$AA$11,Categories!$A$5:$A$11,B77),0)</f>
        <v/>
      </c>
      <c r="S77" s="12">
        <f>R77*SUMIFS(Categories!$AB$5:$AB$11,Categories!$A$5:$A$11,B77)</f>
        <v/>
      </c>
      <c r="T77" s="12">
        <f>S77*J77</f>
        <v/>
      </c>
      <c r="U77" s="12">
        <f>IF(T77&lt;=0,0,(rate_below/100)*MIN(T77,MAX(0,ceiling-D77))+(rate_above/100)*(T77-MIN(T77,MAX(0,ceiling-D77))))</f>
        <v/>
      </c>
      <c r="V77" s="12">
        <f>T77+U77</f>
        <v/>
      </c>
      <c r="W77" s="13">
        <f>IF(AND(C77="F",M77&lt;O77,SUMIFS(Categories!$AH$5:$AH$11,Categories!$A$5:$A$11,B77)=1),1,0)</f>
        <v/>
      </c>
      <c r="X77" s="12">
        <f>IF(W77=1,O77-M77,0)</f>
        <v/>
      </c>
      <c r="Y77" s="11">
        <f>IF(AND(W77=1,SUMIFS(Categories!$AI$5:$AI$11,Categories!$A$5:$A$11,B77)&gt;0),X77/SUMIFS(Categories!$AI$5:$AI$11,Categories!$A$5:$A$11,B77),0)</f>
        <v/>
      </c>
      <c r="Z77" s="12">
        <f>Y77*SUMIFS(Categories!$AJ$5:$AJ$11,Categories!$A$5:$A$11,B77)</f>
        <v/>
      </c>
      <c r="AA77" s="12">
        <f>Z77*J77</f>
        <v/>
      </c>
      <c r="AB77" s="12">
        <f>IF(AA77&lt;=0,0,(rate_below/100)*MIN(AA77,MAX(0,ceiling-D77))+(rate_above/100)*(AA77-MIN(AA77,MAX(0,ceiling-D77))))</f>
        <v/>
      </c>
      <c r="AC77" s="12">
        <f>AA77+AB77</f>
        <v/>
      </c>
      <c r="AD77" s="13">
        <f>SUMPRODUCT(($B$5:$B$216=B77)*($M$5:$M$216&lt;M77))+SUMPRODUCT(($B$5:$B$216=B77)*($M$5:$M$216=M77)*(ROW($M$5:$M$216)&lt;ROW(M77)))+1</f>
        <v/>
      </c>
      <c r="AE77" s="13">
        <f>COUNTIF($B$5:$B$216,B77)</f>
        <v/>
      </c>
      <c r="AF77" s="13">
        <f>SUMPRODUCT(($B$5:$B$216=B77)*($C$5:$C$216=C77)*($M$5:$M$216&lt;M77))+SUMPRODUCT(($B$5:$B$216=B77)*($C$5:$C$216=C77)*($M$5:$M$216=M77)*(ROW($M$5:$M$216)&lt;ROW(M77)))+1</f>
        <v/>
      </c>
      <c r="AG77" s="13">
        <f>COUNTIFS($B$5:$B$216,B77,$C$5:$C$216,C77)</f>
        <v/>
      </c>
    </row>
    <row r="78">
      <c r="A78" s="9" t="inlineStr">
        <is>
          <t>E074</t>
        </is>
      </c>
      <c r="B78" s="9" t="inlineStr">
        <is>
          <t>Operations</t>
        </is>
      </c>
      <c r="C78" s="9" t="inlineStr">
        <is>
          <t>F</t>
        </is>
      </c>
      <c r="D78" s="10" t="n">
        <v>40428.87</v>
      </c>
      <c r="E78" s="10" t="n">
        <v>3449.95</v>
      </c>
      <c r="F78" s="9" t="n">
        <v>5.5</v>
      </c>
      <c r="G78" s="9" t="n">
        <v>2</v>
      </c>
      <c r="H78" s="9" t="n">
        <v>1</v>
      </c>
      <c r="I78" s="9" t="n">
        <v>12</v>
      </c>
      <c r="J78" s="11">
        <f>H78*(I78/12)</f>
        <v/>
      </c>
      <c r="K78" s="12">
        <f>D78/J78</f>
        <v/>
      </c>
      <c r="L78" s="12">
        <f>E78/J78</f>
        <v/>
      </c>
      <c r="M78" s="12">
        <f>K78+L78</f>
        <v/>
      </c>
      <c r="N78" s="12">
        <f>D78+E78</f>
        <v/>
      </c>
      <c r="O78" s="12">
        <f>(SUMIFS($M$5:$M$216,$B$5:$B$216,B78,$AD$5:$AD$216,INT((AE78+1)/2))+SUMIFS($M$5:$M$216,$B$5:$B$216,B78,$AD$5:$AD$216,INT(AE78/2)+1))/2</f>
        <v/>
      </c>
      <c r="P78" s="13">
        <f>IF(AND(C78="F",M78&lt;O78,SUMIFS(Categories!$Z$5:$Z$11,Categories!$A$5:$A$11,B78)=1),1,0)</f>
        <v/>
      </c>
      <c r="Q78" s="12">
        <f>IF(P78=1,O78-M78,0)</f>
        <v/>
      </c>
      <c r="R78" s="11">
        <f>IF(AND(P78=1,SUMIFS(Categories!$AA$5:$AA$11,Categories!$A$5:$A$11,B78)&gt;0),Q78/SUMIFS(Categories!$AA$5:$AA$11,Categories!$A$5:$A$11,B78),0)</f>
        <v/>
      </c>
      <c r="S78" s="12">
        <f>R78*SUMIFS(Categories!$AB$5:$AB$11,Categories!$A$5:$A$11,B78)</f>
        <v/>
      </c>
      <c r="T78" s="12">
        <f>S78*J78</f>
        <v/>
      </c>
      <c r="U78" s="12">
        <f>IF(T78&lt;=0,0,(rate_below/100)*MIN(T78,MAX(0,ceiling-D78))+(rate_above/100)*(T78-MIN(T78,MAX(0,ceiling-D78))))</f>
        <v/>
      </c>
      <c r="V78" s="12">
        <f>T78+U78</f>
        <v/>
      </c>
      <c r="W78" s="13">
        <f>IF(AND(C78="F",M78&lt;O78,SUMIFS(Categories!$AH$5:$AH$11,Categories!$A$5:$A$11,B78)=1),1,0)</f>
        <v/>
      </c>
      <c r="X78" s="12">
        <f>IF(W78=1,O78-M78,0)</f>
        <v/>
      </c>
      <c r="Y78" s="11">
        <f>IF(AND(W78=1,SUMIFS(Categories!$AI$5:$AI$11,Categories!$A$5:$A$11,B78)&gt;0),X78/SUMIFS(Categories!$AI$5:$AI$11,Categories!$A$5:$A$11,B78),0)</f>
        <v/>
      </c>
      <c r="Z78" s="12">
        <f>Y78*SUMIFS(Categories!$AJ$5:$AJ$11,Categories!$A$5:$A$11,B78)</f>
        <v/>
      </c>
      <c r="AA78" s="12">
        <f>Z78*J78</f>
        <v/>
      </c>
      <c r="AB78" s="12">
        <f>IF(AA78&lt;=0,0,(rate_below/100)*MIN(AA78,MAX(0,ceiling-D78))+(rate_above/100)*(AA78-MIN(AA78,MAX(0,ceiling-D78))))</f>
        <v/>
      </c>
      <c r="AC78" s="12">
        <f>AA78+AB78</f>
        <v/>
      </c>
      <c r="AD78" s="13">
        <f>SUMPRODUCT(($B$5:$B$216=B78)*($M$5:$M$216&lt;M78))+SUMPRODUCT(($B$5:$B$216=B78)*($M$5:$M$216=M78)*(ROW($M$5:$M$216)&lt;ROW(M78)))+1</f>
        <v/>
      </c>
      <c r="AE78" s="13">
        <f>COUNTIF($B$5:$B$216,B78)</f>
        <v/>
      </c>
      <c r="AF78" s="13">
        <f>SUMPRODUCT(($B$5:$B$216=B78)*($C$5:$C$216=C78)*($M$5:$M$216&lt;M78))+SUMPRODUCT(($B$5:$B$216=B78)*($C$5:$C$216=C78)*($M$5:$M$216=M78)*(ROW($M$5:$M$216)&lt;ROW(M78)))+1</f>
        <v/>
      </c>
      <c r="AG78" s="13">
        <f>COUNTIFS($B$5:$B$216,B78,$C$5:$C$216,C78)</f>
        <v/>
      </c>
    </row>
    <row r="79">
      <c r="A79" s="9" t="inlineStr">
        <is>
          <t>E075</t>
        </is>
      </c>
      <c r="B79" s="9" t="inlineStr">
        <is>
          <t>Operations</t>
        </is>
      </c>
      <c r="C79" s="9" t="inlineStr">
        <is>
          <t>F</t>
        </is>
      </c>
      <c r="D79" s="10" t="n">
        <v>50674.35</v>
      </c>
      <c r="E79" s="10" t="n">
        <v>3254.18</v>
      </c>
      <c r="F79" s="9" t="n">
        <v>3.3</v>
      </c>
      <c r="G79" s="9" t="n">
        <v>3</v>
      </c>
      <c r="H79" s="9" t="n">
        <v>1</v>
      </c>
      <c r="I79" s="9" t="n">
        <v>12</v>
      </c>
      <c r="J79" s="11">
        <f>H79*(I79/12)</f>
        <v/>
      </c>
      <c r="K79" s="12">
        <f>D79/J79</f>
        <v/>
      </c>
      <c r="L79" s="12">
        <f>E79/J79</f>
        <v/>
      </c>
      <c r="M79" s="12">
        <f>K79+L79</f>
        <v/>
      </c>
      <c r="N79" s="12">
        <f>D79+E79</f>
        <v/>
      </c>
      <c r="O79" s="12">
        <f>(SUMIFS($M$5:$M$216,$B$5:$B$216,B79,$AD$5:$AD$216,INT((AE79+1)/2))+SUMIFS($M$5:$M$216,$B$5:$B$216,B79,$AD$5:$AD$216,INT(AE79/2)+1))/2</f>
        <v/>
      </c>
      <c r="P79" s="13">
        <f>IF(AND(C79="F",M79&lt;O79,SUMIFS(Categories!$Z$5:$Z$11,Categories!$A$5:$A$11,B79)=1),1,0)</f>
        <v/>
      </c>
      <c r="Q79" s="12">
        <f>IF(P79=1,O79-M79,0)</f>
        <v/>
      </c>
      <c r="R79" s="11">
        <f>IF(AND(P79=1,SUMIFS(Categories!$AA$5:$AA$11,Categories!$A$5:$A$11,B79)&gt;0),Q79/SUMIFS(Categories!$AA$5:$AA$11,Categories!$A$5:$A$11,B79),0)</f>
        <v/>
      </c>
      <c r="S79" s="12">
        <f>R79*SUMIFS(Categories!$AB$5:$AB$11,Categories!$A$5:$A$11,B79)</f>
        <v/>
      </c>
      <c r="T79" s="12">
        <f>S79*J79</f>
        <v/>
      </c>
      <c r="U79" s="12">
        <f>IF(T79&lt;=0,0,(rate_below/100)*MIN(T79,MAX(0,ceiling-D79))+(rate_above/100)*(T79-MIN(T79,MAX(0,ceiling-D79))))</f>
        <v/>
      </c>
      <c r="V79" s="12">
        <f>T79+U79</f>
        <v/>
      </c>
      <c r="W79" s="13">
        <f>IF(AND(C79="F",M79&lt;O79,SUMIFS(Categories!$AH$5:$AH$11,Categories!$A$5:$A$11,B79)=1),1,0)</f>
        <v/>
      </c>
      <c r="X79" s="12">
        <f>IF(W79=1,O79-M79,0)</f>
        <v/>
      </c>
      <c r="Y79" s="11">
        <f>IF(AND(W79=1,SUMIFS(Categories!$AI$5:$AI$11,Categories!$A$5:$A$11,B79)&gt;0),X79/SUMIFS(Categories!$AI$5:$AI$11,Categories!$A$5:$A$11,B79),0)</f>
        <v/>
      </c>
      <c r="Z79" s="12">
        <f>Y79*SUMIFS(Categories!$AJ$5:$AJ$11,Categories!$A$5:$A$11,B79)</f>
        <v/>
      </c>
      <c r="AA79" s="12">
        <f>Z79*J79</f>
        <v/>
      </c>
      <c r="AB79" s="12">
        <f>IF(AA79&lt;=0,0,(rate_below/100)*MIN(AA79,MAX(0,ceiling-D79))+(rate_above/100)*(AA79-MIN(AA79,MAX(0,ceiling-D79))))</f>
        <v/>
      </c>
      <c r="AC79" s="12">
        <f>AA79+AB79</f>
        <v/>
      </c>
      <c r="AD79" s="13">
        <f>SUMPRODUCT(($B$5:$B$216=B79)*($M$5:$M$216&lt;M79))+SUMPRODUCT(($B$5:$B$216=B79)*($M$5:$M$216=M79)*(ROW($M$5:$M$216)&lt;ROW(M79)))+1</f>
        <v/>
      </c>
      <c r="AE79" s="13">
        <f>COUNTIF($B$5:$B$216,B79)</f>
        <v/>
      </c>
      <c r="AF79" s="13">
        <f>SUMPRODUCT(($B$5:$B$216=B79)*($C$5:$C$216=C79)*($M$5:$M$216&lt;M79))+SUMPRODUCT(($B$5:$B$216=B79)*($C$5:$C$216=C79)*($M$5:$M$216=M79)*(ROW($M$5:$M$216)&lt;ROW(M79)))+1</f>
        <v/>
      </c>
      <c r="AG79" s="13">
        <f>COUNTIFS($B$5:$B$216,B79,$C$5:$C$216,C79)</f>
        <v/>
      </c>
    </row>
    <row r="80">
      <c r="A80" s="9" t="inlineStr">
        <is>
          <t>E076</t>
        </is>
      </c>
      <c r="B80" s="9" t="inlineStr">
        <is>
          <t>Operations</t>
        </is>
      </c>
      <c r="C80" s="9" t="inlineStr">
        <is>
          <t>M</t>
        </is>
      </c>
      <c r="D80" s="10" t="n">
        <v>42584.4</v>
      </c>
      <c r="E80" s="10" t="n">
        <v>4210.86</v>
      </c>
      <c r="F80" s="9" t="n">
        <v>5.8</v>
      </c>
      <c r="G80" s="9" t="n">
        <v>1</v>
      </c>
      <c r="H80" s="9" t="n">
        <v>1</v>
      </c>
      <c r="I80" s="9" t="n">
        <v>12</v>
      </c>
      <c r="J80" s="11">
        <f>H80*(I80/12)</f>
        <v/>
      </c>
      <c r="K80" s="12">
        <f>D80/J80</f>
        <v/>
      </c>
      <c r="L80" s="12">
        <f>E80/J80</f>
        <v/>
      </c>
      <c r="M80" s="12">
        <f>K80+L80</f>
        <v/>
      </c>
      <c r="N80" s="12">
        <f>D80+E80</f>
        <v/>
      </c>
      <c r="O80" s="12">
        <f>(SUMIFS($M$5:$M$216,$B$5:$B$216,B80,$AD$5:$AD$216,INT((AE80+1)/2))+SUMIFS($M$5:$M$216,$B$5:$B$216,B80,$AD$5:$AD$216,INT(AE80/2)+1))/2</f>
        <v/>
      </c>
      <c r="P80" s="13">
        <f>IF(AND(C80="F",M80&lt;O80,SUMIFS(Categories!$Z$5:$Z$11,Categories!$A$5:$A$11,B80)=1),1,0)</f>
        <v/>
      </c>
      <c r="Q80" s="12">
        <f>IF(P80=1,O80-M80,0)</f>
        <v/>
      </c>
      <c r="R80" s="11">
        <f>IF(AND(P80=1,SUMIFS(Categories!$AA$5:$AA$11,Categories!$A$5:$A$11,B80)&gt;0),Q80/SUMIFS(Categories!$AA$5:$AA$11,Categories!$A$5:$A$11,B80),0)</f>
        <v/>
      </c>
      <c r="S80" s="12">
        <f>R80*SUMIFS(Categories!$AB$5:$AB$11,Categories!$A$5:$A$11,B80)</f>
        <v/>
      </c>
      <c r="T80" s="12">
        <f>S80*J80</f>
        <v/>
      </c>
      <c r="U80" s="12">
        <f>IF(T80&lt;=0,0,(rate_below/100)*MIN(T80,MAX(0,ceiling-D80))+(rate_above/100)*(T80-MIN(T80,MAX(0,ceiling-D80))))</f>
        <v/>
      </c>
      <c r="V80" s="12">
        <f>T80+U80</f>
        <v/>
      </c>
      <c r="W80" s="13">
        <f>IF(AND(C80="F",M80&lt;O80,SUMIFS(Categories!$AH$5:$AH$11,Categories!$A$5:$A$11,B80)=1),1,0)</f>
        <v/>
      </c>
      <c r="X80" s="12">
        <f>IF(W80=1,O80-M80,0)</f>
        <v/>
      </c>
      <c r="Y80" s="11">
        <f>IF(AND(W80=1,SUMIFS(Categories!$AI$5:$AI$11,Categories!$A$5:$A$11,B80)&gt;0),X80/SUMIFS(Categories!$AI$5:$AI$11,Categories!$A$5:$A$11,B80),0)</f>
        <v/>
      </c>
      <c r="Z80" s="12">
        <f>Y80*SUMIFS(Categories!$AJ$5:$AJ$11,Categories!$A$5:$A$11,B80)</f>
        <v/>
      </c>
      <c r="AA80" s="12">
        <f>Z80*J80</f>
        <v/>
      </c>
      <c r="AB80" s="12">
        <f>IF(AA80&lt;=0,0,(rate_below/100)*MIN(AA80,MAX(0,ceiling-D80))+(rate_above/100)*(AA80-MIN(AA80,MAX(0,ceiling-D80))))</f>
        <v/>
      </c>
      <c r="AC80" s="12">
        <f>AA80+AB80</f>
        <v/>
      </c>
      <c r="AD80" s="13">
        <f>SUMPRODUCT(($B$5:$B$216=B80)*($M$5:$M$216&lt;M80))+SUMPRODUCT(($B$5:$B$216=B80)*($M$5:$M$216=M80)*(ROW($M$5:$M$216)&lt;ROW(M80)))+1</f>
        <v/>
      </c>
      <c r="AE80" s="13">
        <f>COUNTIF($B$5:$B$216,B80)</f>
        <v/>
      </c>
      <c r="AF80" s="13">
        <f>SUMPRODUCT(($B$5:$B$216=B80)*($C$5:$C$216=C80)*($M$5:$M$216&lt;M80))+SUMPRODUCT(($B$5:$B$216=B80)*($C$5:$C$216=C80)*($M$5:$M$216=M80)*(ROW($M$5:$M$216)&lt;ROW(M80)))+1</f>
        <v/>
      </c>
      <c r="AG80" s="13">
        <f>COUNTIFS($B$5:$B$216,B80,$C$5:$C$216,C80)</f>
        <v/>
      </c>
    </row>
    <row r="81">
      <c r="A81" s="9" t="inlineStr">
        <is>
          <t>E077</t>
        </is>
      </c>
      <c r="B81" s="9" t="inlineStr">
        <is>
          <t>Operations</t>
        </is>
      </c>
      <c r="C81" s="9" t="inlineStr">
        <is>
          <t>F</t>
        </is>
      </c>
      <c r="D81" s="10" t="n">
        <v>38133.13</v>
      </c>
      <c r="E81" s="10" t="n">
        <v>2525.94</v>
      </c>
      <c r="F81" s="9" t="n">
        <v>2.9</v>
      </c>
      <c r="G81" s="9" t="n">
        <v>1</v>
      </c>
      <c r="H81" s="9" t="n">
        <v>1</v>
      </c>
      <c r="I81" s="9" t="n">
        <v>12</v>
      </c>
      <c r="J81" s="11">
        <f>H81*(I81/12)</f>
        <v/>
      </c>
      <c r="K81" s="12">
        <f>D81/J81</f>
        <v/>
      </c>
      <c r="L81" s="12">
        <f>E81/J81</f>
        <v/>
      </c>
      <c r="M81" s="12">
        <f>K81+L81</f>
        <v/>
      </c>
      <c r="N81" s="12">
        <f>D81+E81</f>
        <v/>
      </c>
      <c r="O81" s="12">
        <f>(SUMIFS($M$5:$M$216,$B$5:$B$216,B81,$AD$5:$AD$216,INT((AE81+1)/2))+SUMIFS($M$5:$M$216,$B$5:$B$216,B81,$AD$5:$AD$216,INT(AE81/2)+1))/2</f>
        <v/>
      </c>
      <c r="P81" s="13">
        <f>IF(AND(C81="F",M81&lt;O81,SUMIFS(Categories!$Z$5:$Z$11,Categories!$A$5:$A$11,B81)=1),1,0)</f>
        <v/>
      </c>
      <c r="Q81" s="12">
        <f>IF(P81=1,O81-M81,0)</f>
        <v/>
      </c>
      <c r="R81" s="11">
        <f>IF(AND(P81=1,SUMIFS(Categories!$AA$5:$AA$11,Categories!$A$5:$A$11,B81)&gt;0),Q81/SUMIFS(Categories!$AA$5:$AA$11,Categories!$A$5:$A$11,B81),0)</f>
        <v/>
      </c>
      <c r="S81" s="12">
        <f>R81*SUMIFS(Categories!$AB$5:$AB$11,Categories!$A$5:$A$11,B81)</f>
        <v/>
      </c>
      <c r="T81" s="12">
        <f>S81*J81</f>
        <v/>
      </c>
      <c r="U81" s="12">
        <f>IF(T81&lt;=0,0,(rate_below/100)*MIN(T81,MAX(0,ceiling-D81))+(rate_above/100)*(T81-MIN(T81,MAX(0,ceiling-D81))))</f>
        <v/>
      </c>
      <c r="V81" s="12">
        <f>T81+U81</f>
        <v/>
      </c>
      <c r="W81" s="13">
        <f>IF(AND(C81="F",M81&lt;O81,SUMIFS(Categories!$AH$5:$AH$11,Categories!$A$5:$A$11,B81)=1),1,0)</f>
        <v/>
      </c>
      <c r="X81" s="12">
        <f>IF(W81=1,O81-M81,0)</f>
        <v/>
      </c>
      <c r="Y81" s="11">
        <f>IF(AND(W81=1,SUMIFS(Categories!$AI$5:$AI$11,Categories!$A$5:$A$11,B81)&gt;0),X81/SUMIFS(Categories!$AI$5:$AI$11,Categories!$A$5:$A$11,B81),0)</f>
        <v/>
      </c>
      <c r="Z81" s="12">
        <f>Y81*SUMIFS(Categories!$AJ$5:$AJ$11,Categories!$A$5:$A$11,B81)</f>
        <v/>
      </c>
      <c r="AA81" s="12">
        <f>Z81*J81</f>
        <v/>
      </c>
      <c r="AB81" s="12">
        <f>IF(AA81&lt;=0,0,(rate_below/100)*MIN(AA81,MAX(0,ceiling-D81))+(rate_above/100)*(AA81-MIN(AA81,MAX(0,ceiling-D81))))</f>
        <v/>
      </c>
      <c r="AC81" s="12">
        <f>AA81+AB81</f>
        <v/>
      </c>
      <c r="AD81" s="13">
        <f>SUMPRODUCT(($B$5:$B$216=B81)*($M$5:$M$216&lt;M81))+SUMPRODUCT(($B$5:$B$216=B81)*($M$5:$M$216=M81)*(ROW($M$5:$M$216)&lt;ROW(M81)))+1</f>
        <v/>
      </c>
      <c r="AE81" s="13">
        <f>COUNTIF($B$5:$B$216,B81)</f>
        <v/>
      </c>
      <c r="AF81" s="13">
        <f>SUMPRODUCT(($B$5:$B$216=B81)*($C$5:$C$216=C81)*($M$5:$M$216&lt;M81))+SUMPRODUCT(($B$5:$B$216=B81)*($C$5:$C$216=C81)*($M$5:$M$216=M81)*(ROW($M$5:$M$216)&lt;ROW(M81)))+1</f>
        <v/>
      </c>
      <c r="AG81" s="13">
        <f>COUNTIFS($B$5:$B$216,B81,$C$5:$C$216,C81)</f>
        <v/>
      </c>
    </row>
    <row r="82">
      <c r="A82" s="9" t="inlineStr">
        <is>
          <t>E078</t>
        </is>
      </c>
      <c r="B82" s="9" t="inlineStr">
        <is>
          <t>Operations</t>
        </is>
      </c>
      <c r="C82" s="9" t="inlineStr">
        <is>
          <t>M</t>
        </is>
      </c>
      <c r="D82" s="10" t="n">
        <v>56319.53</v>
      </c>
      <c r="E82" s="10" t="n">
        <v>3550.22</v>
      </c>
      <c r="F82" s="9" t="n">
        <v>7.5</v>
      </c>
      <c r="G82" s="9" t="n">
        <v>4</v>
      </c>
      <c r="H82" s="9" t="n">
        <v>1</v>
      </c>
      <c r="I82" s="9" t="n">
        <v>12</v>
      </c>
      <c r="J82" s="11">
        <f>H82*(I82/12)</f>
        <v/>
      </c>
      <c r="K82" s="12">
        <f>D82/J82</f>
        <v/>
      </c>
      <c r="L82" s="12">
        <f>E82/J82</f>
        <v/>
      </c>
      <c r="M82" s="12">
        <f>K82+L82</f>
        <v/>
      </c>
      <c r="N82" s="12">
        <f>D82+E82</f>
        <v/>
      </c>
      <c r="O82" s="12">
        <f>(SUMIFS($M$5:$M$216,$B$5:$B$216,B82,$AD$5:$AD$216,INT((AE82+1)/2))+SUMIFS($M$5:$M$216,$B$5:$B$216,B82,$AD$5:$AD$216,INT(AE82/2)+1))/2</f>
        <v/>
      </c>
      <c r="P82" s="13">
        <f>IF(AND(C82="F",M82&lt;O82,SUMIFS(Categories!$Z$5:$Z$11,Categories!$A$5:$A$11,B82)=1),1,0)</f>
        <v/>
      </c>
      <c r="Q82" s="12">
        <f>IF(P82=1,O82-M82,0)</f>
        <v/>
      </c>
      <c r="R82" s="11">
        <f>IF(AND(P82=1,SUMIFS(Categories!$AA$5:$AA$11,Categories!$A$5:$A$11,B82)&gt;0),Q82/SUMIFS(Categories!$AA$5:$AA$11,Categories!$A$5:$A$11,B82),0)</f>
        <v/>
      </c>
      <c r="S82" s="12">
        <f>R82*SUMIFS(Categories!$AB$5:$AB$11,Categories!$A$5:$A$11,B82)</f>
        <v/>
      </c>
      <c r="T82" s="12">
        <f>S82*J82</f>
        <v/>
      </c>
      <c r="U82" s="12">
        <f>IF(T82&lt;=0,0,(rate_below/100)*MIN(T82,MAX(0,ceiling-D82))+(rate_above/100)*(T82-MIN(T82,MAX(0,ceiling-D82))))</f>
        <v/>
      </c>
      <c r="V82" s="12">
        <f>T82+U82</f>
        <v/>
      </c>
      <c r="W82" s="13">
        <f>IF(AND(C82="F",M82&lt;O82,SUMIFS(Categories!$AH$5:$AH$11,Categories!$A$5:$A$11,B82)=1),1,0)</f>
        <v/>
      </c>
      <c r="X82" s="12">
        <f>IF(W82=1,O82-M82,0)</f>
        <v/>
      </c>
      <c r="Y82" s="11">
        <f>IF(AND(W82=1,SUMIFS(Categories!$AI$5:$AI$11,Categories!$A$5:$A$11,B82)&gt;0),X82/SUMIFS(Categories!$AI$5:$AI$11,Categories!$A$5:$A$11,B82),0)</f>
        <v/>
      </c>
      <c r="Z82" s="12">
        <f>Y82*SUMIFS(Categories!$AJ$5:$AJ$11,Categories!$A$5:$A$11,B82)</f>
        <v/>
      </c>
      <c r="AA82" s="12">
        <f>Z82*J82</f>
        <v/>
      </c>
      <c r="AB82" s="12">
        <f>IF(AA82&lt;=0,0,(rate_below/100)*MIN(AA82,MAX(0,ceiling-D82))+(rate_above/100)*(AA82-MIN(AA82,MAX(0,ceiling-D82))))</f>
        <v/>
      </c>
      <c r="AC82" s="12">
        <f>AA82+AB82</f>
        <v/>
      </c>
      <c r="AD82" s="13">
        <f>SUMPRODUCT(($B$5:$B$216=B82)*($M$5:$M$216&lt;M82))+SUMPRODUCT(($B$5:$B$216=B82)*($M$5:$M$216=M82)*(ROW($M$5:$M$216)&lt;ROW(M82)))+1</f>
        <v/>
      </c>
      <c r="AE82" s="13">
        <f>COUNTIF($B$5:$B$216,B82)</f>
        <v/>
      </c>
      <c r="AF82" s="13">
        <f>SUMPRODUCT(($B$5:$B$216=B82)*($C$5:$C$216=C82)*($M$5:$M$216&lt;M82))+SUMPRODUCT(($B$5:$B$216=B82)*($C$5:$C$216=C82)*($M$5:$M$216=M82)*(ROW($M$5:$M$216)&lt;ROW(M82)))+1</f>
        <v/>
      </c>
      <c r="AG82" s="13">
        <f>COUNTIFS($B$5:$B$216,B82,$C$5:$C$216,C82)</f>
        <v/>
      </c>
    </row>
    <row r="83">
      <c r="A83" s="9" t="inlineStr">
        <is>
          <t>E079</t>
        </is>
      </c>
      <c r="B83" s="9" t="inlineStr">
        <is>
          <t>Operations</t>
        </is>
      </c>
      <c r="C83" s="9" t="inlineStr">
        <is>
          <t>M</t>
        </is>
      </c>
      <c r="D83" s="10" t="n">
        <v>47208.96</v>
      </c>
      <c r="E83" s="10" t="n">
        <v>4571.92</v>
      </c>
      <c r="F83" s="9" t="n">
        <v>5.6</v>
      </c>
      <c r="G83" s="9" t="n">
        <v>2</v>
      </c>
      <c r="H83" s="9" t="n">
        <v>1</v>
      </c>
      <c r="I83" s="9" t="n">
        <v>12</v>
      </c>
      <c r="J83" s="11">
        <f>H83*(I83/12)</f>
        <v/>
      </c>
      <c r="K83" s="12">
        <f>D83/J83</f>
        <v/>
      </c>
      <c r="L83" s="12">
        <f>E83/J83</f>
        <v/>
      </c>
      <c r="M83" s="12">
        <f>K83+L83</f>
        <v/>
      </c>
      <c r="N83" s="12">
        <f>D83+E83</f>
        <v/>
      </c>
      <c r="O83" s="12">
        <f>(SUMIFS($M$5:$M$216,$B$5:$B$216,B83,$AD$5:$AD$216,INT((AE83+1)/2))+SUMIFS($M$5:$M$216,$B$5:$B$216,B83,$AD$5:$AD$216,INT(AE83/2)+1))/2</f>
        <v/>
      </c>
      <c r="P83" s="13">
        <f>IF(AND(C83="F",M83&lt;O83,SUMIFS(Categories!$Z$5:$Z$11,Categories!$A$5:$A$11,B83)=1),1,0)</f>
        <v/>
      </c>
      <c r="Q83" s="12">
        <f>IF(P83=1,O83-M83,0)</f>
        <v/>
      </c>
      <c r="R83" s="11">
        <f>IF(AND(P83=1,SUMIFS(Categories!$AA$5:$AA$11,Categories!$A$5:$A$11,B83)&gt;0),Q83/SUMIFS(Categories!$AA$5:$AA$11,Categories!$A$5:$A$11,B83),0)</f>
        <v/>
      </c>
      <c r="S83" s="12">
        <f>R83*SUMIFS(Categories!$AB$5:$AB$11,Categories!$A$5:$A$11,B83)</f>
        <v/>
      </c>
      <c r="T83" s="12">
        <f>S83*J83</f>
        <v/>
      </c>
      <c r="U83" s="12">
        <f>IF(T83&lt;=0,0,(rate_below/100)*MIN(T83,MAX(0,ceiling-D83))+(rate_above/100)*(T83-MIN(T83,MAX(0,ceiling-D83))))</f>
        <v/>
      </c>
      <c r="V83" s="12">
        <f>T83+U83</f>
        <v/>
      </c>
      <c r="W83" s="13">
        <f>IF(AND(C83="F",M83&lt;O83,SUMIFS(Categories!$AH$5:$AH$11,Categories!$A$5:$A$11,B83)=1),1,0)</f>
        <v/>
      </c>
      <c r="X83" s="12">
        <f>IF(W83=1,O83-M83,0)</f>
        <v/>
      </c>
      <c r="Y83" s="11">
        <f>IF(AND(W83=1,SUMIFS(Categories!$AI$5:$AI$11,Categories!$A$5:$A$11,B83)&gt;0),X83/SUMIFS(Categories!$AI$5:$AI$11,Categories!$A$5:$A$11,B83),0)</f>
        <v/>
      </c>
      <c r="Z83" s="12">
        <f>Y83*SUMIFS(Categories!$AJ$5:$AJ$11,Categories!$A$5:$A$11,B83)</f>
        <v/>
      </c>
      <c r="AA83" s="12">
        <f>Z83*J83</f>
        <v/>
      </c>
      <c r="AB83" s="12">
        <f>IF(AA83&lt;=0,0,(rate_below/100)*MIN(AA83,MAX(0,ceiling-D83))+(rate_above/100)*(AA83-MIN(AA83,MAX(0,ceiling-D83))))</f>
        <v/>
      </c>
      <c r="AC83" s="12">
        <f>AA83+AB83</f>
        <v/>
      </c>
      <c r="AD83" s="13">
        <f>SUMPRODUCT(($B$5:$B$216=B83)*($M$5:$M$216&lt;M83))+SUMPRODUCT(($B$5:$B$216=B83)*($M$5:$M$216=M83)*(ROW($M$5:$M$216)&lt;ROW(M83)))+1</f>
        <v/>
      </c>
      <c r="AE83" s="13">
        <f>COUNTIF($B$5:$B$216,B83)</f>
        <v/>
      </c>
      <c r="AF83" s="13">
        <f>SUMPRODUCT(($B$5:$B$216=B83)*($C$5:$C$216=C83)*($M$5:$M$216&lt;M83))+SUMPRODUCT(($B$5:$B$216=B83)*($C$5:$C$216=C83)*($M$5:$M$216=M83)*(ROW($M$5:$M$216)&lt;ROW(M83)))+1</f>
        <v/>
      </c>
      <c r="AG83" s="13">
        <f>COUNTIFS($B$5:$B$216,B83,$C$5:$C$216,C83)</f>
        <v/>
      </c>
    </row>
    <row r="84">
      <c r="A84" s="9" t="inlineStr">
        <is>
          <t>E080</t>
        </is>
      </c>
      <c r="B84" s="9" t="inlineStr">
        <is>
          <t>Operations</t>
        </is>
      </c>
      <c r="C84" s="9" t="inlineStr">
        <is>
          <t>M</t>
        </is>
      </c>
      <c r="D84" s="10" t="n">
        <v>66916.89999999999</v>
      </c>
      <c r="E84" s="10" t="n">
        <v>4636.69</v>
      </c>
      <c r="F84" s="9" t="n">
        <v>10</v>
      </c>
      <c r="G84" s="9" t="n">
        <v>5</v>
      </c>
      <c r="H84" s="9" t="n">
        <v>1</v>
      </c>
      <c r="I84" s="9" t="n">
        <v>12</v>
      </c>
      <c r="J84" s="11">
        <f>H84*(I84/12)</f>
        <v/>
      </c>
      <c r="K84" s="12">
        <f>D84/J84</f>
        <v/>
      </c>
      <c r="L84" s="12">
        <f>E84/J84</f>
        <v/>
      </c>
      <c r="M84" s="12">
        <f>K84+L84</f>
        <v/>
      </c>
      <c r="N84" s="12">
        <f>D84+E84</f>
        <v/>
      </c>
      <c r="O84" s="12">
        <f>(SUMIFS($M$5:$M$216,$B$5:$B$216,B84,$AD$5:$AD$216,INT((AE84+1)/2))+SUMIFS($M$5:$M$216,$B$5:$B$216,B84,$AD$5:$AD$216,INT(AE84/2)+1))/2</f>
        <v/>
      </c>
      <c r="P84" s="13">
        <f>IF(AND(C84="F",M84&lt;O84,SUMIFS(Categories!$Z$5:$Z$11,Categories!$A$5:$A$11,B84)=1),1,0)</f>
        <v/>
      </c>
      <c r="Q84" s="12">
        <f>IF(P84=1,O84-M84,0)</f>
        <v/>
      </c>
      <c r="R84" s="11">
        <f>IF(AND(P84=1,SUMIFS(Categories!$AA$5:$AA$11,Categories!$A$5:$A$11,B84)&gt;0),Q84/SUMIFS(Categories!$AA$5:$AA$11,Categories!$A$5:$A$11,B84),0)</f>
        <v/>
      </c>
      <c r="S84" s="12">
        <f>R84*SUMIFS(Categories!$AB$5:$AB$11,Categories!$A$5:$A$11,B84)</f>
        <v/>
      </c>
      <c r="T84" s="12">
        <f>S84*J84</f>
        <v/>
      </c>
      <c r="U84" s="12">
        <f>IF(T84&lt;=0,0,(rate_below/100)*MIN(T84,MAX(0,ceiling-D84))+(rate_above/100)*(T84-MIN(T84,MAX(0,ceiling-D84))))</f>
        <v/>
      </c>
      <c r="V84" s="12">
        <f>T84+U84</f>
        <v/>
      </c>
      <c r="W84" s="13">
        <f>IF(AND(C84="F",M84&lt;O84,SUMIFS(Categories!$AH$5:$AH$11,Categories!$A$5:$A$11,B84)=1),1,0)</f>
        <v/>
      </c>
      <c r="X84" s="12">
        <f>IF(W84=1,O84-M84,0)</f>
        <v/>
      </c>
      <c r="Y84" s="11">
        <f>IF(AND(W84=1,SUMIFS(Categories!$AI$5:$AI$11,Categories!$A$5:$A$11,B84)&gt;0),X84/SUMIFS(Categories!$AI$5:$AI$11,Categories!$A$5:$A$11,B84),0)</f>
        <v/>
      </c>
      <c r="Z84" s="12">
        <f>Y84*SUMIFS(Categories!$AJ$5:$AJ$11,Categories!$A$5:$A$11,B84)</f>
        <v/>
      </c>
      <c r="AA84" s="12">
        <f>Z84*J84</f>
        <v/>
      </c>
      <c r="AB84" s="12">
        <f>IF(AA84&lt;=0,0,(rate_below/100)*MIN(AA84,MAX(0,ceiling-D84))+(rate_above/100)*(AA84-MIN(AA84,MAX(0,ceiling-D84))))</f>
        <v/>
      </c>
      <c r="AC84" s="12">
        <f>AA84+AB84</f>
        <v/>
      </c>
      <c r="AD84" s="13">
        <f>SUMPRODUCT(($B$5:$B$216=B84)*($M$5:$M$216&lt;M84))+SUMPRODUCT(($B$5:$B$216=B84)*($M$5:$M$216=M84)*(ROW($M$5:$M$216)&lt;ROW(M84)))+1</f>
        <v/>
      </c>
      <c r="AE84" s="13">
        <f>COUNTIF($B$5:$B$216,B84)</f>
        <v/>
      </c>
      <c r="AF84" s="13">
        <f>SUMPRODUCT(($B$5:$B$216=B84)*($C$5:$C$216=C84)*($M$5:$M$216&lt;M84))+SUMPRODUCT(($B$5:$B$216=B84)*($C$5:$C$216=C84)*($M$5:$M$216=M84)*(ROW($M$5:$M$216)&lt;ROW(M84)))+1</f>
        <v/>
      </c>
      <c r="AG84" s="13">
        <f>COUNTIFS($B$5:$B$216,B84,$C$5:$C$216,C84)</f>
        <v/>
      </c>
    </row>
    <row r="85">
      <c r="A85" s="9" t="inlineStr">
        <is>
          <t>E081</t>
        </is>
      </c>
      <c r="B85" s="9" t="inlineStr">
        <is>
          <t>Operations</t>
        </is>
      </c>
      <c r="C85" s="9" t="inlineStr">
        <is>
          <t>M</t>
        </is>
      </c>
      <c r="D85" s="10" t="n">
        <v>49061.01</v>
      </c>
      <c r="E85" s="10" t="n">
        <v>4620.08</v>
      </c>
      <c r="F85" s="9" t="n">
        <v>6.4</v>
      </c>
      <c r="G85" s="9" t="n">
        <v>2</v>
      </c>
      <c r="H85" s="9" t="n">
        <v>1</v>
      </c>
      <c r="I85" s="9" t="n">
        <v>12</v>
      </c>
      <c r="J85" s="11">
        <f>H85*(I85/12)</f>
        <v/>
      </c>
      <c r="K85" s="12">
        <f>D85/J85</f>
        <v/>
      </c>
      <c r="L85" s="12">
        <f>E85/J85</f>
        <v/>
      </c>
      <c r="M85" s="12">
        <f>K85+L85</f>
        <v/>
      </c>
      <c r="N85" s="12">
        <f>D85+E85</f>
        <v/>
      </c>
      <c r="O85" s="12">
        <f>(SUMIFS($M$5:$M$216,$B$5:$B$216,B85,$AD$5:$AD$216,INT((AE85+1)/2))+SUMIFS($M$5:$M$216,$B$5:$B$216,B85,$AD$5:$AD$216,INT(AE85/2)+1))/2</f>
        <v/>
      </c>
      <c r="P85" s="13">
        <f>IF(AND(C85="F",M85&lt;O85,SUMIFS(Categories!$Z$5:$Z$11,Categories!$A$5:$A$11,B85)=1),1,0)</f>
        <v/>
      </c>
      <c r="Q85" s="12">
        <f>IF(P85=1,O85-M85,0)</f>
        <v/>
      </c>
      <c r="R85" s="11">
        <f>IF(AND(P85=1,SUMIFS(Categories!$AA$5:$AA$11,Categories!$A$5:$A$11,B85)&gt;0),Q85/SUMIFS(Categories!$AA$5:$AA$11,Categories!$A$5:$A$11,B85),0)</f>
        <v/>
      </c>
      <c r="S85" s="12">
        <f>R85*SUMIFS(Categories!$AB$5:$AB$11,Categories!$A$5:$A$11,B85)</f>
        <v/>
      </c>
      <c r="T85" s="12">
        <f>S85*J85</f>
        <v/>
      </c>
      <c r="U85" s="12">
        <f>IF(T85&lt;=0,0,(rate_below/100)*MIN(T85,MAX(0,ceiling-D85))+(rate_above/100)*(T85-MIN(T85,MAX(0,ceiling-D85))))</f>
        <v/>
      </c>
      <c r="V85" s="12">
        <f>T85+U85</f>
        <v/>
      </c>
      <c r="W85" s="13">
        <f>IF(AND(C85="F",M85&lt;O85,SUMIFS(Categories!$AH$5:$AH$11,Categories!$A$5:$A$11,B85)=1),1,0)</f>
        <v/>
      </c>
      <c r="X85" s="12">
        <f>IF(W85=1,O85-M85,0)</f>
        <v/>
      </c>
      <c r="Y85" s="11">
        <f>IF(AND(W85=1,SUMIFS(Categories!$AI$5:$AI$11,Categories!$A$5:$A$11,B85)&gt;0),X85/SUMIFS(Categories!$AI$5:$AI$11,Categories!$A$5:$A$11,B85),0)</f>
        <v/>
      </c>
      <c r="Z85" s="12">
        <f>Y85*SUMIFS(Categories!$AJ$5:$AJ$11,Categories!$A$5:$A$11,B85)</f>
        <v/>
      </c>
      <c r="AA85" s="12">
        <f>Z85*J85</f>
        <v/>
      </c>
      <c r="AB85" s="12">
        <f>IF(AA85&lt;=0,0,(rate_below/100)*MIN(AA85,MAX(0,ceiling-D85))+(rate_above/100)*(AA85-MIN(AA85,MAX(0,ceiling-D85))))</f>
        <v/>
      </c>
      <c r="AC85" s="12">
        <f>AA85+AB85</f>
        <v/>
      </c>
      <c r="AD85" s="13">
        <f>SUMPRODUCT(($B$5:$B$216=B85)*($M$5:$M$216&lt;M85))+SUMPRODUCT(($B$5:$B$216=B85)*($M$5:$M$216=M85)*(ROW($M$5:$M$216)&lt;ROW(M85)))+1</f>
        <v/>
      </c>
      <c r="AE85" s="13">
        <f>COUNTIF($B$5:$B$216,B85)</f>
        <v/>
      </c>
      <c r="AF85" s="13">
        <f>SUMPRODUCT(($B$5:$B$216=B85)*($C$5:$C$216=C85)*($M$5:$M$216&lt;M85))+SUMPRODUCT(($B$5:$B$216=B85)*($C$5:$C$216=C85)*($M$5:$M$216=M85)*(ROW($M$5:$M$216)&lt;ROW(M85)))+1</f>
        <v/>
      </c>
      <c r="AG85" s="13">
        <f>COUNTIFS($B$5:$B$216,B85,$C$5:$C$216,C85)</f>
        <v/>
      </c>
    </row>
    <row r="86">
      <c r="A86" s="9" t="inlineStr">
        <is>
          <t>E082</t>
        </is>
      </c>
      <c r="B86" s="9" t="inlineStr">
        <is>
          <t>Operations</t>
        </is>
      </c>
      <c r="C86" s="9" t="inlineStr">
        <is>
          <t>F</t>
        </is>
      </c>
      <c r="D86" s="10" t="n">
        <v>78077.88</v>
      </c>
      <c r="E86" s="10" t="n">
        <v>5205.64</v>
      </c>
      <c r="F86" s="9" t="n">
        <v>8.300000000000001</v>
      </c>
      <c r="G86" s="9" t="n">
        <v>6</v>
      </c>
      <c r="H86" s="9" t="n">
        <v>1</v>
      </c>
      <c r="I86" s="9" t="n">
        <v>12</v>
      </c>
      <c r="J86" s="11">
        <f>H86*(I86/12)</f>
        <v/>
      </c>
      <c r="K86" s="12">
        <f>D86/J86</f>
        <v/>
      </c>
      <c r="L86" s="12">
        <f>E86/J86</f>
        <v/>
      </c>
      <c r="M86" s="12">
        <f>K86+L86</f>
        <v/>
      </c>
      <c r="N86" s="12">
        <f>D86+E86</f>
        <v/>
      </c>
      <c r="O86" s="12">
        <f>(SUMIFS($M$5:$M$216,$B$5:$B$216,B86,$AD$5:$AD$216,INT((AE86+1)/2))+SUMIFS($M$5:$M$216,$B$5:$B$216,B86,$AD$5:$AD$216,INT(AE86/2)+1))/2</f>
        <v/>
      </c>
      <c r="P86" s="13">
        <f>IF(AND(C86="F",M86&lt;O86,SUMIFS(Categories!$Z$5:$Z$11,Categories!$A$5:$A$11,B86)=1),1,0)</f>
        <v/>
      </c>
      <c r="Q86" s="12">
        <f>IF(P86=1,O86-M86,0)</f>
        <v/>
      </c>
      <c r="R86" s="11">
        <f>IF(AND(P86=1,SUMIFS(Categories!$AA$5:$AA$11,Categories!$A$5:$A$11,B86)&gt;0),Q86/SUMIFS(Categories!$AA$5:$AA$11,Categories!$A$5:$A$11,B86),0)</f>
        <v/>
      </c>
      <c r="S86" s="12">
        <f>R86*SUMIFS(Categories!$AB$5:$AB$11,Categories!$A$5:$A$11,B86)</f>
        <v/>
      </c>
      <c r="T86" s="12">
        <f>S86*J86</f>
        <v/>
      </c>
      <c r="U86" s="12">
        <f>IF(T86&lt;=0,0,(rate_below/100)*MIN(T86,MAX(0,ceiling-D86))+(rate_above/100)*(T86-MIN(T86,MAX(0,ceiling-D86))))</f>
        <v/>
      </c>
      <c r="V86" s="12">
        <f>T86+U86</f>
        <v/>
      </c>
      <c r="W86" s="13">
        <f>IF(AND(C86="F",M86&lt;O86,SUMIFS(Categories!$AH$5:$AH$11,Categories!$A$5:$A$11,B86)=1),1,0)</f>
        <v/>
      </c>
      <c r="X86" s="12">
        <f>IF(W86=1,O86-M86,0)</f>
        <v/>
      </c>
      <c r="Y86" s="11">
        <f>IF(AND(W86=1,SUMIFS(Categories!$AI$5:$AI$11,Categories!$A$5:$A$11,B86)&gt;0),X86/SUMIFS(Categories!$AI$5:$AI$11,Categories!$A$5:$A$11,B86),0)</f>
        <v/>
      </c>
      <c r="Z86" s="12">
        <f>Y86*SUMIFS(Categories!$AJ$5:$AJ$11,Categories!$A$5:$A$11,B86)</f>
        <v/>
      </c>
      <c r="AA86" s="12">
        <f>Z86*J86</f>
        <v/>
      </c>
      <c r="AB86" s="12">
        <f>IF(AA86&lt;=0,0,(rate_below/100)*MIN(AA86,MAX(0,ceiling-D86))+(rate_above/100)*(AA86-MIN(AA86,MAX(0,ceiling-D86))))</f>
        <v/>
      </c>
      <c r="AC86" s="12">
        <f>AA86+AB86</f>
        <v/>
      </c>
      <c r="AD86" s="13">
        <f>SUMPRODUCT(($B$5:$B$216=B86)*($M$5:$M$216&lt;M86))+SUMPRODUCT(($B$5:$B$216=B86)*($M$5:$M$216=M86)*(ROW($M$5:$M$216)&lt;ROW(M86)))+1</f>
        <v/>
      </c>
      <c r="AE86" s="13">
        <f>COUNTIF($B$5:$B$216,B86)</f>
        <v/>
      </c>
      <c r="AF86" s="13">
        <f>SUMPRODUCT(($B$5:$B$216=B86)*($C$5:$C$216=C86)*($M$5:$M$216&lt;M86))+SUMPRODUCT(($B$5:$B$216=B86)*($C$5:$C$216=C86)*($M$5:$M$216=M86)*(ROW($M$5:$M$216)&lt;ROW(M86)))+1</f>
        <v/>
      </c>
      <c r="AG86" s="13">
        <f>COUNTIFS($B$5:$B$216,B86,$C$5:$C$216,C86)</f>
        <v/>
      </c>
    </row>
    <row r="87">
      <c r="A87" s="9" t="inlineStr">
        <is>
          <t>E083</t>
        </is>
      </c>
      <c r="B87" s="9" t="inlineStr">
        <is>
          <t>Legal</t>
        </is>
      </c>
      <c r="C87" s="9" t="inlineStr">
        <is>
          <t>F</t>
        </is>
      </c>
      <c r="D87" s="10" t="n">
        <v>65064.35</v>
      </c>
      <c r="E87" s="10" t="n">
        <v>10014.49</v>
      </c>
      <c r="F87" s="9" t="n">
        <v>6.1</v>
      </c>
      <c r="G87" s="9" t="n">
        <v>3</v>
      </c>
      <c r="H87" s="9" t="n">
        <v>1</v>
      </c>
      <c r="I87" s="9" t="n">
        <v>12</v>
      </c>
      <c r="J87" s="11">
        <f>H87*(I87/12)</f>
        <v/>
      </c>
      <c r="K87" s="12">
        <f>D87/J87</f>
        <v/>
      </c>
      <c r="L87" s="12">
        <f>E87/J87</f>
        <v/>
      </c>
      <c r="M87" s="12">
        <f>K87+L87</f>
        <v/>
      </c>
      <c r="N87" s="12">
        <f>D87+E87</f>
        <v/>
      </c>
      <c r="O87" s="12">
        <f>(SUMIFS($M$5:$M$216,$B$5:$B$216,B87,$AD$5:$AD$216,INT((AE87+1)/2))+SUMIFS($M$5:$M$216,$B$5:$B$216,B87,$AD$5:$AD$216,INT(AE87/2)+1))/2</f>
        <v/>
      </c>
      <c r="P87" s="13">
        <f>IF(AND(C87="F",M87&lt;O87,SUMIFS(Categories!$Z$5:$Z$11,Categories!$A$5:$A$11,B87)=1),1,0)</f>
        <v/>
      </c>
      <c r="Q87" s="12">
        <f>IF(P87=1,O87-M87,0)</f>
        <v/>
      </c>
      <c r="R87" s="11">
        <f>IF(AND(P87=1,SUMIFS(Categories!$AA$5:$AA$11,Categories!$A$5:$A$11,B87)&gt;0),Q87/SUMIFS(Categories!$AA$5:$AA$11,Categories!$A$5:$A$11,B87),0)</f>
        <v/>
      </c>
      <c r="S87" s="12">
        <f>R87*SUMIFS(Categories!$AB$5:$AB$11,Categories!$A$5:$A$11,B87)</f>
        <v/>
      </c>
      <c r="T87" s="12">
        <f>S87*J87</f>
        <v/>
      </c>
      <c r="U87" s="12">
        <f>IF(T87&lt;=0,0,(rate_below/100)*MIN(T87,MAX(0,ceiling-D87))+(rate_above/100)*(T87-MIN(T87,MAX(0,ceiling-D87))))</f>
        <v/>
      </c>
      <c r="V87" s="12">
        <f>T87+U87</f>
        <v/>
      </c>
      <c r="W87" s="13">
        <f>IF(AND(C87="F",M87&lt;O87,SUMIFS(Categories!$AH$5:$AH$11,Categories!$A$5:$A$11,B87)=1),1,0)</f>
        <v/>
      </c>
      <c r="X87" s="12">
        <f>IF(W87=1,O87-M87,0)</f>
        <v/>
      </c>
      <c r="Y87" s="11">
        <f>IF(AND(W87=1,SUMIFS(Categories!$AI$5:$AI$11,Categories!$A$5:$A$11,B87)&gt;0),X87/SUMIFS(Categories!$AI$5:$AI$11,Categories!$A$5:$A$11,B87),0)</f>
        <v/>
      </c>
      <c r="Z87" s="12">
        <f>Y87*SUMIFS(Categories!$AJ$5:$AJ$11,Categories!$A$5:$A$11,B87)</f>
        <v/>
      </c>
      <c r="AA87" s="12">
        <f>Z87*J87</f>
        <v/>
      </c>
      <c r="AB87" s="12">
        <f>IF(AA87&lt;=0,0,(rate_below/100)*MIN(AA87,MAX(0,ceiling-D87))+(rate_above/100)*(AA87-MIN(AA87,MAX(0,ceiling-D87))))</f>
        <v/>
      </c>
      <c r="AC87" s="12">
        <f>AA87+AB87</f>
        <v/>
      </c>
      <c r="AD87" s="13">
        <f>SUMPRODUCT(($B$5:$B$216=B87)*($M$5:$M$216&lt;M87))+SUMPRODUCT(($B$5:$B$216=B87)*($M$5:$M$216=M87)*(ROW($M$5:$M$216)&lt;ROW(M87)))+1</f>
        <v/>
      </c>
      <c r="AE87" s="13">
        <f>COUNTIF($B$5:$B$216,B87)</f>
        <v/>
      </c>
      <c r="AF87" s="13">
        <f>SUMPRODUCT(($B$5:$B$216=B87)*($C$5:$C$216=C87)*($M$5:$M$216&lt;M87))+SUMPRODUCT(($B$5:$B$216=B87)*($C$5:$C$216=C87)*($M$5:$M$216=M87)*(ROW($M$5:$M$216)&lt;ROW(M87)))+1</f>
        <v/>
      </c>
      <c r="AG87" s="13">
        <f>COUNTIFS($B$5:$B$216,B87,$C$5:$C$216,C87)</f>
        <v/>
      </c>
    </row>
    <row r="88">
      <c r="A88" s="9" t="inlineStr">
        <is>
          <t>E084</t>
        </is>
      </c>
      <c r="B88" s="9" t="inlineStr">
        <is>
          <t>Legal</t>
        </is>
      </c>
      <c r="C88" s="9" t="inlineStr">
        <is>
          <t>F</t>
        </is>
      </c>
      <c r="D88" s="10" t="n">
        <v>67252.73</v>
      </c>
      <c r="E88" s="10" t="n">
        <v>11928.27</v>
      </c>
      <c r="F88" s="9" t="n">
        <v>7.1</v>
      </c>
      <c r="G88" s="9" t="n">
        <v>4</v>
      </c>
      <c r="H88" s="9" t="n">
        <v>1</v>
      </c>
      <c r="I88" s="9" t="n">
        <v>12</v>
      </c>
      <c r="J88" s="11">
        <f>H88*(I88/12)</f>
        <v/>
      </c>
      <c r="K88" s="12">
        <f>D88/J88</f>
        <v/>
      </c>
      <c r="L88" s="12">
        <f>E88/J88</f>
        <v/>
      </c>
      <c r="M88" s="12">
        <f>K88+L88</f>
        <v/>
      </c>
      <c r="N88" s="12">
        <f>D88+E88</f>
        <v/>
      </c>
      <c r="O88" s="12">
        <f>(SUMIFS($M$5:$M$216,$B$5:$B$216,B88,$AD$5:$AD$216,INT((AE88+1)/2))+SUMIFS($M$5:$M$216,$B$5:$B$216,B88,$AD$5:$AD$216,INT(AE88/2)+1))/2</f>
        <v/>
      </c>
      <c r="P88" s="13">
        <f>IF(AND(C88="F",M88&lt;O88,SUMIFS(Categories!$Z$5:$Z$11,Categories!$A$5:$A$11,B88)=1),1,0)</f>
        <v/>
      </c>
      <c r="Q88" s="12">
        <f>IF(P88=1,O88-M88,0)</f>
        <v/>
      </c>
      <c r="R88" s="11">
        <f>IF(AND(P88=1,SUMIFS(Categories!$AA$5:$AA$11,Categories!$A$5:$A$11,B88)&gt;0),Q88/SUMIFS(Categories!$AA$5:$AA$11,Categories!$A$5:$A$11,B88),0)</f>
        <v/>
      </c>
      <c r="S88" s="12">
        <f>R88*SUMIFS(Categories!$AB$5:$AB$11,Categories!$A$5:$A$11,B88)</f>
        <v/>
      </c>
      <c r="T88" s="12">
        <f>S88*J88</f>
        <v/>
      </c>
      <c r="U88" s="12">
        <f>IF(T88&lt;=0,0,(rate_below/100)*MIN(T88,MAX(0,ceiling-D88))+(rate_above/100)*(T88-MIN(T88,MAX(0,ceiling-D88))))</f>
        <v/>
      </c>
      <c r="V88" s="12">
        <f>T88+U88</f>
        <v/>
      </c>
      <c r="W88" s="13">
        <f>IF(AND(C88="F",M88&lt;O88,SUMIFS(Categories!$AH$5:$AH$11,Categories!$A$5:$A$11,B88)=1),1,0)</f>
        <v/>
      </c>
      <c r="X88" s="12">
        <f>IF(W88=1,O88-M88,0)</f>
        <v/>
      </c>
      <c r="Y88" s="11">
        <f>IF(AND(W88=1,SUMIFS(Categories!$AI$5:$AI$11,Categories!$A$5:$A$11,B88)&gt;0),X88/SUMIFS(Categories!$AI$5:$AI$11,Categories!$A$5:$A$11,B88),0)</f>
        <v/>
      </c>
      <c r="Z88" s="12">
        <f>Y88*SUMIFS(Categories!$AJ$5:$AJ$11,Categories!$A$5:$A$11,B88)</f>
        <v/>
      </c>
      <c r="AA88" s="12">
        <f>Z88*J88</f>
        <v/>
      </c>
      <c r="AB88" s="12">
        <f>IF(AA88&lt;=0,0,(rate_below/100)*MIN(AA88,MAX(0,ceiling-D88))+(rate_above/100)*(AA88-MIN(AA88,MAX(0,ceiling-D88))))</f>
        <v/>
      </c>
      <c r="AC88" s="12">
        <f>AA88+AB88</f>
        <v/>
      </c>
      <c r="AD88" s="13">
        <f>SUMPRODUCT(($B$5:$B$216=B88)*($M$5:$M$216&lt;M88))+SUMPRODUCT(($B$5:$B$216=B88)*($M$5:$M$216=M88)*(ROW($M$5:$M$216)&lt;ROW(M88)))+1</f>
        <v/>
      </c>
      <c r="AE88" s="13">
        <f>COUNTIF($B$5:$B$216,B88)</f>
        <v/>
      </c>
      <c r="AF88" s="13">
        <f>SUMPRODUCT(($B$5:$B$216=B88)*($C$5:$C$216=C88)*($M$5:$M$216&lt;M88))+SUMPRODUCT(($B$5:$B$216=B88)*($C$5:$C$216=C88)*($M$5:$M$216=M88)*(ROW($M$5:$M$216)&lt;ROW(M88)))+1</f>
        <v/>
      </c>
      <c r="AG88" s="13">
        <f>COUNTIFS($B$5:$B$216,B88,$C$5:$C$216,C88)</f>
        <v/>
      </c>
    </row>
    <row r="89">
      <c r="A89" s="9" t="inlineStr">
        <is>
          <t>E085</t>
        </is>
      </c>
      <c r="B89" s="9" t="inlineStr">
        <is>
          <t>Legal</t>
        </is>
      </c>
      <c r="C89" s="9" t="inlineStr">
        <is>
          <t>M</t>
        </is>
      </c>
      <c r="D89" s="10" t="n">
        <v>101390.98</v>
      </c>
      <c r="E89" s="10" t="n">
        <v>13660.97</v>
      </c>
      <c r="F89" s="9" t="n">
        <v>8.1</v>
      </c>
      <c r="G89" s="9" t="n">
        <v>6</v>
      </c>
      <c r="H89" s="9" t="n">
        <v>1</v>
      </c>
      <c r="I89" s="9" t="n">
        <v>12</v>
      </c>
      <c r="J89" s="11">
        <f>H89*(I89/12)</f>
        <v/>
      </c>
      <c r="K89" s="12">
        <f>D89/J89</f>
        <v/>
      </c>
      <c r="L89" s="12">
        <f>E89/J89</f>
        <v/>
      </c>
      <c r="M89" s="12">
        <f>K89+L89</f>
        <v/>
      </c>
      <c r="N89" s="12">
        <f>D89+E89</f>
        <v/>
      </c>
      <c r="O89" s="12">
        <f>(SUMIFS($M$5:$M$216,$B$5:$B$216,B89,$AD$5:$AD$216,INT((AE89+1)/2))+SUMIFS($M$5:$M$216,$B$5:$B$216,B89,$AD$5:$AD$216,INT(AE89/2)+1))/2</f>
        <v/>
      </c>
      <c r="P89" s="13">
        <f>IF(AND(C89="F",M89&lt;O89,SUMIFS(Categories!$Z$5:$Z$11,Categories!$A$5:$A$11,B89)=1),1,0)</f>
        <v/>
      </c>
      <c r="Q89" s="12">
        <f>IF(P89=1,O89-M89,0)</f>
        <v/>
      </c>
      <c r="R89" s="11">
        <f>IF(AND(P89=1,SUMIFS(Categories!$AA$5:$AA$11,Categories!$A$5:$A$11,B89)&gt;0),Q89/SUMIFS(Categories!$AA$5:$AA$11,Categories!$A$5:$A$11,B89),0)</f>
        <v/>
      </c>
      <c r="S89" s="12">
        <f>R89*SUMIFS(Categories!$AB$5:$AB$11,Categories!$A$5:$A$11,B89)</f>
        <v/>
      </c>
      <c r="T89" s="12">
        <f>S89*J89</f>
        <v/>
      </c>
      <c r="U89" s="12">
        <f>IF(T89&lt;=0,0,(rate_below/100)*MIN(T89,MAX(0,ceiling-D89))+(rate_above/100)*(T89-MIN(T89,MAX(0,ceiling-D89))))</f>
        <v/>
      </c>
      <c r="V89" s="12">
        <f>T89+U89</f>
        <v/>
      </c>
      <c r="W89" s="13">
        <f>IF(AND(C89="F",M89&lt;O89,SUMIFS(Categories!$AH$5:$AH$11,Categories!$A$5:$A$11,B89)=1),1,0)</f>
        <v/>
      </c>
      <c r="X89" s="12">
        <f>IF(W89=1,O89-M89,0)</f>
        <v/>
      </c>
      <c r="Y89" s="11">
        <f>IF(AND(W89=1,SUMIFS(Categories!$AI$5:$AI$11,Categories!$A$5:$A$11,B89)&gt;0),X89/SUMIFS(Categories!$AI$5:$AI$11,Categories!$A$5:$A$11,B89),0)</f>
        <v/>
      </c>
      <c r="Z89" s="12">
        <f>Y89*SUMIFS(Categories!$AJ$5:$AJ$11,Categories!$A$5:$A$11,B89)</f>
        <v/>
      </c>
      <c r="AA89" s="12">
        <f>Z89*J89</f>
        <v/>
      </c>
      <c r="AB89" s="12">
        <f>IF(AA89&lt;=0,0,(rate_below/100)*MIN(AA89,MAX(0,ceiling-D89))+(rate_above/100)*(AA89-MIN(AA89,MAX(0,ceiling-D89))))</f>
        <v/>
      </c>
      <c r="AC89" s="12">
        <f>AA89+AB89</f>
        <v/>
      </c>
      <c r="AD89" s="13">
        <f>SUMPRODUCT(($B$5:$B$216=B89)*($M$5:$M$216&lt;M89))+SUMPRODUCT(($B$5:$B$216=B89)*($M$5:$M$216=M89)*(ROW($M$5:$M$216)&lt;ROW(M89)))+1</f>
        <v/>
      </c>
      <c r="AE89" s="13">
        <f>COUNTIF($B$5:$B$216,B89)</f>
        <v/>
      </c>
      <c r="AF89" s="13">
        <f>SUMPRODUCT(($B$5:$B$216=B89)*($C$5:$C$216=C89)*($M$5:$M$216&lt;M89))+SUMPRODUCT(($B$5:$B$216=B89)*($C$5:$C$216=C89)*($M$5:$M$216=M89)*(ROW($M$5:$M$216)&lt;ROW(M89)))+1</f>
        <v/>
      </c>
      <c r="AG89" s="13">
        <f>COUNTIFS($B$5:$B$216,B89,$C$5:$C$216,C89)</f>
        <v/>
      </c>
    </row>
    <row r="90">
      <c r="A90" s="9" t="inlineStr">
        <is>
          <t>E086</t>
        </is>
      </c>
      <c r="B90" s="9" t="inlineStr">
        <is>
          <t>Legal</t>
        </is>
      </c>
      <c r="C90" s="9" t="inlineStr">
        <is>
          <t>M</t>
        </is>
      </c>
      <c r="D90" s="10" t="n">
        <v>84225.02</v>
      </c>
      <c r="E90" s="10" t="n">
        <v>13877.05</v>
      </c>
      <c r="F90" s="9" t="n">
        <v>5.9</v>
      </c>
      <c r="G90" s="9" t="n">
        <v>5</v>
      </c>
      <c r="H90" s="9" t="n">
        <v>1</v>
      </c>
      <c r="I90" s="9" t="n">
        <v>12</v>
      </c>
      <c r="J90" s="11">
        <f>H90*(I90/12)</f>
        <v/>
      </c>
      <c r="K90" s="12">
        <f>D90/J90</f>
        <v/>
      </c>
      <c r="L90" s="12">
        <f>E90/J90</f>
        <v/>
      </c>
      <c r="M90" s="12">
        <f>K90+L90</f>
        <v/>
      </c>
      <c r="N90" s="12">
        <f>D90+E90</f>
        <v/>
      </c>
      <c r="O90" s="12">
        <f>(SUMIFS($M$5:$M$216,$B$5:$B$216,B90,$AD$5:$AD$216,INT((AE90+1)/2))+SUMIFS($M$5:$M$216,$B$5:$B$216,B90,$AD$5:$AD$216,INT(AE90/2)+1))/2</f>
        <v/>
      </c>
      <c r="P90" s="13">
        <f>IF(AND(C90="F",M90&lt;O90,SUMIFS(Categories!$Z$5:$Z$11,Categories!$A$5:$A$11,B90)=1),1,0)</f>
        <v/>
      </c>
      <c r="Q90" s="12">
        <f>IF(P90=1,O90-M90,0)</f>
        <v/>
      </c>
      <c r="R90" s="11">
        <f>IF(AND(P90=1,SUMIFS(Categories!$AA$5:$AA$11,Categories!$A$5:$A$11,B90)&gt;0),Q90/SUMIFS(Categories!$AA$5:$AA$11,Categories!$A$5:$A$11,B90),0)</f>
        <v/>
      </c>
      <c r="S90" s="12">
        <f>R90*SUMIFS(Categories!$AB$5:$AB$11,Categories!$A$5:$A$11,B90)</f>
        <v/>
      </c>
      <c r="T90" s="12">
        <f>S90*J90</f>
        <v/>
      </c>
      <c r="U90" s="12">
        <f>IF(T90&lt;=0,0,(rate_below/100)*MIN(T90,MAX(0,ceiling-D90))+(rate_above/100)*(T90-MIN(T90,MAX(0,ceiling-D90))))</f>
        <v/>
      </c>
      <c r="V90" s="12">
        <f>T90+U90</f>
        <v/>
      </c>
      <c r="W90" s="13">
        <f>IF(AND(C90="F",M90&lt;O90,SUMIFS(Categories!$AH$5:$AH$11,Categories!$A$5:$A$11,B90)=1),1,0)</f>
        <v/>
      </c>
      <c r="X90" s="12">
        <f>IF(W90=1,O90-M90,0)</f>
        <v/>
      </c>
      <c r="Y90" s="11">
        <f>IF(AND(W90=1,SUMIFS(Categories!$AI$5:$AI$11,Categories!$A$5:$A$11,B90)&gt;0),X90/SUMIFS(Categories!$AI$5:$AI$11,Categories!$A$5:$A$11,B90),0)</f>
        <v/>
      </c>
      <c r="Z90" s="12">
        <f>Y90*SUMIFS(Categories!$AJ$5:$AJ$11,Categories!$A$5:$A$11,B90)</f>
        <v/>
      </c>
      <c r="AA90" s="12">
        <f>Z90*J90</f>
        <v/>
      </c>
      <c r="AB90" s="12">
        <f>IF(AA90&lt;=0,0,(rate_below/100)*MIN(AA90,MAX(0,ceiling-D90))+(rate_above/100)*(AA90-MIN(AA90,MAX(0,ceiling-D90))))</f>
        <v/>
      </c>
      <c r="AC90" s="12">
        <f>AA90+AB90</f>
        <v/>
      </c>
      <c r="AD90" s="13">
        <f>SUMPRODUCT(($B$5:$B$216=B90)*($M$5:$M$216&lt;M90))+SUMPRODUCT(($B$5:$B$216=B90)*($M$5:$M$216=M90)*(ROW($M$5:$M$216)&lt;ROW(M90)))+1</f>
        <v/>
      </c>
      <c r="AE90" s="13">
        <f>COUNTIF($B$5:$B$216,B90)</f>
        <v/>
      </c>
      <c r="AF90" s="13">
        <f>SUMPRODUCT(($B$5:$B$216=B90)*($C$5:$C$216=C90)*($M$5:$M$216&lt;M90))+SUMPRODUCT(($B$5:$B$216=B90)*($C$5:$C$216=C90)*($M$5:$M$216=M90)*(ROW($M$5:$M$216)&lt;ROW(M90)))+1</f>
        <v/>
      </c>
      <c r="AG90" s="13">
        <f>COUNTIFS($B$5:$B$216,B90,$C$5:$C$216,C90)</f>
        <v/>
      </c>
    </row>
    <row r="91">
      <c r="A91" s="9" t="inlineStr">
        <is>
          <t>E087</t>
        </is>
      </c>
      <c r="B91" s="9" t="inlineStr">
        <is>
          <t>Legal</t>
        </is>
      </c>
      <c r="C91" s="9" t="inlineStr">
        <is>
          <t>F</t>
        </is>
      </c>
      <c r="D91" s="10" t="n">
        <v>69875.62</v>
      </c>
      <c r="E91" s="10" t="n">
        <v>11609.67</v>
      </c>
      <c r="F91" s="9" t="n">
        <v>5.1</v>
      </c>
      <c r="G91" s="9" t="n">
        <v>4</v>
      </c>
      <c r="H91" s="9" t="n">
        <v>1</v>
      </c>
      <c r="I91" s="9" t="n">
        <v>12</v>
      </c>
      <c r="J91" s="11">
        <f>H91*(I91/12)</f>
        <v/>
      </c>
      <c r="K91" s="12">
        <f>D91/J91</f>
        <v/>
      </c>
      <c r="L91" s="12">
        <f>E91/J91</f>
        <v/>
      </c>
      <c r="M91" s="12">
        <f>K91+L91</f>
        <v/>
      </c>
      <c r="N91" s="12">
        <f>D91+E91</f>
        <v/>
      </c>
      <c r="O91" s="12">
        <f>(SUMIFS($M$5:$M$216,$B$5:$B$216,B91,$AD$5:$AD$216,INT((AE91+1)/2))+SUMIFS($M$5:$M$216,$B$5:$B$216,B91,$AD$5:$AD$216,INT(AE91/2)+1))/2</f>
        <v/>
      </c>
      <c r="P91" s="13">
        <f>IF(AND(C91="F",M91&lt;O91,SUMIFS(Categories!$Z$5:$Z$11,Categories!$A$5:$A$11,B91)=1),1,0)</f>
        <v/>
      </c>
      <c r="Q91" s="12">
        <f>IF(P91=1,O91-M91,0)</f>
        <v/>
      </c>
      <c r="R91" s="11">
        <f>IF(AND(P91=1,SUMIFS(Categories!$AA$5:$AA$11,Categories!$A$5:$A$11,B91)&gt;0),Q91/SUMIFS(Categories!$AA$5:$AA$11,Categories!$A$5:$A$11,B91),0)</f>
        <v/>
      </c>
      <c r="S91" s="12">
        <f>R91*SUMIFS(Categories!$AB$5:$AB$11,Categories!$A$5:$A$11,B91)</f>
        <v/>
      </c>
      <c r="T91" s="12">
        <f>S91*J91</f>
        <v/>
      </c>
      <c r="U91" s="12">
        <f>IF(T91&lt;=0,0,(rate_below/100)*MIN(T91,MAX(0,ceiling-D91))+(rate_above/100)*(T91-MIN(T91,MAX(0,ceiling-D91))))</f>
        <v/>
      </c>
      <c r="V91" s="12">
        <f>T91+U91</f>
        <v/>
      </c>
      <c r="W91" s="13">
        <f>IF(AND(C91="F",M91&lt;O91,SUMIFS(Categories!$AH$5:$AH$11,Categories!$A$5:$A$11,B91)=1),1,0)</f>
        <v/>
      </c>
      <c r="X91" s="12">
        <f>IF(W91=1,O91-M91,0)</f>
        <v/>
      </c>
      <c r="Y91" s="11">
        <f>IF(AND(W91=1,SUMIFS(Categories!$AI$5:$AI$11,Categories!$A$5:$A$11,B91)&gt;0),X91/SUMIFS(Categories!$AI$5:$AI$11,Categories!$A$5:$A$11,B91),0)</f>
        <v/>
      </c>
      <c r="Z91" s="12">
        <f>Y91*SUMIFS(Categories!$AJ$5:$AJ$11,Categories!$A$5:$A$11,B91)</f>
        <v/>
      </c>
      <c r="AA91" s="12">
        <f>Z91*J91</f>
        <v/>
      </c>
      <c r="AB91" s="12">
        <f>IF(AA91&lt;=0,0,(rate_below/100)*MIN(AA91,MAX(0,ceiling-D91))+(rate_above/100)*(AA91-MIN(AA91,MAX(0,ceiling-D91))))</f>
        <v/>
      </c>
      <c r="AC91" s="12">
        <f>AA91+AB91</f>
        <v/>
      </c>
      <c r="AD91" s="13">
        <f>SUMPRODUCT(($B$5:$B$216=B91)*($M$5:$M$216&lt;M91))+SUMPRODUCT(($B$5:$B$216=B91)*($M$5:$M$216=M91)*(ROW($M$5:$M$216)&lt;ROW(M91)))+1</f>
        <v/>
      </c>
      <c r="AE91" s="13">
        <f>COUNTIF($B$5:$B$216,B91)</f>
        <v/>
      </c>
      <c r="AF91" s="13">
        <f>SUMPRODUCT(($B$5:$B$216=B91)*($C$5:$C$216=C91)*($M$5:$M$216&lt;M91))+SUMPRODUCT(($B$5:$B$216=B91)*($C$5:$C$216=C91)*($M$5:$M$216=M91)*(ROW($M$5:$M$216)&lt;ROW(M91)))+1</f>
        <v/>
      </c>
      <c r="AG91" s="13">
        <f>COUNTIFS($B$5:$B$216,B91,$C$5:$C$216,C91)</f>
        <v/>
      </c>
    </row>
    <row r="92">
      <c r="A92" s="9" t="inlineStr">
        <is>
          <t>E088</t>
        </is>
      </c>
      <c r="B92" s="9" t="inlineStr">
        <is>
          <t>Legal</t>
        </is>
      </c>
      <c r="C92" s="9" t="inlineStr">
        <is>
          <t>M</t>
        </is>
      </c>
      <c r="D92" s="10" t="n">
        <v>83187.2</v>
      </c>
      <c r="E92" s="10" t="n">
        <v>11986.42</v>
      </c>
      <c r="F92" s="9" t="n">
        <v>8.800000000000001</v>
      </c>
      <c r="G92" s="9" t="n">
        <v>4</v>
      </c>
      <c r="H92" s="9" t="n">
        <v>1</v>
      </c>
      <c r="I92" s="9" t="n">
        <v>12</v>
      </c>
      <c r="J92" s="11">
        <f>H92*(I92/12)</f>
        <v/>
      </c>
      <c r="K92" s="12">
        <f>D92/J92</f>
        <v/>
      </c>
      <c r="L92" s="12">
        <f>E92/J92</f>
        <v/>
      </c>
      <c r="M92" s="12">
        <f>K92+L92</f>
        <v/>
      </c>
      <c r="N92" s="12">
        <f>D92+E92</f>
        <v/>
      </c>
      <c r="O92" s="12">
        <f>(SUMIFS($M$5:$M$216,$B$5:$B$216,B92,$AD$5:$AD$216,INT((AE92+1)/2))+SUMIFS($M$5:$M$216,$B$5:$B$216,B92,$AD$5:$AD$216,INT(AE92/2)+1))/2</f>
        <v/>
      </c>
      <c r="P92" s="13">
        <f>IF(AND(C92="F",M92&lt;O92,SUMIFS(Categories!$Z$5:$Z$11,Categories!$A$5:$A$11,B92)=1),1,0)</f>
        <v/>
      </c>
      <c r="Q92" s="12">
        <f>IF(P92=1,O92-M92,0)</f>
        <v/>
      </c>
      <c r="R92" s="11">
        <f>IF(AND(P92=1,SUMIFS(Categories!$AA$5:$AA$11,Categories!$A$5:$A$11,B92)&gt;0),Q92/SUMIFS(Categories!$AA$5:$AA$11,Categories!$A$5:$A$11,B92),0)</f>
        <v/>
      </c>
      <c r="S92" s="12">
        <f>R92*SUMIFS(Categories!$AB$5:$AB$11,Categories!$A$5:$A$11,B92)</f>
        <v/>
      </c>
      <c r="T92" s="12">
        <f>S92*J92</f>
        <v/>
      </c>
      <c r="U92" s="12">
        <f>IF(T92&lt;=0,0,(rate_below/100)*MIN(T92,MAX(0,ceiling-D92))+(rate_above/100)*(T92-MIN(T92,MAX(0,ceiling-D92))))</f>
        <v/>
      </c>
      <c r="V92" s="12">
        <f>T92+U92</f>
        <v/>
      </c>
      <c r="W92" s="13">
        <f>IF(AND(C92="F",M92&lt;O92,SUMIFS(Categories!$AH$5:$AH$11,Categories!$A$5:$A$11,B92)=1),1,0)</f>
        <v/>
      </c>
      <c r="X92" s="12">
        <f>IF(W92=1,O92-M92,0)</f>
        <v/>
      </c>
      <c r="Y92" s="11">
        <f>IF(AND(W92=1,SUMIFS(Categories!$AI$5:$AI$11,Categories!$A$5:$A$11,B92)&gt;0),X92/SUMIFS(Categories!$AI$5:$AI$11,Categories!$A$5:$A$11,B92),0)</f>
        <v/>
      </c>
      <c r="Z92" s="12">
        <f>Y92*SUMIFS(Categories!$AJ$5:$AJ$11,Categories!$A$5:$A$11,B92)</f>
        <v/>
      </c>
      <c r="AA92" s="12">
        <f>Z92*J92</f>
        <v/>
      </c>
      <c r="AB92" s="12">
        <f>IF(AA92&lt;=0,0,(rate_below/100)*MIN(AA92,MAX(0,ceiling-D92))+(rate_above/100)*(AA92-MIN(AA92,MAX(0,ceiling-D92))))</f>
        <v/>
      </c>
      <c r="AC92" s="12">
        <f>AA92+AB92</f>
        <v/>
      </c>
      <c r="AD92" s="13">
        <f>SUMPRODUCT(($B$5:$B$216=B92)*($M$5:$M$216&lt;M92))+SUMPRODUCT(($B$5:$B$216=B92)*($M$5:$M$216=M92)*(ROW($M$5:$M$216)&lt;ROW(M92)))+1</f>
        <v/>
      </c>
      <c r="AE92" s="13">
        <f>COUNTIF($B$5:$B$216,B92)</f>
        <v/>
      </c>
      <c r="AF92" s="13">
        <f>SUMPRODUCT(($B$5:$B$216=B92)*($C$5:$C$216=C92)*($M$5:$M$216&lt;M92))+SUMPRODUCT(($B$5:$B$216=B92)*($C$5:$C$216=C92)*($M$5:$M$216=M92)*(ROW($M$5:$M$216)&lt;ROW(M92)))+1</f>
        <v/>
      </c>
      <c r="AG92" s="13">
        <f>COUNTIFS($B$5:$B$216,B92,$C$5:$C$216,C92)</f>
        <v/>
      </c>
    </row>
    <row r="93">
      <c r="A93" s="9" t="inlineStr">
        <is>
          <t>E089</t>
        </is>
      </c>
      <c r="B93" s="9" t="inlineStr">
        <is>
          <t>Legal</t>
        </is>
      </c>
      <c r="C93" s="9" t="inlineStr">
        <is>
          <t>M</t>
        </is>
      </c>
      <c r="D93" s="10" t="n">
        <v>63590.21</v>
      </c>
      <c r="E93" s="10" t="n">
        <v>9018.030000000001</v>
      </c>
      <c r="F93" s="9" t="n">
        <v>1.3</v>
      </c>
      <c r="G93" s="9" t="n">
        <v>3</v>
      </c>
      <c r="H93" s="9" t="n">
        <v>1</v>
      </c>
      <c r="I93" s="9" t="n">
        <v>12</v>
      </c>
      <c r="J93" s="11">
        <f>H93*(I93/12)</f>
        <v/>
      </c>
      <c r="K93" s="12">
        <f>D93/J93</f>
        <v/>
      </c>
      <c r="L93" s="12">
        <f>E93/J93</f>
        <v/>
      </c>
      <c r="M93" s="12">
        <f>K93+L93</f>
        <v/>
      </c>
      <c r="N93" s="12">
        <f>D93+E93</f>
        <v/>
      </c>
      <c r="O93" s="12">
        <f>(SUMIFS($M$5:$M$216,$B$5:$B$216,B93,$AD$5:$AD$216,INT((AE93+1)/2))+SUMIFS($M$5:$M$216,$B$5:$B$216,B93,$AD$5:$AD$216,INT(AE93/2)+1))/2</f>
        <v/>
      </c>
      <c r="P93" s="13">
        <f>IF(AND(C93="F",M93&lt;O93,SUMIFS(Categories!$Z$5:$Z$11,Categories!$A$5:$A$11,B93)=1),1,0)</f>
        <v/>
      </c>
      <c r="Q93" s="12">
        <f>IF(P93=1,O93-M93,0)</f>
        <v/>
      </c>
      <c r="R93" s="11">
        <f>IF(AND(P93=1,SUMIFS(Categories!$AA$5:$AA$11,Categories!$A$5:$A$11,B93)&gt;0),Q93/SUMIFS(Categories!$AA$5:$AA$11,Categories!$A$5:$A$11,B93),0)</f>
        <v/>
      </c>
      <c r="S93" s="12">
        <f>R93*SUMIFS(Categories!$AB$5:$AB$11,Categories!$A$5:$A$11,B93)</f>
        <v/>
      </c>
      <c r="T93" s="12">
        <f>S93*J93</f>
        <v/>
      </c>
      <c r="U93" s="12">
        <f>IF(T93&lt;=0,0,(rate_below/100)*MIN(T93,MAX(0,ceiling-D93))+(rate_above/100)*(T93-MIN(T93,MAX(0,ceiling-D93))))</f>
        <v/>
      </c>
      <c r="V93" s="12">
        <f>T93+U93</f>
        <v/>
      </c>
      <c r="W93" s="13">
        <f>IF(AND(C93="F",M93&lt;O93,SUMIFS(Categories!$AH$5:$AH$11,Categories!$A$5:$A$11,B93)=1),1,0)</f>
        <v/>
      </c>
      <c r="X93" s="12">
        <f>IF(W93=1,O93-M93,0)</f>
        <v/>
      </c>
      <c r="Y93" s="11">
        <f>IF(AND(W93=1,SUMIFS(Categories!$AI$5:$AI$11,Categories!$A$5:$A$11,B93)&gt;0),X93/SUMIFS(Categories!$AI$5:$AI$11,Categories!$A$5:$A$11,B93),0)</f>
        <v/>
      </c>
      <c r="Z93" s="12">
        <f>Y93*SUMIFS(Categories!$AJ$5:$AJ$11,Categories!$A$5:$A$11,B93)</f>
        <v/>
      </c>
      <c r="AA93" s="12">
        <f>Z93*J93</f>
        <v/>
      </c>
      <c r="AB93" s="12">
        <f>IF(AA93&lt;=0,0,(rate_below/100)*MIN(AA93,MAX(0,ceiling-D93))+(rate_above/100)*(AA93-MIN(AA93,MAX(0,ceiling-D93))))</f>
        <v/>
      </c>
      <c r="AC93" s="12">
        <f>AA93+AB93</f>
        <v/>
      </c>
      <c r="AD93" s="13">
        <f>SUMPRODUCT(($B$5:$B$216=B93)*($M$5:$M$216&lt;M93))+SUMPRODUCT(($B$5:$B$216=B93)*($M$5:$M$216=M93)*(ROW($M$5:$M$216)&lt;ROW(M93)))+1</f>
        <v/>
      </c>
      <c r="AE93" s="13">
        <f>COUNTIF($B$5:$B$216,B93)</f>
        <v/>
      </c>
      <c r="AF93" s="13">
        <f>SUMPRODUCT(($B$5:$B$216=B93)*($C$5:$C$216=C93)*($M$5:$M$216&lt;M93))+SUMPRODUCT(($B$5:$B$216=B93)*($C$5:$C$216=C93)*($M$5:$M$216=M93)*(ROW($M$5:$M$216)&lt;ROW(M93)))+1</f>
        <v/>
      </c>
      <c r="AG93" s="13">
        <f>COUNTIFS($B$5:$B$216,B93,$C$5:$C$216,C93)</f>
        <v/>
      </c>
    </row>
    <row r="94">
      <c r="A94" s="9" t="inlineStr">
        <is>
          <t>E090</t>
        </is>
      </c>
      <c r="B94" s="9" t="inlineStr">
        <is>
          <t>Legal</t>
        </is>
      </c>
      <c r="C94" s="9" t="inlineStr">
        <is>
          <t>M</t>
        </is>
      </c>
      <c r="D94" s="10" t="n">
        <v>73423.13</v>
      </c>
      <c r="E94" s="10" t="n">
        <v>10315.32</v>
      </c>
      <c r="F94" s="9" t="n">
        <v>2.7</v>
      </c>
      <c r="G94" s="9" t="n">
        <v>4</v>
      </c>
      <c r="H94" s="9" t="n">
        <v>1</v>
      </c>
      <c r="I94" s="9" t="n">
        <v>12</v>
      </c>
      <c r="J94" s="11">
        <f>H94*(I94/12)</f>
        <v/>
      </c>
      <c r="K94" s="12">
        <f>D94/J94</f>
        <v/>
      </c>
      <c r="L94" s="12">
        <f>E94/J94</f>
        <v/>
      </c>
      <c r="M94" s="12">
        <f>K94+L94</f>
        <v/>
      </c>
      <c r="N94" s="12">
        <f>D94+E94</f>
        <v/>
      </c>
      <c r="O94" s="12">
        <f>(SUMIFS($M$5:$M$216,$B$5:$B$216,B94,$AD$5:$AD$216,INT((AE94+1)/2))+SUMIFS($M$5:$M$216,$B$5:$B$216,B94,$AD$5:$AD$216,INT(AE94/2)+1))/2</f>
        <v/>
      </c>
      <c r="P94" s="13">
        <f>IF(AND(C94="F",M94&lt;O94,SUMIFS(Categories!$Z$5:$Z$11,Categories!$A$5:$A$11,B94)=1),1,0)</f>
        <v/>
      </c>
      <c r="Q94" s="12">
        <f>IF(P94=1,O94-M94,0)</f>
        <v/>
      </c>
      <c r="R94" s="11">
        <f>IF(AND(P94=1,SUMIFS(Categories!$AA$5:$AA$11,Categories!$A$5:$A$11,B94)&gt;0),Q94/SUMIFS(Categories!$AA$5:$AA$11,Categories!$A$5:$A$11,B94),0)</f>
        <v/>
      </c>
      <c r="S94" s="12">
        <f>R94*SUMIFS(Categories!$AB$5:$AB$11,Categories!$A$5:$A$11,B94)</f>
        <v/>
      </c>
      <c r="T94" s="12">
        <f>S94*J94</f>
        <v/>
      </c>
      <c r="U94" s="12">
        <f>IF(T94&lt;=0,0,(rate_below/100)*MIN(T94,MAX(0,ceiling-D94))+(rate_above/100)*(T94-MIN(T94,MAX(0,ceiling-D94))))</f>
        <v/>
      </c>
      <c r="V94" s="12">
        <f>T94+U94</f>
        <v/>
      </c>
      <c r="W94" s="13">
        <f>IF(AND(C94="F",M94&lt;O94,SUMIFS(Categories!$AH$5:$AH$11,Categories!$A$5:$A$11,B94)=1),1,0)</f>
        <v/>
      </c>
      <c r="X94" s="12">
        <f>IF(W94=1,O94-M94,0)</f>
        <v/>
      </c>
      <c r="Y94" s="11">
        <f>IF(AND(W94=1,SUMIFS(Categories!$AI$5:$AI$11,Categories!$A$5:$A$11,B94)&gt;0),X94/SUMIFS(Categories!$AI$5:$AI$11,Categories!$A$5:$A$11,B94),0)</f>
        <v/>
      </c>
      <c r="Z94" s="12">
        <f>Y94*SUMIFS(Categories!$AJ$5:$AJ$11,Categories!$A$5:$A$11,B94)</f>
        <v/>
      </c>
      <c r="AA94" s="12">
        <f>Z94*J94</f>
        <v/>
      </c>
      <c r="AB94" s="12">
        <f>IF(AA94&lt;=0,0,(rate_below/100)*MIN(AA94,MAX(0,ceiling-D94))+(rate_above/100)*(AA94-MIN(AA94,MAX(0,ceiling-D94))))</f>
        <v/>
      </c>
      <c r="AC94" s="12">
        <f>AA94+AB94</f>
        <v/>
      </c>
      <c r="AD94" s="13">
        <f>SUMPRODUCT(($B$5:$B$216=B94)*($M$5:$M$216&lt;M94))+SUMPRODUCT(($B$5:$B$216=B94)*($M$5:$M$216=M94)*(ROW($M$5:$M$216)&lt;ROW(M94)))+1</f>
        <v/>
      </c>
      <c r="AE94" s="13">
        <f>COUNTIF($B$5:$B$216,B94)</f>
        <v/>
      </c>
      <c r="AF94" s="13">
        <f>SUMPRODUCT(($B$5:$B$216=B94)*($C$5:$C$216=C94)*($M$5:$M$216&lt;M94))+SUMPRODUCT(($B$5:$B$216=B94)*($C$5:$C$216=C94)*($M$5:$M$216=M94)*(ROW($M$5:$M$216)&lt;ROW(M94)))+1</f>
        <v/>
      </c>
      <c r="AG94" s="13">
        <f>COUNTIFS($B$5:$B$216,B94,$C$5:$C$216,C94)</f>
        <v/>
      </c>
    </row>
    <row r="95">
      <c r="A95" s="9" t="inlineStr">
        <is>
          <t>E091</t>
        </is>
      </c>
      <c r="B95" s="9" t="inlineStr">
        <is>
          <t>Marketing</t>
        </is>
      </c>
      <c r="C95" s="9" t="inlineStr">
        <is>
          <t>M</t>
        </is>
      </c>
      <c r="D95" s="10" t="n">
        <v>70084.95</v>
      </c>
      <c r="E95" s="10" t="n">
        <v>8555.1</v>
      </c>
      <c r="F95" s="9" t="n">
        <v>8.300000000000001</v>
      </c>
      <c r="G95" s="9" t="n">
        <v>5</v>
      </c>
      <c r="H95" s="9" t="n">
        <v>1</v>
      </c>
      <c r="I95" s="9" t="n">
        <v>12</v>
      </c>
      <c r="J95" s="11">
        <f>H95*(I95/12)</f>
        <v/>
      </c>
      <c r="K95" s="12">
        <f>D95/J95</f>
        <v/>
      </c>
      <c r="L95" s="12">
        <f>E95/J95</f>
        <v/>
      </c>
      <c r="M95" s="12">
        <f>K95+L95</f>
        <v/>
      </c>
      <c r="N95" s="12">
        <f>D95+E95</f>
        <v/>
      </c>
      <c r="O95" s="12">
        <f>(SUMIFS($M$5:$M$216,$B$5:$B$216,B95,$AD$5:$AD$216,INT((AE95+1)/2))+SUMIFS($M$5:$M$216,$B$5:$B$216,B95,$AD$5:$AD$216,INT(AE95/2)+1))/2</f>
        <v/>
      </c>
      <c r="P95" s="13">
        <f>IF(AND(C95="F",M95&lt;O95,SUMIFS(Categories!$Z$5:$Z$11,Categories!$A$5:$A$11,B95)=1),1,0)</f>
        <v/>
      </c>
      <c r="Q95" s="12">
        <f>IF(P95=1,O95-M95,0)</f>
        <v/>
      </c>
      <c r="R95" s="11">
        <f>IF(AND(P95=1,SUMIFS(Categories!$AA$5:$AA$11,Categories!$A$5:$A$11,B95)&gt;0),Q95/SUMIFS(Categories!$AA$5:$AA$11,Categories!$A$5:$A$11,B95),0)</f>
        <v/>
      </c>
      <c r="S95" s="12">
        <f>R95*SUMIFS(Categories!$AB$5:$AB$11,Categories!$A$5:$A$11,B95)</f>
        <v/>
      </c>
      <c r="T95" s="12">
        <f>S95*J95</f>
        <v/>
      </c>
      <c r="U95" s="12">
        <f>IF(T95&lt;=0,0,(rate_below/100)*MIN(T95,MAX(0,ceiling-D95))+(rate_above/100)*(T95-MIN(T95,MAX(0,ceiling-D95))))</f>
        <v/>
      </c>
      <c r="V95" s="12">
        <f>T95+U95</f>
        <v/>
      </c>
      <c r="W95" s="13">
        <f>IF(AND(C95="F",M95&lt;O95,SUMIFS(Categories!$AH$5:$AH$11,Categories!$A$5:$A$11,B95)=1),1,0)</f>
        <v/>
      </c>
      <c r="X95" s="12">
        <f>IF(W95=1,O95-M95,0)</f>
        <v/>
      </c>
      <c r="Y95" s="11">
        <f>IF(AND(W95=1,SUMIFS(Categories!$AI$5:$AI$11,Categories!$A$5:$A$11,B95)&gt;0),X95/SUMIFS(Categories!$AI$5:$AI$11,Categories!$A$5:$A$11,B95),0)</f>
        <v/>
      </c>
      <c r="Z95" s="12">
        <f>Y95*SUMIFS(Categories!$AJ$5:$AJ$11,Categories!$A$5:$A$11,B95)</f>
        <v/>
      </c>
      <c r="AA95" s="12">
        <f>Z95*J95</f>
        <v/>
      </c>
      <c r="AB95" s="12">
        <f>IF(AA95&lt;=0,0,(rate_below/100)*MIN(AA95,MAX(0,ceiling-D95))+(rate_above/100)*(AA95-MIN(AA95,MAX(0,ceiling-D95))))</f>
        <v/>
      </c>
      <c r="AC95" s="12">
        <f>AA95+AB95</f>
        <v/>
      </c>
      <c r="AD95" s="13">
        <f>SUMPRODUCT(($B$5:$B$216=B95)*($M$5:$M$216&lt;M95))+SUMPRODUCT(($B$5:$B$216=B95)*($M$5:$M$216=M95)*(ROW($M$5:$M$216)&lt;ROW(M95)))+1</f>
        <v/>
      </c>
      <c r="AE95" s="13">
        <f>COUNTIF($B$5:$B$216,B95)</f>
        <v/>
      </c>
      <c r="AF95" s="13">
        <f>SUMPRODUCT(($B$5:$B$216=B95)*($C$5:$C$216=C95)*($M$5:$M$216&lt;M95))+SUMPRODUCT(($B$5:$B$216=B95)*($C$5:$C$216=C95)*($M$5:$M$216=M95)*(ROW($M$5:$M$216)&lt;ROW(M95)))+1</f>
        <v/>
      </c>
      <c r="AG95" s="13">
        <f>COUNTIFS($B$5:$B$216,B95,$C$5:$C$216,C95)</f>
        <v/>
      </c>
    </row>
    <row r="96">
      <c r="A96" s="9" t="inlineStr">
        <is>
          <t>E092</t>
        </is>
      </c>
      <c r="B96" s="9" t="inlineStr">
        <is>
          <t>Marketing</t>
        </is>
      </c>
      <c r="C96" s="9" t="inlineStr">
        <is>
          <t>F</t>
        </is>
      </c>
      <c r="D96" s="10" t="n">
        <v>69752.62</v>
      </c>
      <c r="E96" s="10" t="n">
        <v>5796.07</v>
      </c>
      <c r="F96" s="9" t="n">
        <v>10.7</v>
      </c>
      <c r="G96" s="9" t="n">
        <v>4</v>
      </c>
      <c r="H96" s="9" t="n">
        <v>1</v>
      </c>
      <c r="I96" s="9" t="n">
        <v>12</v>
      </c>
      <c r="J96" s="11">
        <f>H96*(I96/12)</f>
        <v/>
      </c>
      <c r="K96" s="12">
        <f>D96/J96</f>
        <v/>
      </c>
      <c r="L96" s="12">
        <f>E96/J96</f>
        <v/>
      </c>
      <c r="M96" s="12">
        <f>K96+L96</f>
        <v/>
      </c>
      <c r="N96" s="12">
        <f>D96+E96</f>
        <v/>
      </c>
      <c r="O96" s="12">
        <f>(SUMIFS($M$5:$M$216,$B$5:$B$216,B96,$AD$5:$AD$216,INT((AE96+1)/2))+SUMIFS($M$5:$M$216,$B$5:$B$216,B96,$AD$5:$AD$216,INT(AE96/2)+1))/2</f>
        <v/>
      </c>
      <c r="P96" s="13">
        <f>IF(AND(C96="F",M96&lt;O96,SUMIFS(Categories!$Z$5:$Z$11,Categories!$A$5:$A$11,B96)=1),1,0)</f>
        <v/>
      </c>
      <c r="Q96" s="12">
        <f>IF(P96=1,O96-M96,0)</f>
        <v/>
      </c>
      <c r="R96" s="11">
        <f>IF(AND(P96=1,SUMIFS(Categories!$AA$5:$AA$11,Categories!$A$5:$A$11,B96)&gt;0),Q96/SUMIFS(Categories!$AA$5:$AA$11,Categories!$A$5:$A$11,B96),0)</f>
        <v/>
      </c>
      <c r="S96" s="12">
        <f>R96*SUMIFS(Categories!$AB$5:$AB$11,Categories!$A$5:$A$11,B96)</f>
        <v/>
      </c>
      <c r="T96" s="12">
        <f>S96*J96</f>
        <v/>
      </c>
      <c r="U96" s="12">
        <f>IF(T96&lt;=0,0,(rate_below/100)*MIN(T96,MAX(0,ceiling-D96))+(rate_above/100)*(T96-MIN(T96,MAX(0,ceiling-D96))))</f>
        <v/>
      </c>
      <c r="V96" s="12">
        <f>T96+U96</f>
        <v/>
      </c>
      <c r="W96" s="13">
        <f>IF(AND(C96="F",M96&lt;O96,SUMIFS(Categories!$AH$5:$AH$11,Categories!$A$5:$A$11,B96)=1),1,0)</f>
        <v/>
      </c>
      <c r="X96" s="12">
        <f>IF(W96=1,O96-M96,0)</f>
        <v/>
      </c>
      <c r="Y96" s="11">
        <f>IF(AND(W96=1,SUMIFS(Categories!$AI$5:$AI$11,Categories!$A$5:$A$11,B96)&gt;0),X96/SUMIFS(Categories!$AI$5:$AI$11,Categories!$A$5:$A$11,B96),0)</f>
        <v/>
      </c>
      <c r="Z96" s="12">
        <f>Y96*SUMIFS(Categories!$AJ$5:$AJ$11,Categories!$A$5:$A$11,B96)</f>
        <v/>
      </c>
      <c r="AA96" s="12">
        <f>Z96*J96</f>
        <v/>
      </c>
      <c r="AB96" s="12">
        <f>IF(AA96&lt;=0,0,(rate_below/100)*MIN(AA96,MAX(0,ceiling-D96))+(rate_above/100)*(AA96-MIN(AA96,MAX(0,ceiling-D96))))</f>
        <v/>
      </c>
      <c r="AC96" s="12">
        <f>AA96+AB96</f>
        <v/>
      </c>
      <c r="AD96" s="13">
        <f>SUMPRODUCT(($B$5:$B$216=B96)*($M$5:$M$216&lt;M96))+SUMPRODUCT(($B$5:$B$216=B96)*($M$5:$M$216=M96)*(ROW($M$5:$M$216)&lt;ROW(M96)))+1</f>
        <v/>
      </c>
      <c r="AE96" s="13">
        <f>COUNTIF($B$5:$B$216,B96)</f>
        <v/>
      </c>
      <c r="AF96" s="13">
        <f>SUMPRODUCT(($B$5:$B$216=B96)*($C$5:$C$216=C96)*($M$5:$M$216&lt;M96))+SUMPRODUCT(($B$5:$B$216=B96)*($C$5:$C$216=C96)*($M$5:$M$216=M96)*(ROW($M$5:$M$216)&lt;ROW(M96)))+1</f>
        <v/>
      </c>
      <c r="AG96" s="13">
        <f>COUNTIFS($B$5:$B$216,B96,$C$5:$C$216,C96)</f>
        <v/>
      </c>
    </row>
    <row r="97">
      <c r="A97" s="9" t="inlineStr">
        <is>
          <t>E093</t>
        </is>
      </c>
      <c r="B97" s="9" t="inlineStr">
        <is>
          <t>Marketing</t>
        </is>
      </c>
      <c r="C97" s="9" t="inlineStr">
        <is>
          <t>M</t>
        </is>
      </c>
      <c r="D97" s="10" t="n">
        <v>68978.22</v>
      </c>
      <c r="E97" s="10" t="n">
        <v>7355.07</v>
      </c>
      <c r="F97" s="9" t="n">
        <v>8.9</v>
      </c>
      <c r="G97" s="9" t="n">
        <v>4</v>
      </c>
      <c r="H97" s="9" t="n">
        <v>1</v>
      </c>
      <c r="I97" s="9" t="n">
        <v>12</v>
      </c>
      <c r="J97" s="11">
        <f>H97*(I97/12)</f>
        <v/>
      </c>
      <c r="K97" s="12">
        <f>D97/J97</f>
        <v/>
      </c>
      <c r="L97" s="12">
        <f>E97/J97</f>
        <v/>
      </c>
      <c r="M97" s="12">
        <f>K97+L97</f>
        <v/>
      </c>
      <c r="N97" s="12">
        <f>D97+E97</f>
        <v/>
      </c>
      <c r="O97" s="12">
        <f>(SUMIFS($M$5:$M$216,$B$5:$B$216,B97,$AD$5:$AD$216,INT((AE97+1)/2))+SUMIFS($M$5:$M$216,$B$5:$B$216,B97,$AD$5:$AD$216,INT(AE97/2)+1))/2</f>
        <v/>
      </c>
      <c r="P97" s="13">
        <f>IF(AND(C97="F",M97&lt;O97,SUMIFS(Categories!$Z$5:$Z$11,Categories!$A$5:$A$11,B97)=1),1,0)</f>
        <v/>
      </c>
      <c r="Q97" s="12">
        <f>IF(P97=1,O97-M97,0)</f>
        <v/>
      </c>
      <c r="R97" s="11">
        <f>IF(AND(P97=1,SUMIFS(Categories!$AA$5:$AA$11,Categories!$A$5:$A$11,B97)&gt;0),Q97/SUMIFS(Categories!$AA$5:$AA$11,Categories!$A$5:$A$11,B97),0)</f>
        <v/>
      </c>
      <c r="S97" s="12">
        <f>R97*SUMIFS(Categories!$AB$5:$AB$11,Categories!$A$5:$A$11,B97)</f>
        <v/>
      </c>
      <c r="T97" s="12">
        <f>S97*J97</f>
        <v/>
      </c>
      <c r="U97" s="12">
        <f>IF(T97&lt;=0,0,(rate_below/100)*MIN(T97,MAX(0,ceiling-D97))+(rate_above/100)*(T97-MIN(T97,MAX(0,ceiling-D97))))</f>
        <v/>
      </c>
      <c r="V97" s="12">
        <f>T97+U97</f>
        <v/>
      </c>
      <c r="W97" s="13">
        <f>IF(AND(C97="F",M97&lt;O97,SUMIFS(Categories!$AH$5:$AH$11,Categories!$A$5:$A$11,B97)=1),1,0)</f>
        <v/>
      </c>
      <c r="X97" s="12">
        <f>IF(W97=1,O97-M97,0)</f>
        <v/>
      </c>
      <c r="Y97" s="11">
        <f>IF(AND(W97=1,SUMIFS(Categories!$AI$5:$AI$11,Categories!$A$5:$A$11,B97)&gt;0),X97/SUMIFS(Categories!$AI$5:$AI$11,Categories!$A$5:$A$11,B97),0)</f>
        <v/>
      </c>
      <c r="Z97" s="12">
        <f>Y97*SUMIFS(Categories!$AJ$5:$AJ$11,Categories!$A$5:$A$11,B97)</f>
        <v/>
      </c>
      <c r="AA97" s="12">
        <f>Z97*J97</f>
        <v/>
      </c>
      <c r="AB97" s="12">
        <f>IF(AA97&lt;=0,0,(rate_below/100)*MIN(AA97,MAX(0,ceiling-D97))+(rate_above/100)*(AA97-MIN(AA97,MAX(0,ceiling-D97))))</f>
        <v/>
      </c>
      <c r="AC97" s="12">
        <f>AA97+AB97</f>
        <v/>
      </c>
      <c r="AD97" s="13">
        <f>SUMPRODUCT(($B$5:$B$216=B97)*($M$5:$M$216&lt;M97))+SUMPRODUCT(($B$5:$B$216=B97)*($M$5:$M$216=M97)*(ROW($M$5:$M$216)&lt;ROW(M97)))+1</f>
        <v/>
      </c>
      <c r="AE97" s="13">
        <f>COUNTIF($B$5:$B$216,B97)</f>
        <v/>
      </c>
      <c r="AF97" s="13">
        <f>SUMPRODUCT(($B$5:$B$216=B97)*($C$5:$C$216=C97)*($M$5:$M$216&lt;M97))+SUMPRODUCT(($B$5:$B$216=B97)*($C$5:$C$216=C97)*($M$5:$M$216=M97)*(ROW($M$5:$M$216)&lt;ROW(M97)))+1</f>
        <v/>
      </c>
      <c r="AG97" s="13">
        <f>COUNTIFS($B$5:$B$216,B97,$C$5:$C$216,C97)</f>
        <v/>
      </c>
    </row>
    <row r="98">
      <c r="A98" s="9" t="inlineStr">
        <is>
          <t>E094</t>
        </is>
      </c>
      <c r="B98" s="9" t="inlineStr">
        <is>
          <t>Marketing</t>
        </is>
      </c>
      <c r="C98" s="9" t="inlineStr">
        <is>
          <t>F</t>
        </is>
      </c>
      <c r="D98" s="10" t="n">
        <v>72180</v>
      </c>
      <c r="E98" s="10" t="n">
        <v>7488.53</v>
      </c>
      <c r="F98" s="9" t="n">
        <v>9.9</v>
      </c>
      <c r="G98" s="9" t="n">
        <v>4</v>
      </c>
      <c r="H98" s="9" t="n">
        <v>1</v>
      </c>
      <c r="I98" s="9" t="n">
        <v>12</v>
      </c>
      <c r="J98" s="11">
        <f>H98*(I98/12)</f>
        <v/>
      </c>
      <c r="K98" s="12">
        <f>D98/J98</f>
        <v/>
      </c>
      <c r="L98" s="12">
        <f>E98/J98</f>
        <v/>
      </c>
      <c r="M98" s="12">
        <f>K98+L98</f>
        <v/>
      </c>
      <c r="N98" s="12">
        <f>D98+E98</f>
        <v/>
      </c>
      <c r="O98" s="12">
        <f>(SUMIFS($M$5:$M$216,$B$5:$B$216,B98,$AD$5:$AD$216,INT((AE98+1)/2))+SUMIFS($M$5:$M$216,$B$5:$B$216,B98,$AD$5:$AD$216,INT(AE98/2)+1))/2</f>
        <v/>
      </c>
      <c r="P98" s="13">
        <f>IF(AND(C98="F",M98&lt;O98,SUMIFS(Categories!$Z$5:$Z$11,Categories!$A$5:$A$11,B98)=1),1,0)</f>
        <v/>
      </c>
      <c r="Q98" s="12">
        <f>IF(P98=1,O98-M98,0)</f>
        <v/>
      </c>
      <c r="R98" s="11">
        <f>IF(AND(P98=1,SUMIFS(Categories!$AA$5:$AA$11,Categories!$A$5:$A$11,B98)&gt;0),Q98/SUMIFS(Categories!$AA$5:$AA$11,Categories!$A$5:$A$11,B98),0)</f>
        <v/>
      </c>
      <c r="S98" s="12">
        <f>R98*SUMIFS(Categories!$AB$5:$AB$11,Categories!$A$5:$A$11,B98)</f>
        <v/>
      </c>
      <c r="T98" s="12">
        <f>S98*J98</f>
        <v/>
      </c>
      <c r="U98" s="12">
        <f>IF(T98&lt;=0,0,(rate_below/100)*MIN(T98,MAX(0,ceiling-D98))+(rate_above/100)*(T98-MIN(T98,MAX(0,ceiling-D98))))</f>
        <v/>
      </c>
      <c r="V98" s="12">
        <f>T98+U98</f>
        <v/>
      </c>
      <c r="W98" s="13">
        <f>IF(AND(C98="F",M98&lt;O98,SUMIFS(Categories!$AH$5:$AH$11,Categories!$A$5:$A$11,B98)=1),1,0)</f>
        <v/>
      </c>
      <c r="X98" s="12">
        <f>IF(W98=1,O98-M98,0)</f>
        <v/>
      </c>
      <c r="Y98" s="11">
        <f>IF(AND(W98=1,SUMIFS(Categories!$AI$5:$AI$11,Categories!$A$5:$A$11,B98)&gt;0),X98/SUMIFS(Categories!$AI$5:$AI$11,Categories!$A$5:$A$11,B98),0)</f>
        <v/>
      </c>
      <c r="Z98" s="12">
        <f>Y98*SUMIFS(Categories!$AJ$5:$AJ$11,Categories!$A$5:$A$11,B98)</f>
        <v/>
      </c>
      <c r="AA98" s="12">
        <f>Z98*J98</f>
        <v/>
      </c>
      <c r="AB98" s="12">
        <f>IF(AA98&lt;=0,0,(rate_below/100)*MIN(AA98,MAX(0,ceiling-D98))+(rate_above/100)*(AA98-MIN(AA98,MAX(0,ceiling-D98))))</f>
        <v/>
      </c>
      <c r="AC98" s="12">
        <f>AA98+AB98</f>
        <v/>
      </c>
      <c r="AD98" s="13">
        <f>SUMPRODUCT(($B$5:$B$216=B98)*($M$5:$M$216&lt;M98))+SUMPRODUCT(($B$5:$B$216=B98)*($M$5:$M$216=M98)*(ROW($M$5:$M$216)&lt;ROW(M98)))+1</f>
        <v/>
      </c>
      <c r="AE98" s="13">
        <f>COUNTIF($B$5:$B$216,B98)</f>
        <v/>
      </c>
      <c r="AF98" s="13">
        <f>SUMPRODUCT(($B$5:$B$216=B98)*($C$5:$C$216=C98)*($M$5:$M$216&lt;M98))+SUMPRODUCT(($B$5:$B$216=B98)*($C$5:$C$216=C98)*($M$5:$M$216=M98)*(ROW($M$5:$M$216)&lt;ROW(M98)))+1</f>
        <v/>
      </c>
      <c r="AG98" s="13">
        <f>COUNTIFS($B$5:$B$216,B98,$C$5:$C$216,C98)</f>
        <v/>
      </c>
    </row>
    <row r="99">
      <c r="A99" s="9" t="inlineStr">
        <is>
          <t>E095</t>
        </is>
      </c>
      <c r="B99" s="9" t="inlineStr">
        <is>
          <t>Marketing</t>
        </is>
      </c>
      <c r="C99" s="9" t="inlineStr">
        <is>
          <t>M</t>
        </is>
      </c>
      <c r="D99" s="10" t="n">
        <v>53309.32</v>
      </c>
      <c r="E99" s="10" t="n">
        <v>6639.89</v>
      </c>
      <c r="F99" s="9" t="n">
        <v>4.8</v>
      </c>
      <c r="G99" s="9" t="n">
        <v>2</v>
      </c>
      <c r="H99" s="9" t="n">
        <v>1</v>
      </c>
      <c r="I99" s="9" t="n">
        <v>12</v>
      </c>
      <c r="J99" s="11">
        <f>H99*(I99/12)</f>
        <v/>
      </c>
      <c r="K99" s="12">
        <f>D99/J99</f>
        <v/>
      </c>
      <c r="L99" s="12">
        <f>E99/J99</f>
        <v/>
      </c>
      <c r="M99" s="12">
        <f>K99+L99</f>
        <v/>
      </c>
      <c r="N99" s="12">
        <f>D99+E99</f>
        <v/>
      </c>
      <c r="O99" s="12">
        <f>(SUMIFS($M$5:$M$216,$B$5:$B$216,B99,$AD$5:$AD$216,INT((AE99+1)/2))+SUMIFS($M$5:$M$216,$B$5:$B$216,B99,$AD$5:$AD$216,INT(AE99/2)+1))/2</f>
        <v/>
      </c>
      <c r="P99" s="13">
        <f>IF(AND(C99="F",M99&lt;O99,SUMIFS(Categories!$Z$5:$Z$11,Categories!$A$5:$A$11,B99)=1),1,0)</f>
        <v/>
      </c>
      <c r="Q99" s="12">
        <f>IF(P99=1,O99-M99,0)</f>
        <v/>
      </c>
      <c r="R99" s="11">
        <f>IF(AND(P99=1,SUMIFS(Categories!$AA$5:$AA$11,Categories!$A$5:$A$11,B99)&gt;0),Q99/SUMIFS(Categories!$AA$5:$AA$11,Categories!$A$5:$A$11,B99),0)</f>
        <v/>
      </c>
      <c r="S99" s="12">
        <f>R99*SUMIFS(Categories!$AB$5:$AB$11,Categories!$A$5:$A$11,B99)</f>
        <v/>
      </c>
      <c r="T99" s="12">
        <f>S99*J99</f>
        <v/>
      </c>
      <c r="U99" s="12">
        <f>IF(T99&lt;=0,0,(rate_below/100)*MIN(T99,MAX(0,ceiling-D99))+(rate_above/100)*(T99-MIN(T99,MAX(0,ceiling-D99))))</f>
        <v/>
      </c>
      <c r="V99" s="12">
        <f>T99+U99</f>
        <v/>
      </c>
      <c r="W99" s="13">
        <f>IF(AND(C99="F",M99&lt;O99,SUMIFS(Categories!$AH$5:$AH$11,Categories!$A$5:$A$11,B99)=1),1,0)</f>
        <v/>
      </c>
      <c r="X99" s="12">
        <f>IF(W99=1,O99-M99,0)</f>
        <v/>
      </c>
      <c r="Y99" s="11">
        <f>IF(AND(W99=1,SUMIFS(Categories!$AI$5:$AI$11,Categories!$A$5:$A$11,B99)&gt;0),X99/SUMIFS(Categories!$AI$5:$AI$11,Categories!$A$5:$A$11,B99),0)</f>
        <v/>
      </c>
      <c r="Z99" s="12">
        <f>Y99*SUMIFS(Categories!$AJ$5:$AJ$11,Categories!$A$5:$A$11,B99)</f>
        <v/>
      </c>
      <c r="AA99" s="12">
        <f>Z99*J99</f>
        <v/>
      </c>
      <c r="AB99" s="12">
        <f>IF(AA99&lt;=0,0,(rate_below/100)*MIN(AA99,MAX(0,ceiling-D99))+(rate_above/100)*(AA99-MIN(AA99,MAX(0,ceiling-D99))))</f>
        <v/>
      </c>
      <c r="AC99" s="12">
        <f>AA99+AB99</f>
        <v/>
      </c>
      <c r="AD99" s="13">
        <f>SUMPRODUCT(($B$5:$B$216=B99)*($M$5:$M$216&lt;M99))+SUMPRODUCT(($B$5:$B$216=B99)*($M$5:$M$216=M99)*(ROW($M$5:$M$216)&lt;ROW(M99)))+1</f>
        <v/>
      </c>
      <c r="AE99" s="13">
        <f>COUNTIF($B$5:$B$216,B99)</f>
        <v/>
      </c>
      <c r="AF99" s="13">
        <f>SUMPRODUCT(($B$5:$B$216=B99)*($C$5:$C$216=C99)*($M$5:$M$216&lt;M99))+SUMPRODUCT(($B$5:$B$216=B99)*($C$5:$C$216=C99)*($M$5:$M$216=M99)*(ROW($M$5:$M$216)&lt;ROW(M99)))+1</f>
        <v/>
      </c>
      <c r="AG99" s="13">
        <f>COUNTIFS($B$5:$B$216,B99,$C$5:$C$216,C99)</f>
        <v/>
      </c>
    </row>
    <row r="100">
      <c r="A100" s="9" t="inlineStr">
        <is>
          <t>E096</t>
        </is>
      </c>
      <c r="B100" s="9" t="inlineStr">
        <is>
          <t>Marketing</t>
        </is>
      </c>
      <c r="C100" s="9" t="inlineStr">
        <is>
          <t>M</t>
        </is>
      </c>
      <c r="D100" s="10" t="n">
        <v>82563.03999999999</v>
      </c>
      <c r="E100" s="10" t="n">
        <v>6430.95</v>
      </c>
      <c r="F100" s="9" t="n">
        <v>13</v>
      </c>
      <c r="G100" s="9" t="n">
        <v>5</v>
      </c>
      <c r="H100" s="9" t="n">
        <v>1</v>
      </c>
      <c r="I100" s="9" t="n">
        <v>12</v>
      </c>
      <c r="J100" s="11">
        <f>H100*(I100/12)</f>
        <v/>
      </c>
      <c r="K100" s="12">
        <f>D100/J100</f>
        <v/>
      </c>
      <c r="L100" s="12">
        <f>E100/J100</f>
        <v/>
      </c>
      <c r="M100" s="12">
        <f>K100+L100</f>
        <v/>
      </c>
      <c r="N100" s="12">
        <f>D100+E100</f>
        <v/>
      </c>
      <c r="O100" s="12">
        <f>(SUMIFS($M$5:$M$216,$B$5:$B$216,B100,$AD$5:$AD$216,INT((AE100+1)/2))+SUMIFS($M$5:$M$216,$B$5:$B$216,B100,$AD$5:$AD$216,INT(AE100/2)+1))/2</f>
        <v/>
      </c>
      <c r="P100" s="13">
        <f>IF(AND(C100="F",M100&lt;O100,SUMIFS(Categories!$Z$5:$Z$11,Categories!$A$5:$A$11,B100)=1),1,0)</f>
        <v/>
      </c>
      <c r="Q100" s="12">
        <f>IF(P100=1,O100-M100,0)</f>
        <v/>
      </c>
      <c r="R100" s="11">
        <f>IF(AND(P100=1,SUMIFS(Categories!$AA$5:$AA$11,Categories!$A$5:$A$11,B100)&gt;0),Q100/SUMIFS(Categories!$AA$5:$AA$11,Categories!$A$5:$A$11,B100),0)</f>
        <v/>
      </c>
      <c r="S100" s="12">
        <f>R100*SUMIFS(Categories!$AB$5:$AB$11,Categories!$A$5:$A$11,B100)</f>
        <v/>
      </c>
      <c r="T100" s="12">
        <f>S100*J100</f>
        <v/>
      </c>
      <c r="U100" s="12">
        <f>IF(T100&lt;=0,0,(rate_below/100)*MIN(T100,MAX(0,ceiling-D100))+(rate_above/100)*(T100-MIN(T100,MAX(0,ceiling-D100))))</f>
        <v/>
      </c>
      <c r="V100" s="12">
        <f>T100+U100</f>
        <v/>
      </c>
      <c r="W100" s="13">
        <f>IF(AND(C100="F",M100&lt;O100,SUMIFS(Categories!$AH$5:$AH$11,Categories!$A$5:$A$11,B100)=1),1,0)</f>
        <v/>
      </c>
      <c r="X100" s="12">
        <f>IF(W100=1,O100-M100,0)</f>
        <v/>
      </c>
      <c r="Y100" s="11">
        <f>IF(AND(W100=1,SUMIFS(Categories!$AI$5:$AI$11,Categories!$A$5:$A$11,B100)&gt;0),X100/SUMIFS(Categories!$AI$5:$AI$11,Categories!$A$5:$A$11,B100),0)</f>
        <v/>
      </c>
      <c r="Z100" s="12">
        <f>Y100*SUMIFS(Categories!$AJ$5:$AJ$11,Categories!$A$5:$A$11,B100)</f>
        <v/>
      </c>
      <c r="AA100" s="12">
        <f>Z100*J100</f>
        <v/>
      </c>
      <c r="AB100" s="12">
        <f>IF(AA100&lt;=0,0,(rate_below/100)*MIN(AA100,MAX(0,ceiling-D100))+(rate_above/100)*(AA100-MIN(AA100,MAX(0,ceiling-D100))))</f>
        <v/>
      </c>
      <c r="AC100" s="12">
        <f>AA100+AB100</f>
        <v/>
      </c>
      <c r="AD100" s="13">
        <f>SUMPRODUCT(($B$5:$B$216=B100)*($M$5:$M$216&lt;M100))+SUMPRODUCT(($B$5:$B$216=B100)*($M$5:$M$216=M100)*(ROW($M$5:$M$216)&lt;ROW(M100)))+1</f>
        <v/>
      </c>
      <c r="AE100" s="13">
        <f>COUNTIF($B$5:$B$216,B100)</f>
        <v/>
      </c>
      <c r="AF100" s="13">
        <f>SUMPRODUCT(($B$5:$B$216=B100)*($C$5:$C$216=C100)*($M$5:$M$216&lt;M100))+SUMPRODUCT(($B$5:$B$216=B100)*($C$5:$C$216=C100)*($M$5:$M$216=M100)*(ROW($M$5:$M$216)&lt;ROW(M100)))+1</f>
        <v/>
      </c>
      <c r="AG100" s="13">
        <f>COUNTIFS($B$5:$B$216,B100,$C$5:$C$216,C100)</f>
        <v/>
      </c>
    </row>
    <row r="101">
      <c r="A101" s="9" t="inlineStr">
        <is>
          <t>E097</t>
        </is>
      </c>
      <c r="B101" s="9" t="inlineStr">
        <is>
          <t>Marketing</t>
        </is>
      </c>
      <c r="C101" s="9" t="inlineStr">
        <is>
          <t>M</t>
        </is>
      </c>
      <c r="D101" s="10" t="n">
        <v>67851.28999999999</v>
      </c>
      <c r="E101" s="10" t="n">
        <v>7806.7</v>
      </c>
      <c r="F101" s="9" t="n">
        <v>8.199999999999999</v>
      </c>
      <c r="G101" s="9" t="n">
        <v>5</v>
      </c>
      <c r="H101" s="9" t="n">
        <v>1</v>
      </c>
      <c r="I101" s="9" t="n">
        <v>12</v>
      </c>
      <c r="J101" s="11">
        <f>H101*(I101/12)</f>
        <v/>
      </c>
      <c r="K101" s="12">
        <f>D101/J101</f>
        <v/>
      </c>
      <c r="L101" s="12">
        <f>E101/J101</f>
        <v/>
      </c>
      <c r="M101" s="12">
        <f>K101+L101</f>
        <v/>
      </c>
      <c r="N101" s="12">
        <f>D101+E101</f>
        <v/>
      </c>
      <c r="O101" s="12">
        <f>(SUMIFS($M$5:$M$216,$B$5:$B$216,B101,$AD$5:$AD$216,INT((AE101+1)/2))+SUMIFS($M$5:$M$216,$B$5:$B$216,B101,$AD$5:$AD$216,INT(AE101/2)+1))/2</f>
        <v/>
      </c>
      <c r="P101" s="13">
        <f>IF(AND(C101="F",M101&lt;O101,SUMIFS(Categories!$Z$5:$Z$11,Categories!$A$5:$A$11,B101)=1),1,0)</f>
        <v/>
      </c>
      <c r="Q101" s="12">
        <f>IF(P101=1,O101-M101,0)</f>
        <v/>
      </c>
      <c r="R101" s="11">
        <f>IF(AND(P101=1,SUMIFS(Categories!$AA$5:$AA$11,Categories!$A$5:$A$11,B101)&gt;0),Q101/SUMIFS(Categories!$AA$5:$AA$11,Categories!$A$5:$A$11,B101),0)</f>
        <v/>
      </c>
      <c r="S101" s="12">
        <f>R101*SUMIFS(Categories!$AB$5:$AB$11,Categories!$A$5:$A$11,B101)</f>
        <v/>
      </c>
      <c r="T101" s="12">
        <f>S101*J101</f>
        <v/>
      </c>
      <c r="U101" s="12">
        <f>IF(T101&lt;=0,0,(rate_below/100)*MIN(T101,MAX(0,ceiling-D101))+(rate_above/100)*(T101-MIN(T101,MAX(0,ceiling-D101))))</f>
        <v/>
      </c>
      <c r="V101" s="12">
        <f>T101+U101</f>
        <v/>
      </c>
      <c r="W101" s="13">
        <f>IF(AND(C101="F",M101&lt;O101,SUMIFS(Categories!$AH$5:$AH$11,Categories!$A$5:$A$11,B101)=1),1,0)</f>
        <v/>
      </c>
      <c r="X101" s="12">
        <f>IF(W101=1,O101-M101,0)</f>
        <v/>
      </c>
      <c r="Y101" s="11">
        <f>IF(AND(W101=1,SUMIFS(Categories!$AI$5:$AI$11,Categories!$A$5:$A$11,B101)&gt;0),X101/SUMIFS(Categories!$AI$5:$AI$11,Categories!$A$5:$A$11,B101),0)</f>
        <v/>
      </c>
      <c r="Z101" s="12">
        <f>Y101*SUMIFS(Categories!$AJ$5:$AJ$11,Categories!$A$5:$A$11,B101)</f>
        <v/>
      </c>
      <c r="AA101" s="12">
        <f>Z101*J101</f>
        <v/>
      </c>
      <c r="AB101" s="12">
        <f>IF(AA101&lt;=0,0,(rate_below/100)*MIN(AA101,MAX(0,ceiling-D101))+(rate_above/100)*(AA101-MIN(AA101,MAX(0,ceiling-D101))))</f>
        <v/>
      </c>
      <c r="AC101" s="12">
        <f>AA101+AB101</f>
        <v/>
      </c>
      <c r="AD101" s="13">
        <f>SUMPRODUCT(($B$5:$B$216=B101)*($M$5:$M$216&lt;M101))+SUMPRODUCT(($B$5:$B$216=B101)*($M$5:$M$216=M101)*(ROW($M$5:$M$216)&lt;ROW(M101)))+1</f>
        <v/>
      </c>
      <c r="AE101" s="13">
        <f>COUNTIF($B$5:$B$216,B101)</f>
        <v/>
      </c>
      <c r="AF101" s="13">
        <f>SUMPRODUCT(($B$5:$B$216=B101)*($C$5:$C$216=C101)*($M$5:$M$216&lt;M101))+SUMPRODUCT(($B$5:$B$216=B101)*($C$5:$C$216=C101)*($M$5:$M$216=M101)*(ROW($M$5:$M$216)&lt;ROW(M101)))+1</f>
        <v/>
      </c>
      <c r="AG101" s="13">
        <f>COUNTIFS($B$5:$B$216,B101,$C$5:$C$216,C101)</f>
        <v/>
      </c>
    </row>
    <row r="102">
      <c r="A102" s="9" t="inlineStr">
        <is>
          <t>E098</t>
        </is>
      </c>
      <c r="B102" s="9" t="inlineStr">
        <is>
          <t>Marketing</t>
        </is>
      </c>
      <c r="C102" s="9" t="inlineStr">
        <is>
          <t>F</t>
        </is>
      </c>
      <c r="D102" s="10" t="n">
        <v>82737.47</v>
      </c>
      <c r="E102" s="10" t="n">
        <v>7635.73</v>
      </c>
      <c r="F102" s="9" t="n">
        <v>8.4</v>
      </c>
      <c r="G102" s="9" t="n">
        <v>5</v>
      </c>
      <c r="H102" s="9" t="n">
        <v>1</v>
      </c>
      <c r="I102" s="9" t="n">
        <v>12</v>
      </c>
      <c r="J102" s="11">
        <f>H102*(I102/12)</f>
        <v/>
      </c>
      <c r="K102" s="12">
        <f>D102/J102</f>
        <v/>
      </c>
      <c r="L102" s="12">
        <f>E102/J102</f>
        <v/>
      </c>
      <c r="M102" s="12">
        <f>K102+L102</f>
        <v/>
      </c>
      <c r="N102" s="12">
        <f>D102+E102</f>
        <v/>
      </c>
      <c r="O102" s="12">
        <f>(SUMIFS($M$5:$M$216,$B$5:$B$216,B102,$AD$5:$AD$216,INT((AE102+1)/2))+SUMIFS($M$5:$M$216,$B$5:$B$216,B102,$AD$5:$AD$216,INT(AE102/2)+1))/2</f>
        <v/>
      </c>
      <c r="P102" s="13">
        <f>IF(AND(C102="F",M102&lt;O102,SUMIFS(Categories!$Z$5:$Z$11,Categories!$A$5:$A$11,B102)=1),1,0)</f>
        <v/>
      </c>
      <c r="Q102" s="12">
        <f>IF(P102=1,O102-M102,0)</f>
        <v/>
      </c>
      <c r="R102" s="11">
        <f>IF(AND(P102=1,SUMIFS(Categories!$AA$5:$AA$11,Categories!$A$5:$A$11,B102)&gt;0),Q102/SUMIFS(Categories!$AA$5:$AA$11,Categories!$A$5:$A$11,B102),0)</f>
        <v/>
      </c>
      <c r="S102" s="12">
        <f>R102*SUMIFS(Categories!$AB$5:$AB$11,Categories!$A$5:$A$11,B102)</f>
        <v/>
      </c>
      <c r="T102" s="12">
        <f>S102*J102</f>
        <v/>
      </c>
      <c r="U102" s="12">
        <f>IF(T102&lt;=0,0,(rate_below/100)*MIN(T102,MAX(0,ceiling-D102))+(rate_above/100)*(T102-MIN(T102,MAX(0,ceiling-D102))))</f>
        <v/>
      </c>
      <c r="V102" s="12">
        <f>T102+U102</f>
        <v/>
      </c>
      <c r="W102" s="13">
        <f>IF(AND(C102="F",M102&lt;O102,SUMIFS(Categories!$AH$5:$AH$11,Categories!$A$5:$A$11,B102)=1),1,0)</f>
        <v/>
      </c>
      <c r="X102" s="12">
        <f>IF(W102=1,O102-M102,0)</f>
        <v/>
      </c>
      <c r="Y102" s="11">
        <f>IF(AND(W102=1,SUMIFS(Categories!$AI$5:$AI$11,Categories!$A$5:$A$11,B102)&gt;0),X102/SUMIFS(Categories!$AI$5:$AI$11,Categories!$A$5:$A$11,B102),0)</f>
        <v/>
      </c>
      <c r="Z102" s="12">
        <f>Y102*SUMIFS(Categories!$AJ$5:$AJ$11,Categories!$A$5:$A$11,B102)</f>
        <v/>
      </c>
      <c r="AA102" s="12">
        <f>Z102*J102</f>
        <v/>
      </c>
      <c r="AB102" s="12">
        <f>IF(AA102&lt;=0,0,(rate_below/100)*MIN(AA102,MAX(0,ceiling-D102))+(rate_above/100)*(AA102-MIN(AA102,MAX(0,ceiling-D102))))</f>
        <v/>
      </c>
      <c r="AC102" s="12">
        <f>AA102+AB102</f>
        <v/>
      </c>
      <c r="AD102" s="13">
        <f>SUMPRODUCT(($B$5:$B$216=B102)*($M$5:$M$216&lt;M102))+SUMPRODUCT(($B$5:$B$216=B102)*($M$5:$M$216=M102)*(ROW($M$5:$M$216)&lt;ROW(M102)))+1</f>
        <v/>
      </c>
      <c r="AE102" s="13">
        <f>COUNTIF($B$5:$B$216,B102)</f>
        <v/>
      </c>
      <c r="AF102" s="13">
        <f>SUMPRODUCT(($B$5:$B$216=B102)*($C$5:$C$216=C102)*($M$5:$M$216&lt;M102))+SUMPRODUCT(($B$5:$B$216=B102)*($C$5:$C$216=C102)*($M$5:$M$216=M102)*(ROW($M$5:$M$216)&lt;ROW(M102)))+1</f>
        <v/>
      </c>
      <c r="AG102" s="13">
        <f>COUNTIFS($B$5:$B$216,B102,$C$5:$C$216,C102)</f>
        <v/>
      </c>
    </row>
    <row r="103">
      <c r="A103" s="9" t="inlineStr">
        <is>
          <t>E099</t>
        </is>
      </c>
      <c r="B103" s="9" t="inlineStr">
        <is>
          <t>Marketing</t>
        </is>
      </c>
      <c r="C103" s="9" t="inlineStr">
        <is>
          <t>F</t>
        </is>
      </c>
      <c r="D103" s="10" t="n">
        <v>60805.54</v>
      </c>
      <c r="E103" s="10" t="n">
        <v>7459.16</v>
      </c>
      <c r="F103" s="9" t="n">
        <v>8.1</v>
      </c>
      <c r="G103" s="9" t="n">
        <v>3</v>
      </c>
      <c r="H103" s="9" t="n">
        <v>1</v>
      </c>
      <c r="I103" s="9" t="n">
        <v>12</v>
      </c>
      <c r="J103" s="11">
        <f>H103*(I103/12)</f>
        <v/>
      </c>
      <c r="K103" s="12">
        <f>D103/J103</f>
        <v/>
      </c>
      <c r="L103" s="12">
        <f>E103/J103</f>
        <v/>
      </c>
      <c r="M103" s="12">
        <f>K103+L103</f>
        <v/>
      </c>
      <c r="N103" s="12">
        <f>D103+E103</f>
        <v/>
      </c>
      <c r="O103" s="12">
        <f>(SUMIFS($M$5:$M$216,$B$5:$B$216,B103,$AD$5:$AD$216,INT((AE103+1)/2))+SUMIFS($M$5:$M$216,$B$5:$B$216,B103,$AD$5:$AD$216,INT(AE103/2)+1))/2</f>
        <v/>
      </c>
      <c r="P103" s="13">
        <f>IF(AND(C103="F",M103&lt;O103,SUMIFS(Categories!$Z$5:$Z$11,Categories!$A$5:$A$11,B103)=1),1,0)</f>
        <v/>
      </c>
      <c r="Q103" s="12">
        <f>IF(P103=1,O103-M103,0)</f>
        <v/>
      </c>
      <c r="R103" s="11">
        <f>IF(AND(P103=1,SUMIFS(Categories!$AA$5:$AA$11,Categories!$A$5:$A$11,B103)&gt;0),Q103/SUMIFS(Categories!$AA$5:$AA$11,Categories!$A$5:$A$11,B103),0)</f>
        <v/>
      </c>
      <c r="S103" s="12">
        <f>R103*SUMIFS(Categories!$AB$5:$AB$11,Categories!$A$5:$A$11,B103)</f>
        <v/>
      </c>
      <c r="T103" s="12">
        <f>S103*J103</f>
        <v/>
      </c>
      <c r="U103" s="12">
        <f>IF(T103&lt;=0,0,(rate_below/100)*MIN(T103,MAX(0,ceiling-D103))+(rate_above/100)*(T103-MIN(T103,MAX(0,ceiling-D103))))</f>
        <v/>
      </c>
      <c r="V103" s="12">
        <f>T103+U103</f>
        <v/>
      </c>
      <c r="W103" s="13">
        <f>IF(AND(C103="F",M103&lt;O103,SUMIFS(Categories!$AH$5:$AH$11,Categories!$A$5:$A$11,B103)=1),1,0)</f>
        <v/>
      </c>
      <c r="X103" s="12">
        <f>IF(W103=1,O103-M103,0)</f>
        <v/>
      </c>
      <c r="Y103" s="11">
        <f>IF(AND(W103=1,SUMIFS(Categories!$AI$5:$AI$11,Categories!$A$5:$A$11,B103)&gt;0),X103/SUMIFS(Categories!$AI$5:$AI$11,Categories!$A$5:$A$11,B103),0)</f>
        <v/>
      </c>
      <c r="Z103" s="12">
        <f>Y103*SUMIFS(Categories!$AJ$5:$AJ$11,Categories!$A$5:$A$11,B103)</f>
        <v/>
      </c>
      <c r="AA103" s="12">
        <f>Z103*J103</f>
        <v/>
      </c>
      <c r="AB103" s="12">
        <f>IF(AA103&lt;=0,0,(rate_below/100)*MIN(AA103,MAX(0,ceiling-D103))+(rate_above/100)*(AA103-MIN(AA103,MAX(0,ceiling-D103))))</f>
        <v/>
      </c>
      <c r="AC103" s="12">
        <f>AA103+AB103</f>
        <v/>
      </c>
      <c r="AD103" s="13">
        <f>SUMPRODUCT(($B$5:$B$216=B103)*($M$5:$M$216&lt;M103))+SUMPRODUCT(($B$5:$B$216=B103)*($M$5:$M$216=M103)*(ROW($M$5:$M$216)&lt;ROW(M103)))+1</f>
        <v/>
      </c>
      <c r="AE103" s="13">
        <f>COUNTIF($B$5:$B$216,B103)</f>
        <v/>
      </c>
      <c r="AF103" s="13">
        <f>SUMPRODUCT(($B$5:$B$216=B103)*($C$5:$C$216=C103)*($M$5:$M$216&lt;M103))+SUMPRODUCT(($B$5:$B$216=B103)*($C$5:$C$216=C103)*($M$5:$M$216=M103)*(ROW($M$5:$M$216)&lt;ROW(M103)))+1</f>
        <v/>
      </c>
      <c r="AG103" s="13">
        <f>COUNTIFS($B$5:$B$216,B103,$C$5:$C$216,C103)</f>
        <v/>
      </c>
    </row>
    <row r="104">
      <c r="A104" s="9" t="inlineStr">
        <is>
          <t>E100</t>
        </is>
      </c>
      <c r="B104" s="9" t="inlineStr">
        <is>
          <t>Marketing</t>
        </is>
      </c>
      <c r="C104" s="9" t="inlineStr">
        <is>
          <t>F</t>
        </is>
      </c>
      <c r="D104" s="10" t="n">
        <v>83818.69</v>
      </c>
      <c r="E104" s="10" t="n">
        <v>8321.34</v>
      </c>
      <c r="F104" s="9" t="n">
        <v>12.9</v>
      </c>
      <c r="G104" s="9" t="n">
        <v>5</v>
      </c>
      <c r="H104" s="9" t="n">
        <v>1</v>
      </c>
      <c r="I104" s="9" t="n">
        <v>12</v>
      </c>
      <c r="J104" s="11">
        <f>H104*(I104/12)</f>
        <v/>
      </c>
      <c r="K104" s="12">
        <f>D104/J104</f>
        <v/>
      </c>
      <c r="L104" s="12">
        <f>E104/J104</f>
        <v/>
      </c>
      <c r="M104" s="12">
        <f>K104+L104</f>
        <v/>
      </c>
      <c r="N104" s="12">
        <f>D104+E104</f>
        <v/>
      </c>
      <c r="O104" s="12">
        <f>(SUMIFS($M$5:$M$216,$B$5:$B$216,B104,$AD$5:$AD$216,INT((AE104+1)/2))+SUMIFS($M$5:$M$216,$B$5:$B$216,B104,$AD$5:$AD$216,INT(AE104/2)+1))/2</f>
        <v/>
      </c>
      <c r="P104" s="13">
        <f>IF(AND(C104="F",M104&lt;O104,SUMIFS(Categories!$Z$5:$Z$11,Categories!$A$5:$A$11,B104)=1),1,0)</f>
        <v/>
      </c>
      <c r="Q104" s="12">
        <f>IF(P104=1,O104-M104,0)</f>
        <v/>
      </c>
      <c r="R104" s="11">
        <f>IF(AND(P104=1,SUMIFS(Categories!$AA$5:$AA$11,Categories!$A$5:$A$11,B104)&gt;0),Q104/SUMIFS(Categories!$AA$5:$AA$11,Categories!$A$5:$A$11,B104),0)</f>
        <v/>
      </c>
      <c r="S104" s="12">
        <f>R104*SUMIFS(Categories!$AB$5:$AB$11,Categories!$A$5:$A$11,B104)</f>
        <v/>
      </c>
      <c r="T104" s="12">
        <f>S104*J104</f>
        <v/>
      </c>
      <c r="U104" s="12">
        <f>IF(T104&lt;=0,0,(rate_below/100)*MIN(T104,MAX(0,ceiling-D104))+(rate_above/100)*(T104-MIN(T104,MAX(0,ceiling-D104))))</f>
        <v/>
      </c>
      <c r="V104" s="12">
        <f>T104+U104</f>
        <v/>
      </c>
      <c r="W104" s="13">
        <f>IF(AND(C104="F",M104&lt;O104,SUMIFS(Categories!$AH$5:$AH$11,Categories!$A$5:$A$11,B104)=1),1,0)</f>
        <v/>
      </c>
      <c r="X104" s="12">
        <f>IF(W104=1,O104-M104,0)</f>
        <v/>
      </c>
      <c r="Y104" s="11">
        <f>IF(AND(W104=1,SUMIFS(Categories!$AI$5:$AI$11,Categories!$A$5:$A$11,B104)&gt;0),X104/SUMIFS(Categories!$AI$5:$AI$11,Categories!$A$5:$A$11,B104),0)</f>
        <v/>
      </c>
      <c r="Z104" s="12">
        <f>Y104*SUMIFS(Categories!$AJ$5:$AJ$11,Categories!$A$5:$A$11,B104)</f>
        <v/>
      </c>
      <c r="AA104" s="12">
        <f>Z104*J104</f>
        <v/>
      </c>
      <c r="AB104" s="12">
        <f>IF(AA104&lt;=0,0,(rate_below/100)*MIN(AA104,MAX(0,ceiling-D104))+(rate_above/100)*(AA104-MIN(AA104,MAX(0,ceiling-D104))))</f>
        <v/>
      </c>
      <c r="AC104" s="12">
        <f>AA104+AB104</f>
        <v/>
      </c>
      <c r="AD104" s="13">
        <f>SUMPRODUCT(($B$5:$B$216=B104)*($M$5:$M$216&lt;M104))+SUMPRODUCT(($B$5:$B$216=B104)*($M$5:$M$216=M104)*(ROW($M$5:$M$216)&lt;ROW(M104)))+1</f>
        <v/>
      </c>
      <c r="AE104" s="13">
        <f>COUNTIF($B$5:$B$216,B104)</f>
        <v/>
      </c>
      <c r="AF104" s="13">
        <f>SUMPRODUCT(($B$5:$B$216=B104)*($C$5:$C$216=C104)*($M$5:$M$216&lt;M104))+SUMPRODUCT(($B$5:$B$216=B104)*($C$5:$C$216=C104)*($M$5:$M$216=M104)*(ROW($M$5:$M$216)&lt;ROW(M104)))+1</f>
        <v/>
      </c>
      <c r="AG104" s="13">
        <f>COUNTIFS($B$5:$B$216,B104,$C$5:$C$216,C104)</f>
        <v/>
      </c>
    </row>
    <row r="105">
      <c r="A105" s="9" t="inlineStr">
        <is>
          <t>E101</t>
        </is>
      </c>
      <c r="B105" s="9" t="inlineStr">
        <is>
          <t>Marketing</t>
        </is>
      </c>
      <c r="C105" s="9" t="inlineStr">
        <is>
          <t>M</t>
        </is>
      </c>
      <c r="D105" s="10" t="n">
        <v>68599.05</v>
      </c>
      <c r="E105" s="10" t="n">
        <v>8260.33</v>
      </c>
      <c r="F105" s="9" t="n">
        <v>8.199999999999999</v>
      </c>
      <c r="G105" s="9" t="n">
        <v>5</v>
      </c>
      <c r="H105" s="9" t="n">
        <v>1</v>
      </c>
      <c r="I105" s="9" t="n">
        <v>12</v>
      </c>
      <c r="J105" s="11">
        <f>H105*(I105/12)</f>
        <v/>
      </c>
      <c r="K105" s="12">
        <f>D105/J105</f>
        <v/>
      </c>
      <c r="L105" s="12">
        <f>E105/J105</f>
        <v/>
      </c>
      <c r="M105" s="12">
        <f>K105+L105</f>
        <v/>
      </c>
      <c r="N105" s="12">
        <f>D105+E105</f>
        <v/>
      </c>
      <c r="O105" s="12">
        <f>(SUMIFS($M$5:$M$216,$B$5:$B$216,B105,$AD$5:$AD$216,INT((AE105+1)/2))+SUMIFS($M$5:$M$216,$B$5:$B$216,B105,$AD$5:$AD$216,INT(AE105/2)+1))/2</f>
        <v/>
      </c>
      <c r="P105" s="13">
        <f>IF(AND(C105="F",M105&lt;O105,SUMIFS(Categories!$Z$5:$Z$11,Categories!$A$5:$A$11,B105)=1),1,0)</f>
        <v/>
      </c>
      <c r="Q105" s="12">
        <f>IF(P105=1,O105-M105,0)</f>
        <v/>
      </c>
      <c r="R105" s="11">
        <f>IF(AND(P105=1,SUMIFS(Categories!$AA$5:$AA$11,Categories!$A$5:$A$11,B105)&gt;0),Q105/SUMIFS(Categories!$AA$5:$AA$11,Categories!$A$5:$A$11,B105),0)</f>
        <v/>
      </c>
      <c r="S105" s="12">
        <f>R105*SUMIFS(Categories!$AB$5:$AB$11,Categories!$A$5:$A$11,B105)</f>
        <v/>
      </c>
      <c r="T105" s="12">
        <f>S105*J105</f>
        <v/>
      </c>
      <c r="U105" s="12">
        <f>IF(T105&lt;=0,0,(rate_below/100)*MIN(T105,MAX(0,ceiling-D105))+(rate_above/100)*(T105-MIN(T105,MAX(0,ceiling-D105))))</f>
        <v/>
      </c>
      <c r="V105" s="12">
        <f>T105+U105</f>
        <v/>
      </c>
      <c r="W105" s="13">
        <f>IF(AND(C105="F",M105&lt;O105,SUMIFS(Categories!$AH$5:$AH$11,Categories!$A$5:$A$11,B105)=1),1,0)</f>
        <v/>
      </c>
      <c r="X105" s="12">
        <f>IF(W105=1,O105-M105,0)</f>
        <v/>
      </c>
      <c r="Y105" s="11">
        <f>IF(AND(W105=1,SUMIFS(Categories!$AI$5:$AI$11,Categories!$A$5:$A$11,B105)&gt;0),X105/SUMIFS(Categories!$AI$5:$AI$11,Categories!$A$5:$A$11,B105),0)</f>
        <v/>
      </c>
      <c r="Z105" s="12">
        <f>Y105*SUMIFS(Categories!$AJ$5:$AJ$11,Categories!$A$5:$A$11,B105)</f>
        <v/>
      </c>
      <c r="AA105" s="12">
        <f>Z105*J105</f>
        <v/>
      </c>
      <c r="AB105" s="12">
        <f>IF(AA105&lt;=0,0,(rate_below/100)*MIN(AA105,MAX(0,ceiling-D105))+(rate_above/100)*(AA105-MIN(AA105,MAX(0,ceiling-D105))))</f>
        <v/>
      </c>
      <c r="AC105" s="12">
        <f>AA105+AB105</f>
        <v/>
      </c>
      <c r="AD105" s="13">
        <f>SUMPRODUCT(($B$5:$B$216=B105)*($M$5:$M$216&lt;M105))+SUMPRODUCT(($B$5:$B$216=B105)*($M$5:$M$216=M105)*(ROW($M$5:$M$216)&lt;ROW(M105)))+1</f>
        <v/>
      </c>
      <c r="AE105" s="13">
        <f>COUNTIF($B$5:$B$216,B105)</f>
        <v/>
      </c>
      <c r="AF105" s="13">
        <f>SUMPRODUCT(($B$5:$B$216=B105)*($C$5:$C$216=C105)*($M$5:$M$216&lt;M105))+SUMPRODUCT(($B$5:$B$216=B105)*($C$5:$C$216=C105)*($M$5:$M$216=M105)*(ROW($M$5:$M$216)&lt;ROW(M105)))+1</f>
        <v/>
      </c>
      <c r="AG105" s="13">
        <f>COUNTIFS($B$5:$B$216,B105,$C$5:$C$216,C105)</f>
        <v/>
      </c>
    </row>
    <row r="106">
      <c r="A106" s="9" t="inlineStr">
        <is>
          <t>E102</t>
        </is>
      </c>
      <c r="B106" s="9" t="inlineStr">
        <is>
          <t>Marketing</t>
        </is>
      </c>
      <c r="C106" s="9" t="inlineStr">
        <is>
          <t>M</t>
        </is>
      </c>
      <c r="D106" s="10" t="n">
        <v>64077.78</v>
      </c>
      <c r="E106" s="10" t="n">
        <v>6280.84</v>
      </c>
      <c r="F106" s="9" t="n">
        <v>7</v>
      </c>
      <c r="G106" s="9" t="n">
        <v>3</v>
      </c>
      <c r="H106" s="9" t="n">
        <v>1</v>
      </c>
      <c r="I106" s="9" t="n">
        <v>12</v>
      </c>
      <c r="J106" s="11">
        <f>H106*(I106/12)</f>
        <v/>
      </c>
      <c r="K106" s="12">
        <f>D106/J106</f>
        <v/>
      </c>
      <c r="L106" s="12">
        <f>E106/J106</f>
        <v/>
      </c>
      <c r="M106" s="12">
        <f>K106+L106</f>
        <v/>
      </c>
      <c r="N106" s="12">
        <f>D106+E106</f>
        <v/>
      </c>
      <c r="O106" s="12">
        <f>(SUMIFS($M$5:$M$216,$B$5:$B$216,B106,$AD$5:$AD$216,INT((AE106+1)/2))+SUMIFS($M$5:$M$216,$B$5:$B$216,B106,$AD$5:$AD$216,INT(AE106/2)+1))/2</f>
        <v/>
      </c>
      <c r="P106" s="13">
        <f>IF(AND(C106="F",M106&lt;O106,SUMIFS(Categories!$Z$5:$Z$11,Categories!$A$5:$A$11,B106)=1),1,0)</f>
        <v/>
      </c>
      <c r="Q106" s="12">
        <f>IF(P106=1,O106-M106,0)</f>
        <v/>
      </c>
      <c r="R106" s="11">
        <f>IF(AND(P106=1,SUMIFS(Categories!$AA$5:$AA$11,Categories!$A$5:$A$11,B106)&gt;0),Q106/SUMIFS(Categories!$AA$5:$AA$11,Categories!$A$5:$A$11,B106),0)</f>
        <v/>
      </c>
      <c r="S106" s="12">
        <f>R106*SUMIFS(Categories!$AB$5:$AB$11,Categories!$A$5:$A$11,B106)</f>
        <v/>
      </c>
      <c r="T106" s="12">
        <f>S106*J106</f>
        <v/>
      </c>
      <c r="U106" s="12">
        <f>IF(T106&lt;=0,0,(rate_below/100)*MIN(T106,MAX(0,ceiling-D106))+(rate_above/100)*(T106-MIN(T106,MAX(0,ceiling-D106))))</f>
        <v/>
      </c>
      <c r="V106" s="12">
        <f>T106+U106</f>
        <v/>
      </c>
      <c r="W106" s="13">
        <f>IF(AND(C106="F",M106&lt;O106,SUMIFS(Categories!$AH$5:$AH$11,Categories!$A$5:$A$11,B106)=1),1,0)</f>
        <v/>
      </c>
      <c r="X106" s="12">
        <f>IF(W106=1,O106-M106,0)</f>
        <v/>
      </c>
      <c r="Y106" s="11">
        <f>IF(AND(W106=1,SUMIFS(Categories!$AI$5:$AI$11,Categories!$A$5:$A$11,B106)&gt;0),X106/SUMIFS(Categories!$AI$5:$AI$11,Categories!$A$5:$A$11,B106),0)</f>
        <v/>
      </c>
      <c r="Z106" s="12">
        <f>Y106*SUMIFS(Categories!$AJ$5:$AJ$11,Categories!$A$5:$A$11,B106)</f>
        <v/>
      </c>
      <c r="AA106" s="12">
        <f>Z106*J106</f>
        <v/>
      </c>
      <c r="AB106" s="12">
        <f>IF(AA106&lt;=0,0,(rate_below/100)*MIN(AA106,MAX(0,ceiling-D106))+(rate_above/100)*(AA106-MIN(AA106,MAX(0,ceiling-D106))))</f>
        <v/>
      </c>
      <c r="AC106" s="12">
        <f>AA106+AB106</f>
        <v/>
      </c>
      <c r="AD106" s="13">
        <f>SUMPRODUCT(($B$5:$B$216=B106)*($M$5:$M$216&lt;M106))+SUMPRODUCT(($B$5:$B$216=B106)*($M$5:$M$216=M106)*(ROW($M$5:$M$216)&lt;ROW(M106)))+1</f>
        <v/>
      </c>
      <c r="AE106" s="13">
        <f>COUNTIF($B$5:$B$216,B106)</f>
        <v/>
      </c>
      <c r="AF106" s="13">
        <f>SUMPRODUCT(($B$5:$B$216=B106)*($C$5:$C$216=C106)*($M$5:$M$216&lt;M106))+SUMPRODUCT(($B$5:$B$216=B106)*($C$5:$C$216=C106)*($M$5:$M$216=M106)*(ROW($M$5:$M$216)&lt;ROW(M106)))+1</f>
        <v/>
      </c>
      <c r="AG106" s="13">
        <f>COUNTIFS($B$5:$B$216,B106,$C$5:$C$216,C106)</f>
        <v/>
      </c>
    </row>
    <row r="107">
      <c r="A107" s="9" t="inlineStr">
        <is>
          <t>E103</t>
        </is>
      </c>
      <c r="B107" s="9" t="inlineStr">
        <is>
          <t>Marketing</t>
        </is>
      </c>
      <c r="C107" s="9" t="inlineStr">
        <is>
          <t>F</t>
        </is>
      </c>
      <c r="D107" s="10" t="n">
        <v>70549.42</v>
      </c>
      <c r="E107" s="10" t="n">
        <v>6668.81</v>
      </c>
      <c r="F107" s="9" t="n">
        <v>5.9</v>
      </c>
      <c r="G107" s="9" t="n">
        <v>4</v>
      </c>
      <c r="H107" s="9" t="n">
        <v>1</v>
      </c>
      <c r="I107" s="9" t="n">
        <v>12</v>
      </c>
      <c r="J107" s="11">
        <f>H107*(I107/12)</f>
        <v/>
      </c>
      <c r="K107" s="12">
        <f>D107/J107</f>
        <v/>
      </c>
      <c r="L107" s="12">
        <f>E107/J107</f>
        <v/>
      </c>
      <c r="M107" s="12">
        <f>K107+L107</f>
        <v/>
      </c>
      <c r="N107" s="12">
        <f>D107+E107</f>
        <v/>
      </c>
      <c r="O107" s="12">
        <f>(SUMIFS($M$5:$M$216,$B$5:$B$216,B107,$AD$5:$AD$216,INT((AE107+1)/2))+SUMIFS($M$5:$M$216,$B$5:$B$216,B107,$AD$5:$AD$216,INT(AE107/2)+1))/2</f>
        <v/>
      </c>
      <c r="P107" s="13">
        <f>IF(AND(C107="F",M107&lt;O107,SUMIFS(Categories!$Z$5:$Z$11,Categories!$A$5:$A$11,B107)=1),1,0)</f>
        <v/>
      </c>
      <c r="Q107" s="12">
        <f>IF(P107=1,O107-M107,0)</f>
        <v/>
      </c>
      <c r="R107" s="11">
        <f>IF(AND(P107=1,SUMIFS(Categories!$AA$5:$AA$11,Categories!$A$5:$A$11,B107)&gt;0),Q107/SUMIFS(Categories!$AA$5:$AA$11,Categories!$A$5:$A$11,B107),0)</f>
        <v/>
      </c>
      <c r="S107" s="12">
        <f>R107*SUMIFS(Categories!$AB$5:$AB$11,Categories!$A$5:$A$11,B107)</f>
        <v/>
      </c>
      <c r="T107" s="12">
        <f>S107*J107</f>
        <v/>
      </c>
      <c r="U107" s="12">
        <f>IF(T107&lt;=0,0,(rate_below/100)*MIN(T107,MAX(0,ceiling-D107))+(rate_above/100)*(T107-MIN(T107,MAX(0,ceiling-D107))))</f>
        <v/>
      </c>
      <c r="V107" s="12">
        <f>T107+U107</f>
        <v/>
      </c>
      <c r="W107" s="13">
        <f>IF(AND(C107="F",M107&lt;O107,SUMIFS(Categories!$AH$5:$AH$11,Categories!$A$5:$A$11,B107)=1),1,0)</f>
        <v/>
      </c>
      <c r="X107" s="12">
        <f>IF(W107=1,O107-M107,0)</f>
        <v/>
      </c>
      <c r="Y107" s="11">
        <f>IF(AND(W107=1,SUMIFS(Categories!$AI$5:$AI$11,Categories!$A$5:$A$11,B107)&gt;0),X107/SUMIFS(Categories!$AI$5:$AI$11,Categories!$A$5:$A$11,B107),0)</f>
        <v/>
      </c>
      <c r="Z107" s="12">
        <f>Y107*SUMIFS(Categories!$AJ$5:$AJ$11,Categories!$A$5:$A$11,B107)</f>
        <v/>
      </c>
      <c r="AA107" s="12">
        <f>Z107*J107</f>
        <v/>
      </c>
      <c r="AB107" s="12">
        <f>IF(AA107&lt;=0,0,(rate_below/100)*MIN(AA107,MAX(0,ceiling-D107))+(rate_above/100)*(AA107-MIN(AA107,MAX(0,ceiling-D107))))</f>
        <v/>
      </c>
      <c r="AC107" s="12">
        <f>AA107+AB107</f>
        <v/>
      </c>
      <c r="AD107" s="13">
        <f>SUMPRODUCT(($B$5:$B$216=B107)*($M$5:$M$216&lt;M107))+SUMPRODUCT(($B$5:$B$216=B107)*($M$5:$M$216=M107)*(ROW($M$5:$M$216)&lt;ROW(M107)))+1</f>
        <v/>
      </c>
      <c r="AE107" s="13">
        <f>COUNTIF($B$5:$B$216,B107)</f>
        <v/>
      </c>
      <c r="AF107" s="13">
        <f>SUMPRODUCT(($B$5:$B$216=B107)*($C$5:$C$216=C107)*($M$5:$M$216&lt;M107))+SUMPRODUCT(($B$5:$B$216=B107)*($C$5:$C$216=C107)*($M$5:$M$216=M107)*(ROW($M$5:$M$216)&lt;ROW(M107)))+1</f>
        <v/>
      </c>
      <c r="AG107" s="13">
        <f>COUNTIFS($B$5:$B$216,B107,$C$5:$C$216,C107)</f>
        <v/>
      </c>
    </row>
    <row r="108">
      <c r="A108" s="9" t="inlineStr">
        <is>
          <t>E104</t>
        </is>
      </c>
      <c r="B108" s="9" t="inlineStr">
        <is>
          <t>Marketing</t>
        </is>
      </c>
      <c r="C108" s="9" t="inlineStr">
        <is>
          <t>M</t>
        </is>
      </c>
      <c r="D108" s="10" t="n">
        <v>50208.93</v>
      </c>
      <c r="E108" s="10" t="n">
        <v>4159.78</v>
      </c>
      <c r="F108" s="9" t="n">
        <v>5.5</v>
      </c>
      <c r="G108" s="9" t="n">
        <v>2</v>
      </c>
      <c r="H108" s="9" t="n">
        <v>1</v>
      </c>
      <c r="I108" s="9" t="n">
        <v>12</v>
      </c>
      <c r="J108" s="11">
        <f>H108*(I108/12)</f>
        <v/>
      </c>
      <c r="K108" s="12">
        <f>D108/J108</f>
        <v/>
      </c>
      <c r="L108" s="12">
        <f>E108/J108</f>
        <v/>
      </c>
      <c r="M108" s="12">
        <f>K108+L108</f>
        <v/>
      </c>
      <c r="N108" s="12">
        <f>D108+E108</f>
        <v/>
      </c>
      <c r="O108" s="12">
        <f>(SUMIFS($M$5:$M$216,$B$5:$B$216,B108,$AD$5:$AD$216,INT((AE108+1)/2))+SUMIFS($M$5:$M$216,$B$5:$B$216,B108,$AD$5:$AD$216,INT(AE108/2)+1))/2</f>
        <v/>
      </c>
      <c r="P108" s="13">
        <f>IF(AND(C108="F",M108&lt;O108,SUMIFS(Categories!$Z$5:$Z$11,Categories!$A$5:$A$11,B108)=1),1,0)</f>
        <v/>
      </c>
      <c r="Q108" s="12">
        <f>IF(P108=1,O108-M108,0)</f>
        <v/>
      </c>
      <c r="R108" s="11">
        <f>IF(AND(P108=1,SUMIFS(Categories!$AA$5:$AA$11,Categories!$A$5:$A$11,B108)&gt;0),Q108/SUMIFS(Categories!$AA$5:$AA$11,Categories!$A$5:$A$11,B108),0)</f>
        <v/>
      </c>
      <c r="S108" s="12">
        <f>R108*SUMIFS(Categories!$AB$5:$AB$11,Categories!$A$5:$A$11,B108)</f>
        <v/>
      </c>
      <c r="T108" s="12">
        <f>S108*J108</f>
        <v/>
      </c>
      <c r="U108" s="12">
        <f>IF(T108&lt;=0,0,(rate_below/100)*MIN(T108,MAX(0,ceiling-D108))+(rate_above/100)*(T108-MIN(T108,MAX(0,ceiling-D108))))</f>
        <v/>
      </c>
      <c r="V108" s="12">
        <f>T108+U108</f>
        <v/>
      </c>
      <c r="W108" s="13">
        <f>IF(AND(C108="F",M108&lt;O108,SUMIFS(Categories!$AH$5:$AH$11,Categories!$A$5:$A$11,B108)=1),1,0)</f>
        <v/>
      </c>
      <c r="X108" s="12">
        <f>IF(W108=1,O108-M108,0)</f>
        <v/>
      </c>
      <c r="Y108" s="11">
        <f>IF(AND(W108=1,SUMIFS(Categories!$AI$5:$AI$11,Categories!$A$5:$A$11,B108)&gt;0),X108/SUMIFS(Categories!$AI$5:$AI$11,Categories!$A$5:$A$11,B108),0)</f>
        <v/>
      </c>
      <c r="Z108" s="12">
        <f>Y108*SUMIFS(Categories!$AJ$5:$AJ$11,Categories!$A$5:$A$11,B108)</f>
        <v/>
      </c>
      <c r="AA108" s="12">
        <f>Z108*J108</f>
        <v/>
      </c>
      <c r="AB108" s="12">
        <f>IF(AA108&lt;=0,0,(rate_below/100)*MIN(AA108,MAX(0,ceiling-D108))+(rate_above/100)*(AA108-MIN(AA108,MAX(0,ceiling-D108))))</f>
        <v/>
      </c>
      <c r="AC108" s="12">
        <f>AA108+AB108</f>
        <v/>
      </c>
      <c r="AD108" s="13">
        <f>SUMPRODUCT(($B$5:$B$216=B108)*($M$5:$M$216&lt;M108))+SUMPRODUCT(($B$5:$B$216=B108)*($M$5:$M$216=M108)*(ROW($M$5:$M$216)&lt;ROW(M108)))+1</f>
        <v/>
      </c>
      <c r="AE108" s="13">
        <f>COUNTIF($B$5:$B$216,B108)</f>
        <v/>
      </c>
      <c r="AF108" s="13">
        <f>SUMPRODUCT(($B$5:$B$216=B108)*($C$5:$C$216=C108)*($M$5:$M$216&lt;M108))+SUMPRODUCT(($B$5:$B$216=B108)*($C$5:$C$216=C108)*($M$5:$M$216=M108)*(ROW($M$5:$M$216)&lt;ROW(M108)))+1</f>
        <v/>
      </c>
      <c r="AG108" s="13">
        <f>COUNTIFS($B$5:$B$216,B108,$C$5:$C$216,C108)</f>
        <v/>
      </c>
    </row>
    <row r="109">
      <c r="A109" s="9" t="inlineStr">
        <is>
          <t>E105</t>
        </is>
      </c>
      <c r="B109" s="9" t="inlineStr">
        <is>
          <t>Marketing</t>
        </is>
      </c>
      <c r="C109" s="9" t="inlineStr">
        <is>
          <t>F</t>
        </is>
      </c>
      <c r="D109" s="10" t="n">
        <v>76994.12</v>
      </c>
      <c r="E109" s="10" t="n">
        <v>7646.85</v>
      </c>
      <c r="F109" s="9" t="n">
        <v>8.9</v>
      </c>
      <c r="G109" s="9" t="n">
        <v>5</v>
      </c>
      <c r="H109" s="9" t="n">
        <v>1</v>
      </c>
      <c r="I109" s="9" t="n">
        <v>12</v>
      </c>
      <c r="J109" s="11">
        <f>H109*(I109/12)</f>
        <v/>
      </c>
      <c r="K109" s="12">
        <f>D109/J109</f>
        <v/>
      </c>
      <c r="L109" s="12">
        <f>E109/J109</f>
        <v/>
      </c>
      <c r="M109" s="12">
        <f>K109+L109</f>
        <v/>
      </c>
      <c r="N109" s="12">
        <f>D109+E109</f>
        <v/>
      </c>
      <c r="O109" s="12">
        <f>(SUMIFS($M$5:$M$216,$B$5:$B$216,B109,$AD$5:$AD$216,INT((AE109+1)/2))+SUMIFS($M$5:$M$216,$B$5:$B$216,B109,$AD$5:$AD$216,INT(AE109/2)+1))/2</f>
        <v/>
      </c>
      <c r="P109" s="13">
        <f>IF(AND(C109="F",M109&lt;O109,SUMIFS(Categories!$Z$5:$Z$11,Categories!$A$5:$A$11,B109)=1),1,0)</f>
        <v/>
      </c>
      <c r="Q109" s="12">
        <f>IF(P109=1,O109-M109,0)</f>
        <v/>
      </c>
      <c r="R109" s="11">
        <f>IF(AND(P109=1,SUMIFS(Categories!$AA$5:$AA$11,Categories!$A$5:$A$11,B109)&gt;0),Q109/SUMIFS(Categories!$AA$5:$AA$11,Categories!$A$5:$A$11,B109),0)</f>
        <v/>
      </c>
      <c r="S109" s="12">
        <f>R109*SUMIFS(Categories!$AB$5:$AB$11,Categories!$A$5:$A$11,B109)</f>
        <v/>
      </c>
      <c r="T109" s="12">
        <f>S109*J109</f>
        <v/>
      </c>
      <c r="U109" s="12">
        <f>IF(T109&lt;=0,0,(rate_below/100)*MIN(T109,MAX(0,ceiling-D109))+(rate_above/100)*(T109-MIN(T109,MAX(0,ceiling-D109))))</f>
        <v/>
      </c>
      <c r="V109" s="12">
        <f>T109+U109</f>
        <v/>
      </c>
      <c r="W109" s="13">
        <f>IF(AND(C109="F",M109&lt;O109,SUMIFS(Categories!$AH$5:$AH$11,Categories!$A$5:$A$11,B109)=1),1,0)</f>
        <v/>
      </c>
      <c r="X109" s="12">
        <f>IF(W109=1,O109-M109,0)</f>
        <v/>
      </c>
      <c r="Y109" s="11">
        <f>IF(AND(W109=1,SUMIFS(Categories!$AI$5:$AI$11,Categories!$A$5:$A$11,B109)&gt;0),X109/SUMIFS(Categories!$AI$5:$AI$11,Categories!$A$5:$A$11,B109),0)</f>
        <v/>
      </c>
      <c r="Z109" s="12">
        <f>Y109*SUMIFS(Categories!$AJ$5:$AJ$11,Categories!$A$5:$A$11,B109)</f>
        <v/>
      </c>
      <c r="AA109" s="12">
        <f>Z109*J109</f>
        <v/>
      </c>
      <c r="AB109" s="12">
        <f>IF(AA109&lt;=0,0,(rate_below/100)*MIN(AA109,MAX(0,ceiling-D109))+(rate_above/100)*(AA109-MIN(AA109,MAX(0,ceiling-D109))))</f>
        <v/>
      </c>
      <c r="AC109" s="12">
        <f>AA109+AB109</f>
        <v/>
      </c>
      <c r="AD109" s="13">
        <f>SUMPRODUCT(($B$5:$B$216=B109)*($M$5:$M$216&lt;M109))+SUMPRODUCT(($B$5:$B$216=B109)*($M$5:$M$216=M109)*(ROW($M$5:$M$216)&lt;ROW(M109)))+1</f>
        <v/>
      </c>
      <c r="AE109" s="13">
        <f>COUNTIF($B$5:$B$216,B109)</f>
        <v/>
      </c>
      <c r="AF109" s="13">
        <f>SUMPRODUCT(($B$5:$B$216=B109)*($C$5:$C$216=C109)*($M$5:$M$216&lt;M109))+SUMPRODUCT(($B$5:$B$216=B109)*($C$5:$C$216=C109)*($M$5:$M$216=M109)*(ROW($M$5:$M$216)&lt;ROW(M109)))+1</f>
        <v/>
      </c>
      <c r="AG109" s="13">
        <f>COUNTIFS($B$5:$B$216,B109,$C$5:$C$216,C109)</f>
        <v/>
      </c>
    </row>
    <row r="110">
      <c r="A110" s="9" t="inlineStr">
        <is>
          <t>E106</t>
        </is>
      </c>
      <c r="B110" s="9" t="inlineStr">
        <is>
          <t>Marketing</t>
        </is>
      </c>
      <c r="C110" s="9" t="inlineStr">
        <is>
          <t>F</t>
        </is>
      </c>
      <c r="D110" s="10" t="n">
        <v>81139.86</v>
      </c>
      <c r="E110" s="10" t="n">
        <v>6251.29</v>
      </c>
      <c r="F110" s="9" t="n">
        <v>12.1</v>
      </c>
      <c r="G110" s="9" t="n">
        <v>5</v>
      </c>
      <c r="H110" s="9" t="n">
        <v>1</v>
      </c>
      <c r="I110" s="9" t="n">
        <v>12</v>
      </c>
      <c r="J110" s="11">
        <f>H110*(I110/12)</f>
        <v/>
      </c>
      <c r="K110" s="12">
        <f>D110/J110</f>
        <v/>
      </c>
      <c r="L110" s="12">
        <f>E110/J110</f>
        <v/>
      </c>
      <c r="M110" s="12">
        <f>K110+L110</f>
        <v/>
      </c>
      <c r="N110" s="12">
        <f>D110+E110</f>
        <v/>
      </c>
      <c r="O110" s="12">
        <f>(SUMIFS($M$5:$M$216,$B$5:$B$216,B110,$AD$5:$AD$216,INT((AE110+1)/2))+SUMIFS($M$5:$M$216,$B$5:$B$216,B110,$AD$5:$AD$216,INT(AE110/2)+1))/2</f>
        <v/>
      </c>
      <c r="P110" s="13">
        <f>IF(AND(C110="F",M110&lt;O110,SUMIFS(Categories!$Z$5:$Z$11,Categories!$A$5:$A$11,B110)=1),1,0)</f>
        <v/>
      </c>
      <c r="Q110" s="12">
        <f>IF(P110=1,O110-M110,0)</f>
        <v/>
      </c>
      <c r="R110" s="11">
        <f>IF(AND(P110=1,SUMIFS(Categories!$AA$5:$AA$11,Categories!$A$5:$A$11,B110)&gt;0),Q110/SUMIFS(Categories!$AA$5:$AA$11,Categories!$A$5:$A$11,B110),0)</f>
        <v/>
      </c>
      <c r="S110" s="12">
        <f>R110*SUMIFS(Categories!$AB$5:$AB$11,Categories!$A$5:$A$11,B110)</f>
        <v/>
      </c>
      <c r="T110" s="12">
        <f>S110*J110</f>
        <v/>
      </c>
      <c r="U110" s="12">
        <f>IF(T110&lt;=0,0,(rate_below/100)*MIN(T110,MAX(0,ceiling-D110))+(rate_above/100)*(T110-MIN(T110,MAX(0,ceiling-D110))))</f>
        <v/>
      </c>
      <c r="V110" s="12">
        <f>T110+U110</f>
        <v/>
      </c>
      <c r="W110" s="13">
        <f>IF(AND(C110="F",M110&lt;O110,SUMIFS(Categories!$AH$5:$AH$11,Categories!$A$5:$A$11,B110)=1),1,0)</f>
        <v/>
      </c>
      <c r="X110" s="12">
        <f>IF(W110=1,O110-M110,0)</f>
        <v/>
      </c>
      <c r="Y110" s="11">
        <f>IF(AND(W110=1,SUMIFS(Categories!$AI$5:$AI$11,Categories!$A$5:$A$11,B110)&gt;0),X110/SUMIFS(Categories!$AI$5:$AI$11,Categories!$A$5:$A$11,B110),0)</f>
        <v/>
      </c>
      <c r="Z110" s="12">
        <f>Y110*SUMIFS(Categories!$AJ$5:$AJ$11,Categories!$A$5:$A$11,B110)</f>
        <v/>
      </c>
      <c r="AA110" s="12">
        <f>Z110*J110</f>
        <v/>
      </c>
      <c r="AB110" s="12">
        <f>IF(AA110&lt;=0,0,(rate_below/100)*MIN(AA110,MAX(0,ceiling-D110))+(rate_above/100)*(AA110-MIN(AA110,MAX(0,ceiling-D110))))</f>
        <v/>
      </c>
      <c r="AC110" s="12">
        <f>AA110+AB110</f>
        <v/>
      </c>
      <c r="AD110" s="13">
        <f>SUMPRODUCT(($B$5:$B$216=B110)*($M$5:$M$216&lt;M110))+SUMPRODUCT(($B$5:$B$216=B110)*($M$5:$M$216=M110)*(ROW($M$5:$M$216)&lt;ROW(M110)))+1</f>
        <v/>
      </c>
      <c r="AE110" s="13">
        <f>COUNTIF($B$5:$B$216,B110)</f>
        <v/>
      </c>
      <c r="AF110" s="13">
        <f>SUMPRODUCT(($B$5:$B$216=B110)*($C$5:$C$216=C110)*($M$5:$M$216&lt;M110))+SUMPRODUCT(($B$5:$B$216=B110)*($C$5:$C$216=C110)*($M$5:$M$216=M110)*(ROW($M$5:$M$216)&lt;ROW(M110)))+1</f>
        <v/>
      </c>
      <c r="AG110" s="13">
        <f>COUNTIFS($B$5:$B$216,B110,$C$5:$C$216,C110)</f>
        <v/>
      </c>
    </row>
    <row r="111">
      <c r="A111" s="9" t="inlineStr">
        <is>
          <t>E107</t>
        </is>
      </c>
      <c r="B111" s="9" t="inlineStr">
        <is>
          <t>Marketing</t>
        </is>
      </c>
      <c r="C111" s="9" t="inlineStr">
        <is>
          <t>F</t>
        </is>
      </c>
      <c r="D111" s="10" t="n">
        <v>57551.82</v>
      </c>
      <c r="E111" s="10" t="n">
        <v>4572.51</v>
      </c>
      <c r="F111" s="9" t="n">
        <v>7.9</v>
      </c>
      <c r="G111" s="9" t="n">
        <v>2</v>
      </c>
      <c r="H111" s="9" t="n">
        <v>1</v>
      </c>
      <c r="I111" s="9" t="n">
        <v>12</v>
      </c>
      <c r="J111" s="11">
        <f>H111*(I111/12)</f>
        <v/>
      </c>
      <c r="K111" s="12">
        <f>D111/J111</f>
        <v/>
      </c>
      <c r="L111" s="12">
        <f>E111/J111</f>
        <v/>
      </c>
      <c r="M111" s="12">
        <f>K111+L111</f>
        <v/>
      </c>
      <c r="N111" s="12">
        <f>D111+E111</f>
        <v/>
      </c>
      <c r="O111" s="12">
        <f>(SUMIFS($M$5:$M$216,$B$5:$B$216,B111,$AD$5:$AD$216,INT((AE111+1)/2))+SUMIFS($M$5:$M$216,$B$5:$B$216,B111,$AD$5:$AD$216,INT(AE111/2)+1))/2</f>
        <v/>
      </c>
      <c r="P111" s="13">
        <f>IF(AND(C111="F",M111&lt;O111,SUMIFS(Categories!$Z$5:$Z$11,Categories!$A$5:$A$11,B111)=1),1,0)</f>
        <v/>
      </c>
      <c r="Q111" s="12">
        <f>IF(P111=1,O111-M111,0)</f>
        <v/>
      </c>
      <c r="R111" s="11">
        <f>IF(AND(P111=1,SUMIFS(Categories!$AA$5:$AA$11,Categories!$A$5:$A$11,B111)&gt;0),Q111/SUMIFS(Categories!$AA$5:$AA$11,Categories!$A$5:$A$11,B111),0)</f>
        <v/>
      </c>
      <c r="S111" s="12">
        <f>R111*SUMIFS(Categories!$AB$5:$AB$11,Categories!$A$5:$A$11,B111)</f>
        <v/>
      </c>
      <c r="T111" s="12">
        <f>S111*J111</f>
        <v/>
      </c>
      <c r="U111" s="12">
        <f>IF(T111&lt;=0,0,(rate_below/100)*MIN(T111,MAX(0,ceiling-D111))+(rate_above/100)*(T111-MIN(T111,MAX(0,ceiling-D111))))</f>
        <v/>
      </c>
      <c r="V111" s="12">
        <f>T111+U111</f>
        <v/>
      </c>
      <c r="W111" s="13">
        <f>IF(AND(C111="F",M111&lt;O111,SUMIFS(Categories!$AH$5:$AH$11,Categories!$A$5:$A$11,B111)=1),1,0)</f>
        <v/>
      </c>
      <c r="X111" s="12">
        <f>IF(W111=1,O111-M111,0)</f>
        <v/>
      </c>
      <c r="Y111" s="11">
        <f>IF(AND(W111=1,SUMIFS(Categories!$AI$5:$AI$11,Categories!$A$5:$A$11,B111)&gt;0),X111/SUMIFS(Categories!$AI$5:$AI$11,Categories!$A$5:$A$11,B111),0)</f>
        <v/>
      </c>
      <c r="Z111" s="12">
        <f>Y111*SUMIFS(Categories!$AJ$5:$AJ$11,Categories!$A$5:$A$11,B111)</f>
        <v/>
      </c>
      <c r="AA111" s="12">
        <f>Z111*J111</f>
        <v/>
      </c>
      <c r="AB111" s="12">
        <f>IF(AA111&lt;=0,0,(rate_below/100)*MIN(AA111,MAX(0,ceiling-D111))+(rate_above/100)*(AA111-MIN(AA111,MAX(0,ceiling-D111))))</f>
        <v/>
      </c>
      <c r="AC111" s="12">
        <f>AA111+AB111</f>
        <v/>
      </c>
      <c r="AD111" s="13">
        <f>SUMPRODUCT(($B$5:$B$216=B111)*($M$5:$M$216&lt;M111))+SUMPRODUCT(($B$5:$B$216=B111)*($M$5:$M$216=M111)*(ROW($M$5:$M$216)&lt;ROW(M111)))+1</f>
        <v/>
      </c>
      <c r="AE111" s="13">
        <f>COUNTIF($B$5:$B$216,B111)</f>
        <v/>
      </c>
      <c r="AF111" s="13">
        <f>SUMPRODUCT(($B$5:$B$216=B111)*($C$5:$C$216=C111)*($M$5:$M$216&lt;M111))+SUMPRODUCT(($B$5:$B$216=B111)*($C$5:$C$216=C111)*($M$5:$M$216=M111)*(ROW($M$5:$M$216)&lt;ROW(M111)))+1</f>
        <v/>
      </c>
      <c r="AG111" s="13">
        <f>COUNTIFS($B$5:$B$216,B111,$C$5:$C$216,C111)</f>
        <v/>
      </c>
    </row>
    <row r="112">
      <c r="A112" s="9" t="inlineStr">
        <is>
          <t>E108</t>
        </is>
      </c>
      <c r="B112" s="9" t="inlineStr">
        <is>
          <t>Marketing</t>
        </is>
      </c>
      <c r="C112" s="9" t="inlineStr">
        <is>
          <t>F</t>
        </is>
      </c>
      <c r="D112" s="10" t="n">
        <v>52826.67</v>
      </c>
      <c r="E112" s="10" t="n">
        <v>6571.4</v>
      </c>
      <c r="F112" s="9" t="n">
        <v>4.1</v>
      </c>
      <c r="G112" s="9" t="n">
        <v>1</v>
      </c>
      <c r="H112" s="9" t="n">
        <v>1</v>
      </c>
      <c r="I112" s="9" t="n">
        <v>12</v>
      </c>
      <c r="J112" s="11">
        <f>H112*(I112/12)</f>
        <v/>
      </c>
      <c r="K112" s="12">
        <f>D112/J112</f>
        <v/>
      </c>
      <c r="L112" s="12">
        <f>E112/J112</f>
        <v/>
      </c>
      <c r="M112" s="12">
        <f>K112+L112</f>
        <v/>
      </c>
      <c r="N112" s="12">
        <f>D112+E112</f>
        <v/>
      </c>
      <c r="O112" s="12">
        <f>(SUMIFS($M$5:$M$216,$B$5:$B$216,B112,$AD$5:$AD$216,INT((AE112+1)/2))+SUMIFS($M$5:$M$216,$B$5:$B$216,B112,$AD$5:$AD$216,INT(AE112/2)+1))/2</f>
        <v/>
      </c>
      <c r="P112" s="13">
        <f>IF(AND(C112="F",M112&lt;O112,SUMIFS(Categories!$Z$5:$Z$11,Categories!$A$5:$A$11,B112)=1),1,0)</f>
        <v/>
      </c>
      <c r="Q112" s="12">
        <f>IF(P112=1,O112-M112,0)</f>
        <v/>
      </c>
      <c r="R112" s="11">
        <f>IF(AND(P112=1,SUMIFS(Categories!$AA$5:$AA$11,Categories!$A$5:$A$11,B112)&gt;0),Q112/SUMIFS(Categories!$AA$5:$AA$11,Categories!$A$5:$A$11,B112),0)</f>
        <v/>
      </c>
      <c r="S112" s="12">
        <f>R112*SUMIFS(Categories!$AB$5:$AB$11,Categories!$A$5:$A$11,B112)</f>
        <v/>
      </c>
      <c r="T112" s="12">
        <f>S112*J112</f>
        <v/>
      </c>
      <c r="U112" s="12">
        <f>IF(T112&lt;=0,0,(rate_below/100)*MIN(T112,MAX(0,ceiling-D112))+(rate_above/100)*(T112-MIN(T112,MAX(0,ceiling-D112))))</f>
        <v/>
      </c>
      <c r="V112" s="12">
        <f>T112+U112</f>
        <v/>
      </c>
      <c r="W112" s="13">
        <f>IF(AND(C112="F",M112&lt;O112,SUMIFS(Categories!$AH$5:$AH$11,Categories!$A$5:$A$11,B112)=1),1,0)</f>
        <v/>
      </c>
      <c r="X112" s="12">
        <f>IF(W112=1,O112-M112,0)</f>
        <v/>
      </c>
      <c r="Y112" s="11">
        <f>IF(AND(W112=1,SUMIFS(Categories!$AI$5:$AI$11,Categories!$A$5:$A$11,B112)&gt;0),X112/SUMIFS(Categories!$AI$5:$AI$11,Categories!$A$5:$A$11,B112),0)</f>
        <v/>
      </c>
      <c r="Z112" s="12">
        <f>Y112*SUMIFS(Categories!$AJ$5:$AJ$11,Categories!$A$5:$A$11,B112)</f>
        <v/>
      </c>
      <c r="AA112" s="12">
        <f>Z112*J112</f>
        <v/>
      </c>
      <c r="AB112" s="12">
        <f>IF(AA112&lt;=0,0,(rate_below/100)*MIN(AA112,MAX(0,ceiling-D112))+(rate_above/100)*(AA112-MIN(AA112,MAX(0,ceiling-D112))))</f>
        <v/>
      </c>
      <c r="AC112" s="12">
        <f>AA112+AB112</f>
        <v/>
      </c>
      <c r="AD112" s="13">
        <f>SUMPRODUCT(($B$5:$B$216=B112)*($M$5:$M$216&lt;M112))+SUMPRODUCT(($B$5:$B$216=B112)*($M$5:$M$216=M112)*(ROW($M$5:$M$216)&lt;ROW(M112)))+1</f>
        <v/>
      </c>
      <c r="AE112" s="13">
        <f>COUNTIF($B$5:$B$216,B112)</f>
        <v/>
      </c>
      <c r="AF112" s="13">
        <f>SUMPRODUCT(($B$5:$B$216=B112)*($C$5:$C$216=C112)*($M$5:$M$216&lt;M112))+SUMPRODUCT(($B$5:$B$216=B112)*($C$5:$C$216=C112)*($M$5:$M$216=M112)*(ROW($M$5:$M$216)&lt;ROW(M112)))+1</f>
        <v/>
      </c>
      <c r="AG112" s="13">
        <f>COUNTIFS($B$5:$B$216,B112,$C$5:$C$216,C112)</f>
        <v/>
      </c>
    </row>
    <row r="113">
      <c r="A113" s="9" t="inlineStr">
        <is>
          <t>E109</t>
        </is>
      </c>
      <c r="B113" s="9" t="inlineStr">
        <is>
          <t>Marketing</t>
        </is>
      </c>
      <c r="C113" s="9" t="inlineStr">
        <is>
          <t>M</t>
        </is>
      </c>
      <c r="D113" s="10" t="n">
        <v>52476.79</v>
      </c>
      <c r="E113" s="10" t="n">
        <v>6457.49</v>
      </c>
      <c r="F113" s="9" t="n">
        <v>5.5</v>
      </c>
      <c r="G113" s="9" t="n">
        <v>2</v>
      </c>
      <c r="H113" s="9" t="n">
        <v>1</v>
      </c>
      <c r="I113" s="9" t="n">
        <v>12</v>
      </c>
      <c r="J113" s="11">
        <f>H113*(I113/12)</f>
        <v/>
      </c>
      <c r="K113" s="12">
        <f>D113/J113</f>
        <v/>
      </c>
      <c r="L113" s="12">
        <f>E113/J113</f>
        <v/>
      </c>
      <c r="M113" s="12">
        <f>K113+L113</f>
        <v/>
      </c>
      <c r="N113" s="12">
        <f>D113+E113</f>
        <v/>
      </c>
      <c r="O113" s="12">
        <f>(SUMIFS($M$5:$M$216,$B$5:$B$216,B113,$AD$5:$AD$216,INT((AE113+1)/2))+SUMIFS($M$5:$M$216,$B$5:$B$216,B113,$AD$5:$AD$216,INT(AE113/2)+1))/2</f>
        <v/>
      </c>
      <c r="P113" s="13">
        <f>IF(AND(C113="F",M113&lt;O113,SUMIFS(Categories!$Z$5:$Z$11,Categories!$A$5:$A$11,B113)=1),1,0)</f>
        <v/>
      </c>
      <c r="Q113" s="12">
        <f>IF(P113=1,O113-M113,0)</f>
        <v/>
      </c>
      <c r="R113" s="11">
        <f>IF(AND(P113=1,SUMIFS(Categories!$AA$5:$AA$11,Categories!$A$5:$A$11,B113)&gt;0),Q113/SUMIFS(Categories!$AA$5:$AA$11,Categories!$A$5:$A$11,B113),0)</f>
        <v/>
      </c>
      <c r="S113" s="12">
        <f>R113*SUMIFS(Categories!$AB$5:$AB$11,Categories!$A$5:$A$11,B113)</f>
        <v/>
      </c>
      <c r="T113" s="12">
        <f>S113*J113</f>
        <v/>
      </c>
      <c r="U113" s="12">
        <f>IF(T113&lt;=0,0,(rate_below/100)*MIN(T113,MAX(0,ceiling-D113))+(rate_above/100)*(T113-MIN(T113,MAX(0,ceiling-D113))))</f>
        <v/>
      </c>
      <c r="V113" s="12">
        <f>T113+U113</f>
        <v/>
      </c>
      <c r="W113" s="13">
        <f>IF(AND(C113="F",M113&lt;O113,SUMIFS(Categories!$AH$5:$AH$11,Categories!$A$5:$A$11,B113)=1),1,0)</f>
        <v/>
      </c>
      <c r="X113" s="12">
        <f>IF(W113=1,O113-M113,0)</f>
        <v/>
      </c>
      <c r="Y113" s="11">
        <f>IF(AND(W113=1,SUMIFS(Categories!$AI$5:$AI$11,Categories!$A$5:$A$11,B113)&gt;0),X113/SUMIFS(Categories!$AI$5:$AI$11,Categories!$A$5:$A$11,B113),0)</f>
        <v/>
      </c>
      <c r="Z113" s="12">
        <f>Y113*SUMIFS(Categories!$AJ$5:$AJ$11,Categories!$A$5:$A$11,B113)</f>
        <v/>
      </c>
      <c r="AA113" s="12">
        <f>Z113*J113</f>
        <v/>
      </c>
      <c r="AB113" s="12">
        <f>IF(AA113&lt;=0,0,(rate_below/100)*MIN(AA113,MAX(0,ceiling-D113))+(rate_above/100)*(AA113-MIN(AA113,MAX(0,ceiling-D113))))</f>
        <v/>
      </c>
      <c r="AC113" s="12">
        <f>AA113+AB113</f>
        <v/>
      </c>
      <c r="AD113" s="13">
        <f>SUMPRODUCT(($B$5:$B$216=B113)*($M$5:$M$216&lt;M113))+SUMPRODUCT(($B$5:$B$216=B113)*($M$5:$M$216=M113)*(ROW($M$5:$M$216)&lt;ROW(M113)))+1</f>
        <v/>
      </c>
      <c r="AE113" s="13">
        <f>COUNTIF($B$5:$B$216,B113)</f>
        <v/>
      </c>
      <c r="AF113" s="13">
        <f>SUMPRODUCT(($B$5:$B$216=B113)*($C$5:$C$216=C113)*($M$5:$M$216&lt;M113))+SUMPRODUCT(($B$5:$B$216=B113)*($C$5:$C$216=C113)*($M$5:$M$216=M113)*(ROW($M$5:$M$216)&lt;ROW(M113)))+1</f>
        <v/>
      </c>
      <c r="AG113" s="13">
        <f>COUNTIFS($B$5:$B$216,B113,$C$5:$C$216,C113)</f>
        <v/>
      </c>
    </row>
    <row r="114">
      <c r="A114" s="9" t="inlineStr">
        <is>
          <t>E110</t>
        </is>
      </c>
      <c r="B114" s="9" t="inlineStr">
        <is>
          <t>Marketing</t>
        </is>
      </c>
      <c r="C114" s="9" t="inlineStr">
        <is>
          <t>M</t>
        </is>
      </c>
      <c r="D114" s="10" t="n">
        <v>52320.97</v>
      </c>
      <c r="E114" s="10" t="n">
        <v>5721.44</v>
      </c>
      <c r="F114" s="9" t="n">
        <v>7</v>
      </c>
      <c r="G114" s="9" t="n">
        <v>2</v>
      </c>
      <c r="H114" s="9" t="n">
        <v>1</v>
      </c>
      <c r="I114" s="9" t="n">
        <v>12</v>
      </c>
      <c r="J114" s="11">
        <f>H114*(I114/12)</f>
        <v/>
      </c>
      <c r="K114" s="12">
        <f>D114/J114</f>
        <v/>
      </c>
      <c r="L114" s="12">
        <f>E114/J114</f>
        <v/>
      </c>
      <c r="M114" s="12">
        <f>K114+L114</f>
        <v/>
      </c>
      <c r="N114" s="12">
        <f>D114+E114</f>
        <v/>
      </c>
      <c r="O114" s="12">
        <f>(SUMIFS($M$5:$M$216,$B$5:$B$216,B114,$AD$5:$AD$216,INT((AE114+1)/2))+SUMIFS($M$5:$M$216,$B$5:$B$216,B114,$AD$5:$AD$216,INT(AE114/2)+1))/2</f>
        <v/>
      </c>
      <c r="P114" s="13">
        <f>IF(AND(C114="F",M114&lt;O114,SUMIFS(Categories!$Z$5:$Z$11,Categories!$A$5:$A$11,B114)=1),1,0)</f>
        <v/>
      </c>
      <c r="Q114" s="12">
        <f>IF(P114=1,O114-M114,0)</f>
        <v/>
      </c>
      <c r="R114" s="11">
        <f>IF(AND(P114=1,SUMIFS(Categories!$AA$5:$AA$11,Categories!$A$5:$A$11,B114)&gt;0),Q114/SUMIFS(Categories!$AA$5:$AA$11,Categories!$A$5:$A$11,B114),0)</f>
        <v/>
      </c>
      <c r="S114" s="12">
        <f>R114*SUMIFS(Categories!$AB$5:$AB$11,Categories!$A$5:$A$11,B114)</f>
        <v/>
      </c>
      <c r="T114" s="12">
        <f>S114*J114</f>
        <v/>
      </c>
      <c r="U114" s="12">
        <f>IF(T114&lt;=0,0,(rate_below/100)*MIN(T114,MAX(0,ceiling-D114))+(rate_above/100)*(T114-MIN(T114,MAX(0,ceiling-D114))))</f>
        <v/>
      </c>
      <c r="V114" s="12">
        <f>T114+U114</f>
        <v/>
      </c>
      <c r="W114" s="13">
        <f>IF(AND(C114="F",M114&lt;O114,SUMIFS(Categories!$AH$5:$AH$11,Categories!$A$5:$A$11,B114)=1),1,0)</f>
        <v/>
      </c>
      <c r="X114" s="12">
        <f>IF(W114=1,O114-M114,0)</f>
        <v/>
      </c>
      <c r="Y114" s="11">
        <f>IF(AND(W114=1,SUMIFS(Categories!$AI$5:$AI$11,Categories!$A$5:$A$11,B114)&gt;0),X114/SUMIFS(Categories!$AI$5:$AI$11,Categories!$A$5:$A$11,B114),0)</f>
        <v/>
      </c>
      <c r="Z114" s="12">
        <f>Y114*SUMIFS(Categories!$AJ$5:$AJ$11,Categories!$A$5:$A$11,B114)</f>
        <v/>
      </c>
      <c r="AA114" s="12">
        <f>Z114*J114</f>
        <v/>
      </c>
      <c r="AB114" s="12">
        <f>IF(AA114&lt;=0,0,(rate_below/100)*MIN(AA114,MAX(0,ceiling-D114))+(rate_above/100)*(AA114-MIN(AA114,MAX(0,ceiling-D114))))</f>
        <v/>
      </c>
      <c r="AC114" s="12">
        <f>AA114+AB114</f>
        <v/>
      </c>
      <c r="AD114" s="13">
        <f>SUMPRODUCT(($B$5:$B$216=B114)*($M$5:$M$216&lt;M114))+SUMPRODUCT(($B$5:$B$216=B114)*($M$5:$M$216=M114)*(ROW($M$5:$M$216)&lt;ROW(M114)))+1</f>
        <v/>
      </c>
      <c r="AE114" s="13">
        <f>COUNTIF($B$5:$B$216,B114)</f>
        <v/>
      </c>
      <c r="AF114" s="13">
        <f>SUMPRODUCT(($B$5:$B$216=B114)*($C$5:$C$216=C114)*($M$5:$M$216&lt;M114))+SUMPRODUCT(($B$5:$B$216=B114)*($C$5:$C$216=C114)*($M$5:$M$216=M114)*(ROW($M$5:$M$216)&lt;ROW(M114)))+1</f>
        <v/>
      </c>
      <c r="AG114" s="13">
        <f>COUNTIFS($B$5:$B$216,B114,$C$5:$C$216,C114)</f>
        <v/>
      </c>
    </row>
    <row r="115">
      <c r="A115" s="9" t="inlineStr">
        <is>
          <t>E111</t>
        </is>
      </c>
      <c r="B115" s="9" t="inlineStr">
        <is>
          <t>Marketing</t>
        </is>
      </c>
      <c r="C115" s="9" t="inlineStr">
        <is>
          <t>F</t>
        </is>
      </c>
      <c r="D115" s="10" t="n">
        <v>22504.33</v>
      </c>
      <c r="E115" s="10" t="n">
        <v>2604.36</v>
      </c>
      <c r="F115" s="9" t="n">
        <v>8.199999999999999</v>
      </c>
      <c r="G115" s="9" t="n">
        <v>4</v>
      </c>
      <c r="H115" s="9" t="n">
        <v>1</v>
      </c>
      <c r="I115" s="9" t="n">
        <v>4</v>
      </c>
      <c r="J115" s="11">
        <f>H115*(I115/12)</f>
        <v/>
      </c>
      <c r="K115" s="12">
        <f>D115/J115</f>
        <v/>
      </c>
      <c r="L115" s="12">
        <f>E115/J115</f>
        <v/>
      </c>
      <c r="M115" s="12">
        <f>K115+L115</f>
        <v/>
      </c>
      <c r="N115" s="12">
        <f>D115+E115</f>
        <v/>
      </c>
      <c r="O115" s="12">
        <f>(SUMIFS($M$5:$M$216,$B$5:$B$216,B115,$AD$5:$AD$216,INT((AE115+1)/2))+SUMIFS($M$5:$M$216,$B$5:$B$216,B115,$AD$5:$AD$216,INT(AE115/2)+1))/2</f>
        <v/>
      </c>
      <c r="P115" s="13">
        <f>IF(AND(C115="F",M115&lt;O115,SUMIFS(Categories!$Z$5:$Z$11,Categories!$A$5:$A$11,B115)=1),1,0)</f>
        <v/>
      </c>
      <c r="Q115" s="12">
        <f>IF(P115=1,O115-M115,0)</f>
        <v/>
      </c>
      <c r="R115" s="11">
        <f>IF(AND(P115=1,SUMIFS(Categories!$AA$5:$AA$11,Categories!$A$5:$A$11,B115)&gt;0),Q115/SUMIFS(Categories!$AA$5:$AA$11,Categories!$A$5:$A$11,B115),0)</f>
        <v/>
      </c>
      <c r="S115" s="12">
        <f>R115*SUMIFS(Categories!$AB$5:$AB$11,Categories!$A$5:$A$11,B115)</f>
        <v/>
      </c>
      <c r="T115" s="12">
        <f>S115*J115</f>
        <v/>
      </c>
      <c r="U115" s="12">
        <f>IF(T115&lt;=0,0,(rate_below/100)*MIN(T115,MAX(0,ceiling-D115))+(rate_above/100)*(T115-MIN(T115,MAX(0,ceiling-D115))))</f>
        <v/>
      </c>
      <c r="V115" s="12">
        <f>T115+U115</f>
        <v/>
      </c>
      <c r="W115" s="13">
        <f>IF(AND(C115="F",M115&lt;O115,SUMIFS(Categories!$AH$5:$AH$11,Categories!$A$5:$A$11,B115)=1),1,0)</f>
        <v/>
      </c>
      <c r="X115" s="12">
        <f>IF(W115=1,O115-M115,0)</f>
        <v/>
      </c>
      <c r="Y115" s="11">
        <f>IF(AND(W115=1,SUMIFS(Categories!$AI$5:$AI$11,Categories!$A$5:$A$11,B115)&gt;0),X115/SUMIFS(Categories!$AI$5:$AI$11,Categories!$A$5:$A$11,B115),0)</f>
        <v/>
      </c>
      <c r="Z115" s="12">
        <f>Y115*SUMIFS(Categories!$AJ$5:$AJ$11,Categories!$A$5:$A$11,B115)</f>
        <v/>
      </c>
      <c r="AA115" s="12">
        <f>Z115*J115</f>
        <v/>
      </c>
      <c r="AB115" s="12">
        <f>IF(AA115&lt;=0,0,(rate_below/100)*MIN(AA115,MAX(0,ceiling-D115))+(rate_above/100)*(AA115-MIN(AA115,MAX(0,ceiling-D115))))</f>
        <v/>
      </c>
      <c r="AC115" s="12">
        <f>AA115+AB115</f>
        <v/>
      </c>
      <c r="AD115" s="13">
        <f>SUMPRODUCT(($B$5:$B$216=B115)*($M$5:$M$216&lt;M115))+SUMPRODUCT(($B$5:$B$216=B115)*($M$5:$M$216=M115)*(ROW($M$5:$M$216)&lt;ROW(M115)))+1</f>
        <v/>
      </c>
      <c r="AE115" s="13">
        <f>COUNTIF($B$5:$B$216,B115)</f>
        <v/>
      </c>
      <c r="AF115" s="13">
        <f>SUMPRODUCT(($B$5:$B$216=B115)*($C$5:$C$216=C115)*($M$5:$M$216&lt;M115))+SUMPRODUCT(($B$5:$B$216=B115)*($C$5:$C$216=C115)*($M$5:$M$216=M115)*(ROW($M$5:$M$216)&lt;ROW(M115)))+1</f>
        <v/>
      </c>
      <c r="AG115" s="13">
        <f>COUNTIFS($B$5:$B$216,B115,$C$5:$C$216,C115)</f>
        <v/>
      </c>
    </row>
    <row r="116">
      <c r="A116" s="9" t="inlineStr">
        <is>
          <t>E112</t>
        </is>
      </c>
      <c r="B116" s="9" t="inlineStr">
        <is>
          <t>Marketing</t>
        </is>
      </c>
      <c r="C116" s="9" t="inlineStr">
        <is>
          <t>M</t>
        </is>
      </c>
      <c r="D116" s="10" t="n">
        <v>53216.54</v>
      </c>
      <c r="E116" s="10" t="n">
        <v>4141.16</v>
      </c>
      <c r="F116" s="9" t="n">
        <v>4.9</v>
      </c>
      <c r="G116" s="9" t="n">
        <v>2</v>
      </c>
      <c r="H116" s="9" t="n">
        <v>1</v>
      </c>
      <c r="I116" s="9" t="n">
        <v>12</v>
      </c>
      <c r="J116" s="11">
        <f>H116*(I116/12)</f>
        <v/>
      </c>
      <c r="K116" s="12">
        <f>D116/J116</f>
        <v/>
      </c>
      <c r="L116" s="12">
        <f>E116/J116</f>
        <v/>
      </c>
      <c r="M116" s="12">
        <f>K116+L116</f>
        <v/>
      </c>
      <c r="N116" s="12">
        <f>D116+E116</f>
        <v/>
      </c>
      <c r="O116" s="12">
        <f>(SUMIFS($M$5:$M$216,$B$5:$B$216,B116,$AD$5:$AD$216,INT((AE116+1)/2))+SUMIFS($M$5:$M$216,$B$5:$B$216,B116,$AD$5:$AD$216,INT(AE116/2)+1))/2</f>
        <v/>
      </c>
      <c r="P116" s="13">
        <f>IF(AND(C116="F",M116&lt;O116,SUMIFS(Categories!$Z$5:$Z$11,Categories!$A$5:$A$11,B116)=1),1,0)</f>
        <v/>
      </c>
      <c r="Q116" s="12">
        <f>IF(P116=1,O116-M116,0)</f>
        <v/>
      </c>
      <c r="R116" s="11">
        <f>IF(AND(P116=1,SUMIFS(Categories!$AA$5:$AA$11,Categories!$A$5:$A$11,B116)&gt;0),Q116/SUMIFS(Categories!$AA$5:$AA$11,Categories!$A$5:$A$11,B116),0)</f>
        <v/>
      </c>
      <c r="S116" s="12">
        <f>R116*SUMIFS(Categories!$AB$5:$AB$11,Categories!$A$5:$A$11,B116)</f>
        <v/>
      </c>
      <c r="T116" s="12">
        <f>S116*J116</f>
        <v/>
      </c>
      <c r="U116" s="12">
        <f>IF(T116&lt;=0,0,(rate_below/100)*MIN(T116,MAX(0,ceiling-D116))+(rate_above/100)*(T116-MIN(T116,MAX(0,ceiling-D116))))</f>
        <v/>
      </c>
      <c r="V116" s="12">
        <f>T116+U116</f>
        <v/>
      </c>
      <c r="W116" s="13">
        <f>IF(AND(C116="F",M116&lt;O116,SUMIFS(Categories!$AH$5:$AH$11,Categories!$A$5:$A$11,B116)=1),1,0)</f>
        <v/>
      </c>
      <c r="X116" s="12">
        <f>IF(W116=1,O116-M116,0)</f>
        <v/>
      </c>
      <c r="Y116" s="11">
        <f>IF(AND(W116=1,SUMIFS(Categories!$AI$5:$AI$11,Categories!$A$5:$A$11,B116)&gt;0),X116/SUMIFS(Categories!$AI$5:$AI$11,Categories!$A$5:$A$11,B116),0)</f>
        <v/>
      </c>
      <c r="Z116" s="12">
        <f>Y116*SUMIFS(Categories!$AJ$5:$AJ$11,Categories!$A$5:$A$11,B116)</f>
        <v/>
      </c>
      <c r="AA116" s="12">
        <f>Z116*J116</f>
        <v/>
      </c>
      <c r="AB116" s="12">
        <f>IF(AA116&lt;=0,0,(rate_below/100)*MIN(AA116,MAX(0,ceiling-D116))+(rate_above/100)*(AA116-MIN(AA116,MAX(0,ceiling-D116))))</f>
        <v/>
      </c>
      <c r="AC116" s="12">
        <f>AA116+AB116</f>
        <v/>
      </c>
      <c r="AD116" s="13">
        <f>SUMPRODUCT(($B$5:$B$216=B116)*($M$5:$M$216&lt;M116))+SUMPRODUCT(($B$5:$B$216=B116)*($M$5:$M$216=M116)*(ROW($M$5:$M$216)&lt;ROW(M116)))+1</f>
        <v/>
      </c>
      <c r="AE116" s="13">
        <f>COUNTIF($B$5:$B$216,B116)</f>
        <v/>
      </c>
      <c r="AF116" s="13">
        <f>SUMPRODUCT(($B$5:$B$216=B116)*($C$5:$C$216=C116)*($M$5:$M$216&lt;M116))+SUMPRODUCT(($B$5:$B$216=B116)*($C$5:$C$216=C116)*($M$5:$M$216=M116)*(ROW($M$5:$M$216)&lt;ROW(M116)))+1</f>
        <v/>
      </c>
      <c r="AG116" s="13">
        <f>COUNTIFS($B$5:$B$216,B116,$C$5:$C$216,C116)</f>
        <v/>
      </c>
    </row>
    <row r="117">
      <c r="A117" s="9" t="inlineStr">
        <is>
          <t>E113</t>
        </is>
      </c>
      <c r="B117" s="9" t="inlineStr">
        <is>
          <t>Marketing</t>
        </is>
      </c>
      <c r="C117" s="9" t="inlineStr">
        <is>
          <t>M</t>
        </is>
      </c>
      <c r="D117" s="10" t="n">
        <v>59381.08</v>
      </c>
      <c r="E117" s="10" t="n">
        <v>6972.95</v>
      </c>
      <c r="F117" s="9" t="n">
        <v>5.9</v>
      </c>
      <c r="G117" s="9" t="n">
        <v>3</v>
      </c>
      <c r="H117" s="9" t="n">
        <v>1</v>
      </c>
      <c r="I117" s="9" t="n">
        <v>12</v>
      </c>
      <c r="J117" s="11">
        <f>H117*(I117/12)</f>
        <v/>
      </c>
      <c r="K117" s="12">
        <f>D117/J117</f>
        <v/>
      </c>
      <c r="L117" s="12">
        <f>E117/J117</f>
        <v/>
      </c>
      <c r="M117" s="12">
        <f>K117+L117</f>
        <v/>
      </c>
      <c r="N117" s="12">
        <f>D117+E117</f>
        <v/>
      </c>
      <c r="O117" s="12">
        <f>(SUMIFS($M$5:$M$216,$B$5:$B$216,B117,$AD$5:$AD$216,INT((AE117+1)/2))+SUMIFS($M$5:$M$216,$B$5:$B$216,B117,$AD$5:$AD$216,INT(AE117/2)+1))/2</f>
        <v/>
      </c>
      <c r="P117" s="13">
        <f>IF(AND(C117="F",M117&lt;O117,SUMIFS(Categories!$Z$5:$Z$11,Categories!$A$5:$A$11,B117)=1),1,0)</f>
        <v/>
      </c>
      <c r="Q117" s="12">
        <f>IF(P117=1,O117-M117,0)</f>
        <v/>
      </c>
      <c r="R117" s="11">
        <f>IF(AND(P117=1,SUMIFS(Categories!$AA$5:$AA$11,Categories!$A$5:$A$11,B117)&gt;0),Q117/SUMIFS(Categories!$AA$5:$AA$11,Categories!$A$5:$A$11,B117),0)</f>
        <v/>
      </c>
      <c r="S117" s="12">
        <f>R117*SUMIFS(Categories!$AB$5:$AB$11,Categories!$A$5:$A$11,B117)</f>
        <v/>
      </c>
      <c r="T117" s="12">
        <f>S117*J117</f>
        <v/>
      </c>
      <c r="U117" s="12">
        <f>IF(T117&lt;=0,0,(rate_below/100)*MIN(T117,MAX(0,ceiling-D117))+(rate_above/100)*(T117-MIN(T117,MAX(0,ceiling-D117))))</f>
        <v/>
      </c>
      <c r="V117" s="12">
        <f>T117+U117</f>
        <v/>
      </c>
      <c r="W117" s="13">
        <f>IF(AND(C117="F",M117&lt;O117,SUMIFS(Categories!$AH$5:$AH$11,Categories!$A$5:$A$11,B117)=1),1,0)</f>
        <v/>
      </c>
      <c r="X117" s="12">
        <f>IF(W117=1,O117-M117,0)</f>
        <v/>
      </c>
      <c r="Y117" s="11">
        <f>IF(AND(W117=1,SUMIFS(Categories!$AI$5:$AI$11,Categories!$A$5:$A$11,B117)&gt;0),X117/SUMIFS(Categories!$AI$5:$AI$11,Categories!$A$5:$A$11,B117),0)</f>
        <v/>
      </c>
      <c r="Z117" s="12">
        <f>Y117*SUMIFS(Categories!$AJ$5:$AJ$11,Categories!$A$5:$A$11,B117)</f>
        <v/>
      </c>
      <c r="AA117" s="12">
        <f>Z117*J117</f>
        <v/>
      </c>
      <c r="AB117" s="12">
        <f>IF(AA117&lt;=0,0,(rate_below/100)*MIN(AA117,MAX(0,ceiling-D117))+(rate_above/100)*(AA117-MIN(AA117,MAX(0,ceiling-D117))))</f>
        <v/>
      </c>
      <c r="AC117" s="12">
        <f>AA117+AB117</f>
        <v/>
      </c>
      <c r="AD117" s="13">
        <f>SUMPRODUCT(($B$5:$B$216=B117)*($M$5:$M$216&lt;M117))+SUMPRODUCT(($B$5:$B$216=B117)*($M$5:$M$216=M117)*(ROW($M$5:$M$216)&lt;ROW(M117)))+1</f>
        <v/>
      </c>
      <c r="AE117" s="13">
        <f>COUNTIF($B$5:$B$216,B117)</f>
        <v/>
      </c>
      <c r="AF117" s="13">
        <f>SUMPRODUCT(($B$5:$B$216=B117)*($C$5:$C$216=C117)*($M$5:$M$216&lt;M117))+SUMPRODUCT(($B$5:$B$216=B117)*($C$5:$C$216=C117)*($M$5:$M$216=M117)*(ROW($M$5:$M$216)&lt;ROW(M117)))+1</f>
        <v/>
      </c>
      <c r="AG117" s="13">
        <f>COUNTIFS($B$5:$B$216,B117,$C$5:$C$216,C117)</f>
        <v/>
      </c>
    </row>
    <row r="118">
      <c r="A118" s="9" t="inlineStr">
        <is>
          <t>E114</t>
        </is>
      </c>
      <c r="B118" s="9" t="inlineStr">
        <is>
          <t>Marketing</t>
        </is>
      </c>
      <c r="C118" s="9" t="inlineStr">
        <is>
          <t>M</t>
        </is>
      </c>
      <c r="D118" s="10" t="n">
        <v>51422.59</v>
      </c>
      <c r="E118" s="10" t="n">
        <v>5169.41</v>
      </c>
      <c r="F118" s="9" t="n">
        <v>2.2</v>
      </c>
      <c r="G118" s="9" t="n">
        <v>2</v>
      </c>
      <c r="H118" s="9" t="n">
        <v>1</v>
      </c>
      <c r="I118" s="9" t="n">
        <v>12</v>
      </c>
      <c r="J118" s="11">
        <f>H118*(I118/12)</f>
        <v/>
      </c>
      <c r="K118" s="12">
        <f>D118/J118</f>
        <v/>
      </c>
      <c r="L118" s="12">
        <f>E118/J118</f>
        <v/>
      </c>
      <c r="M118" s="12">
        <f>K118+L118</f>
        <v/>
      </c>
      <c r="N118" s="12">
        <f>D118+E118</f>
        <v/>
      </c>
      <c r="O118" s="12">
        <f>(SUMIFS($M$5:$M$216,$B$5:$B$216,B118,$AD$5:$AD$216,INT((AE118+1)/2))+SUMIFS($M$5:$M$216,$B$5:$B$216,B118,$AD$5:$AD$216,INT(AE118/2)+1))/2</f>
        <v/>
      </c>
      <c r="P118" s="13">
        <f>IF(AND(C118="F",M118&lt;O118,SUMIFS(Categories!$Z$5:$Z$11,Categories!$A$5:$A$11,B118)=1),1,0)</f>
        <v/>
      </c>
      <c r="Q118" s="12">
        <f>IF(P118=1,O118-M118,0)</f>
        <v/>
      </c>
      <c r="R118" s="11">
        <f>IF(AND(P118=1,SUMIFS(Categories!$AA$5:$AA$11,Categories!$A$5:$A$11,B118)&gt;0),Q118/SUMIFS(Categories!$AA$5:$AA$11,Categories!$A$5:$A$11,B118),0)</f>
        <v/>
      </c>
      <c r="S118" s="12">
        <f>R118*SUMIFS(Categories!$AB$5:$AB$11,Categories!$A$5:$A$11,B118)</f>
        <v/>
      </c>
      <c r="T118" s="12">
        <f>S118*J118</f>
        <v/>
      </c>
      <c r="U118" s="12">
        <f>IF(T118&lt;=0,0,(rate_below/100)*MIN(T118,MAX(0,ceiling-D118))+(rate_above/100)*(T118-MIN(T118,MAX(0,ceiling-D118))))</f>
        <v/>
      </c>
      <c r="V118" s="12">
        <f>T118+U118</f>
        <v/>
      </c>
      <c r="W118" s="13">
        <f>IF(AND(C118="F",M118&lt;O118,SUMIFS(Categories!$AH$5:$AH$11,Categories!$A$5:$A$11,B118)=1),1,0)</f>
        <v/>
      </c>
      <c r="X118" s="12">
        <f>IF(W118=1,O118-M118,0)</f>
        <v/>
      </c>
      <c r="Y118" s="11">
        <f>IF(AND(W118=1,SUMIFS(Categories!$AI$5:$AI$11,Categories!$A$5:$A$11,B118)&gt;0),X118/SUMIFS(Categories!$AI$5:$AI$11,Categories!$A$5:$A$11,B118),0)</f>
        <v/>
      </c>
      <c r="Z118" s="12">
        <f>Y118*SUMIFS(Categories!$AJ$5:$AJ$11,Categories!$A$5:$A$11,B118)</f>
        <v/>
      </c>
      <c r="AA118" s="12">
        <f>Z118*J118</f>
        <v/>
      </c>
      <c r="AB118" s="12">
        <f>IF(AA118&lt;=0,0,(rate_below/100)*MIN(AA118,MAX(0,ceiling-D118))+(rate_above/100)*(AA118-MIN(AA118,MAX(0,ceiling-D118))))</f>
        <v/>
      </c>
      <c r="AC118" s="12">
        <f>AA118+AB118</f>
        <v/>
      </c>
      <c r="AD118" s="13">
        <f>SUMPRODUCT(($B$5:$B$216=B118)*($M$5:$M$216&lt;M118))+SUMPRODUCT(($B$5:$B$216=B118)*($M$5:$M$216=M118)*(ROW($M$5:$M$216)&lt;ROW(M118)))+1</f>
        <v/>
      </c>
      <c r="AE118" s="13">
        <f>COUNTIF($B$5:$B$216,B118)</f>
        <v/>
      </c>
      <c r="AF118" s="13">
        <f>SUMPRODUCT(($B$5:$B$216=B118)*($C$5:$C$216=C118)*($M$5:$M$216&lt;M118))+SUMPRODUCT(($B$5:$B$216=B118)*($C$5:$C$216=C118)*($M$5:$M$216=M118)*(ROW($M$5:$M$216)&lt;ROW(M118)))+1</f>
        <v/>
      </c>
      <c r="AG118" s="13">
        <f>COUNTIFS($B$5:$B$216,B118,$C$5:$C$216,C118)</f>
        <v/>
      </c>
    </row>
    <row r="119">
      <c r="A119" s="9" t="inlineStr">
        <is>
          <t>E115</t>
        </is>
      </c>
      <c r="B119" s="9" t="inlineStr">
        <is>
          <t>Marketing</t>
        </is>
      </c>
      <c r="C119" s="9" t="inlineStr">
        <is>
          <t>F</t>
        </is>
      </c>
      <c r="D119" s="10" t="n">
        <v>72725.32000000001</v>
      </c>
      <c r="E119" s="10" t="n">
        <v>7868.06</v>
      </c>
      <c r="F119" s="9" t="n">
        <v>5.9</v>
      </c>
      <c r="G119" s="9" t="n">
        <v>4</v>
      </c>
      <c r="H119" s="9" t="n">
        <v>1</v>
      </c>
      <c r="I119" s="9" t="n">
        <v>12</v>
      </c>
      <c r="J119" s="11">
        <f>H119*(I119/12)</f>
        <v/>
      </c>
      <c r="K119" s="12">
        <f>D119/J119</f>
        <v/>
      </c>
      <c r="L119" s="12">
        <f>E119/J119</f>
        <v/>
      </c>
      <c r="M119" s="12">
        <f>K119+L119</f>
        <v/>
      </c>
      <c r="N119" s="12">
        <f>D119+E119</f>
        <v/>
      </c>
      <c r="O119" s="12">
        <f>(SUMIFS($M$5:$M$216,$B$5:$B$216,B119,$AD$5:$AD$216,INT((AE119+1)/2))+SUMIFS($M$5:$M$216,$B$5:$B$216,B119,$AD$5:$AD$216,INT(AE119/2)+1))/2</f>
        <v/>
      </c>
      <c r="P119" s="13">
        <f>IF(AND(C119="F",M119&lt;O119,SUMIFS(Categories!$Z$5:$Z$11,Categories!$A$5:$A$11,B119)=1),1,0)</f>
        <v/>
      </c>
      <c r="Q119" s="12">
        <f>IF(P119=1,O119-M119,0)</f>
        <v/>
      </c>
      <c r="R119" s="11">
        <f>IF(AND(P119=1,SUMIFS(Categories!$AA$5:$AA$11,Categories!$A$5:$A$11,B119)&gt;0),Q119/SUMIFS(Categories!$AA$5:$AA$11,Categories!$A$5:$A$11,B119),0)</f>
        <v/>
      </c>
      <c r="S119" s="12">
        <f>R119*SUMIFS(Categories!$AB$5:$AB$11,Categories!$A$5:$A$11,B119)</f>
        <v/>
      </c>
      <c r="T119" s="12">
        <f>S119*J119</f>
        <v/>
      </c>
      <c r="U119" s="12">
        <f>IF(T119&lt;=0,0,(rate_below/100)*MIN(T119,MAX(0,ceiling-D119))+(rate_above/100)*(T119-MIN(T119,MAX(0,ceiling-D119))))</f>
        <v/>
      </c>
      <c r="V119" s="12">
        <f>T119+U119</f>
        <v/>
      </c>
      <c r="W119" s="13">
        <f>IF(AND(C119="F",M119&lt;O119,SUMIFS(Categories!$AH$5:$AH$11,Categories!$A$5:$A$11,B119)=1),1,0)</f>
        <v/>
      </c>
      <c r="X119" s="12">
        <f>IF(W119=1,O119-M119,0)</f>
        <v/>
      </c>
      <c r="Y119" s="11">
        <f>IF(AND(W119=1,SUMIFS(Categories!$AI$5:$AI$11,Categories!$A$5:$A$11,B119)&gt;0),X119/SUMIFS(Categories!$AI$5:$AI$11,Categories!$A$5:$A$11,B119),0)</f>
        <v/>
      </c>
      <c r="Z119" s="12">
        <f>Y119*SUMIFS(Categories!$AJ$5:$AJ$11,Categories!$A$5:$A$11,B119)</f>
        <v/>
      </c>
      <c r="AA119" s="12">
        <f>Z119*J119</f>
        <v/>
      </c>
      <c r="AB119" s="12">
        <f>IF(AA119&lt;=0,0,(rate_below/100)*MIN(AA119,MAX(0,ceiling-D119))+(rate_above/100)*(AA119-MIN(AA119,MAX(0,ceiling-D119))))</f>
        <v/>
      </c>
      <c r="AC119" s="12">
        <f>AA119+AB119</f>
        <v/>
      </c>
      <c r="AD119" s="13">
        <f>SUMPRODUCT(($B$5:$B$216=B119)*($M$5:$M$216&lt;M119))+SUMPRODUCT(($B$5:$B$216=B119)*($M$5:$M$216=M119)*(ROW($M$5:$M$216)&lt;ROW(M119)))+1</f>
        <v/>
      </c>
      <c r="AE119" s="13">
        <f>COUNTIF($B$5:$B$216,B119)</f>
        <v/>
      </c>
      <c r="AF119" s="13">
        <f>SUMPRODUCT(($B$5:$B$216=B119)*($C$5:$C$216=C119)*($M$5:$M$216&lt;M119))+SUMPRODUCT(($B$5:$B$216=B119)*($C$5:$C$216=C119)*($M$5:$M$216=M119)*(ROW($M$5:$M$216)&lt;ROW(M119)))+1</f>
        <v/>
      </c>
      <c r="AG119" s="13">
        <f>COUNTIFS($B$5:$B$216,B119,$C$5:$C$216,C119)</f>
        <v/>
      </c>
    </row>
    <row r="120">
      <c r="A120" s="9" t="inlineStr">
        <is>
          <t>E116</t>
        </is>
      </c>
      <c r="B120" s="9" t="inlineStr">
        <is>
          <t>Marketing</t>
        </is>
      </c>
      <c r="C120" s="9" t="inlineStr">
        <is>
          <t>M</t>
        </is>
      </c>
      <c r="D120" s="10" t="n">
        <v>72811.42</v>
      </c>
      <c r="E120" s="10" t="n">
        <v>6287.69</v>
      </c>
      <c r="F120" s="9" t="n">
        <v>11.9</v>
      </c>
      <c r="G120" s="9" t="n">
        <v>5</v>
      </c>
      <c r="H120" s="9" t="n">
        <v>1</v>
      </c>
      <c r="I120" s="9" t="n">
        <v>12</v>
      </c>
      <c r="J120" s="11">
        <f>H120*(I120/12)</f>
        <v/>
      </c>
      <c r="K120" s="12">
        <f>D120/J120</f>
        <v/>
      </c>
      <c r="L120" s="12">
        <f>E120/J120</f>
        <v/>
      </c>
      <c r="M120" s="12">
        <f>K120+L120</f>
        <v/>
      </c>
      <c r="N120" s="12">
        <f>D120+E120</f>
        <v/>
      </c>
      <c r="O120" s="12">
        <f>(SUMIFS($M$5:$M$216,$B$5:$B$216,B120,$AD$5:$AD$216,INT((AE120+1)/2))+SUMIFS($M$5:$M$216,$B$5:$B$216,B120,$AD$5:$AD$216,INT(AE120/2)+1))/2</f>
        <v/>
      </c>
      <c r="P120" s="13">
        <f>IF(AND(C120="F",M120&lt;O120,SUMIFS(Categories!$Z$5:$Z$11,Categories!$A$5:$A$11,B120)=1),1,0)</f>
        <v/>
      </c>
      <c r="Q120" s="12">
        <f>IF(P120=1,O120-M120,0)</f>
        <v/>
      </c>
      <c r="R120" s="11">
        <f>IF(AND(P120=1,SUMIFS(Categories!$AA$5:$AA$11,Categories!$A$5:$A$11,B120)&gt;0),Q120/SUMIFS(Categories!$AA$5:$AA$11,Categories!$A$5:$A$11,B120),0)</f>
        <v/>
      </c>
      <c r="S120" s="12">
        <f>R120*SUMIFS(Categories!$AB$5:$AB$11,Categories!$A$5:$A$11,B120)</f>
        <v/>
      </c>
      <c r="T120" s="12">
        <f>S120*J120</f>
        <v/>
      </c>
      <c r="U120" s="12">
        <f>IF(T120&lt;=0,0,(rate_below/100)*MIN(T120,MAX(0,ceiling-D120))+(rate_above/100)*(T120-MIN(T120,MAX(0,ceiling-D120))))</f>
        <v/>
      </c>
      <c r="V120" s="12">
        <f>T120+U120</f>
        <v/>
      </c>
      <c r="W120" s="13">
        <f>IF(AND(C120="F",M120&lt;O120,SUMIFS(Categories!$AH$5:$AH$11,Categories!$A$5:$A$11,B120)=1),1,0)</f>
        <v/>
      </c>
      <c r="X120" s="12">
        <f>IF(W120=1,O120-M120,0)</f>
        <v/>
      </c>
      <c r="Y120" s="11">
        <f>IF(AND(W120=1,SUMIFS(Categories!$AI$5:$AI$11,Categories!$A$5:$A$11,B120)&gt;0),X120/SUMIFS(Categories!$AI$5:$AI$11,Categories!$A$5:$A$11,B120),0)</f>
        <v/>
      </c>
      <c r="Z120" s="12">
        <f>Y120*SUMIFS(Categories!$AJ$5:$AJ$11,Categories!$A$5:$A$11,B120)</f>
        <v/>
      </c>
      <c r="AA120" s="12">
        <f>Z120*J120</f>
        <v/>
      </c>
      <c r="AB120" s="12">
        <f>IF(AA120&lt;=0,0,(rate_below/100)*MIN(AA120,MAX(0,ceiling-D120))+(rate_above/100)*(AA120-MIN(AA120,MAX(0,ceiling-D120))))</f>
        <v/>
      </c>
      <c r="AC120" s="12">
        <f>AA120+AB120</f>
        <v/>
      </c>
      <c r="AD120" s="13">
        <f>SUMPRODUCT(($B$5:$B$216=B120)*($M$5:$M$216&lt;M120))+SUMPRODUCT(($B$5:$B$216=B120)*($M$5:$M$216=M120)*(ROW($M$5:$M$216)&lt;ROW(M120)))+1</f>
        <v/>
      </c>
      <c r="AE120" s="13">
        <f>COUNTIF($B$5:$B$216,B120)</f>
        <v/>
      </c>
      <c r="AF120" s="13">
        <f>SUMPRODUCT(($B$5:$B$216=B120)*($C$5:$C$216=C120)*($M$5:$M$216&lt;M120))+SUMPRODUCT(($B$5:$B$216=B120)*($C$5:$C$216=C120)*($M$5:$M$216=M120)*(ROW($M$5:$M$216)&lt;ROW(M120)))+1</f>
        <v/>
      </c>
      <c r="AG120" s="13">
        <f>COUNTIFS($B$5:$B$216,B120,$C$5:$C$216,C120)</f>
        <v/>
      </c>
    </row>
    <row r="121">
      <c r="A121" s="9" t="inlineStr">
        <is>
          <t>E117</t>
        </is>
      </c>
      <c r="B121" s="9" t="inlineStr">
        <is>
          <t>Manufacturing</t>
        </is>
      </c>
      <c r="C121" s="9" t="inlineStr">
        <is>
          <t>M</t>
        </is>
      </c>
      <c r="D121" s="10" t="n">
        <v>50405.13</v>
      </c>
      <c r="E121" s="10" t="n">
        <v>3737.48</v>
      </c>
      <c r="F121" s="9" t="n">
        <v>12.4</v>
      </c>
      <c r="G121" s="9" t="n">
        <v>3</v>
      </c>
      <c r="H121" s="9" t="n">
        <v>1</v>
      </c>
      <c r="I121" s="9" t="n">
        <v>12</v>
      </c>
      <c r="J121" s="11">
        <f>H121*(I121/12)</f>
        <v/>
      </c>
      <c r="K121" s="12">
        <f>D121/J121</f>
        <v/>
      </c>
      <c r="L121" s="12">
        <f>E121/J121</f>
        <v/>
      </c>
      <c r="M121" s="12">
        <f>K121+L121</f>
        <v/>
      </c>
      <c r="N121" s="12">
        <f>D121+E121</f>
        <v/>
      </c>
      <c r="O121" s="12">
        <f>(SUMIFS($M$5:$M$216,$B$5:$B$216,B121,$AD$5:$AD$216,INT((AE121+1)/2))+SUMIFS($M$5:$M$216,$B$5:$B$216,B121,$AD$5:$AD$216,INT(AE121/2)+1))/2</f>
        <v/>
      </c>
      <c r="P121" s="13">
        <f>IF(AND(C121="F",M121&lt;O121,SUMIFS(Categories!$Z$5:$Z$11,Categories!$A$5:$A$11,B121)=1),1,0)</f>
        <v/>
      </c>
      <c r="Q121" s="12">
        <f>IF(P121=1,O121-M121,0)</f>
        <v/>
      </c>
      <c r="R121" s="11">
        <f>IF(AND(P121=1,SUMIFS(Categories!$AA$5:$AA$11,Categories!$A$5:$A$11,B121)&gt;0),Q121/SUMIFS(Categories!$AA$5:$AA$11,Categories!$A$5:$A$11,B121),0)</f>
        <v/>
      </c>
      <c r="S121" s="12">
        <f>R121*SUMIFS(Categories!$AB$5:$AB$11,Categories!$A$5:$A$11,B121)</f>
        <v/>
      </c>
      <c r="T121" s="12">
        <f>S121*J121</f>
        <v/>
      </c>
      <c r="U121" s="12">
        <f>IF(T121&lt;=0,0,(rate_below/100)*MIN(T121,MAX(0,ceiling-D121))+(rate_above/100)*(T121-MIN(T121,MAX(0,ceiling-D121))))</f>
        <v/>
      </c>
      <c r="V121" s="12">
        <f>T121+U121</f>
        <v/>
      </c>
      <c r="W121" s="13">
        <f>IF(AND(C121="F",M121&lt;O121,SUMIFS(Categories!$AH$5:$AH$11,Categories!$A$5:$A$11,B121)=1),1,0)</f>
        <v/>
      </c>
      <c r="X121" s="12">
        <f>IF(W121=1,O121-M121,0)</f>
        <v/>
      </c>
      <c r="Y121" s="11">
        <f>IF(AND(W121=1,SUMIFS(Categories!$AI$5:$AI$11,Categories!$A$5:$A$11,B121)&gt;0),X121/SUMIFS(Categories!$AI$5:$AI$11,Categories!$A$5:$A$11,B121),0)</f>
        <v/>
      </c>
      <c r="Z121" s="12">
        <f>Y121*SUMIFS(Categories!$AJ$5:$AJ$11,Categories!$A$5:$A$11,B121)</f>
        <v/>
      </c>
      <c r="AA121" s="12">
        <f>Z121*J121</f>
        <v/>
      </c>
      <c r="AB121" s="12">
        <f>IF(AA121&lt;=0,0,(rate_below/100)*MIN(AA121,MAX(0,ceiling-D121))+(rate_above/100)*(AA121-MIN(AA121,MAX(0,ceiling-D121))))</f>
        <v/>
      </c>
      <c r="AC121" s="12">
        <f>AA121+AB121</f>
        <v/>
      </c>
      <c r="AD121" s="13">
        <f>SUMPRODUCT(($B$5:$B$216=B121)*($M$5:$M$216&lt;M121))+SUMPRODUCT(($B$5:$B$216=B121)*($M$5:$M$216=M121)*(ROW($M$5:$M$216)&lt;ROW(M121)))+1</f>
        <v/>
      </c>
      <c r="AE121" s="13">
        <f>COUNTIF($B$5:$B$216,B121)</f>
        <v/>
      </c>
      <c r="AF121" s="13">
        <f>SUMPRODUCT(($B$5:$B$216=B121)*($C$5:$C$216=C121)*($M$5:$M$216&lt;M121))+SUMPRODUCT(($B$5:$B$216=B121)*($C$5:$C$216=C121)*($M$5:$M$216=M121)*(ROW($M$5:$M$216)&lt;ROW(M121)))+1</f>
        <v/>
      </c>
      <c r="AG121" s="13">
        <f>COUNTIFS($B$5:$B$216,B121,$C$5:$C$216,C121)</f>
        <v/>
      </c>
    </row>
    <row r="122">
      <c r="A122" s="9" t="inlineStr">
        <is>
          <t>E118</t>
        </is>
      </c>
      <c r="B122" s="9" t="inlineStr">
        <is>
          <t>Manufacturing</t>
        </is>
      </c>
      <c r="C122" s="9" t="inlineStr">
        <is>
          <t>M</t>
        </is>
      </c>
      <c r="D122" s="10" t="n">
        <v>22121.94</v>
      </c>
      <c r="E122" s="10" t="n">
        <v>1652.27</v>
      </c>
      <c r="F122" s="9" t="n">
        <v>11.3</v>
      </c>
      <c r="G122" s="9" t="n">
        <v>2</v>
      </c>
      <c r="H122" s="9" t="n">
        <v>0.5</v>
      </c>
      <c r="I122" s="9" t="n">
        <v>12</v>
      </c>
      <c r="J122" s="11">
        <f>H122*(I122/12)</f>
        <v/>
      </c>
      <c r="K122" s="12">
        <f>D122/J122</f>
        <v/>
      </c>
      <c r="L122" s="12">
        <f>E122/J122</f>
        <v/>
      </c>
      <c r="M122" s="12">
        <f>K122+L122</f>
        <v/>
      </c>
      <c r="N122" s="12">
        <f>D122+E122</f>
        <v/>
      </c>
      <c r="O122" s="12">
        <f>(SUMIFS($M$5:$M$216,$B$5:$B$216,B122,$AD$5:$AD$216,INT((AE122+1)/2))+SUMIFS($M$5:$M$216,$B$5:$B$216,B122,$AD$5:$AD$216,INT(AE122/2)+1))/2</f>
        <v/>
      </c>
      <c r="P122" s="13">
        <f>IF(AND(C122="F",M122&lt;O122,SUMIFS(Categories!$Z$5:$Z$11,Categories!$A$5:$A$11,B122)=1),1,0)</f>
        <v/>
      </c>
      <c r="Q122" s="12">
        <f>IF(P122=1,O122-M122,0)</f>
        <v/>
      </c>
      <c r="R122" s="11">
        <f>IF(AND(P122=1,SUMIFS(Categories!$AA$5:$AA$11,Categories!$A$5:$A$11,B122)&gt;0),Q122/SUMIFS(Categories!$AA$5:$AA$11,Categories!$A$5:$A$11,B122),0)</f>
        <v/>
      </c>
      <c r="S122" s="12">
        <f>R122*SUMIFS(Categories!$AB$5:$AB$11,Categories!$A$5:$A$11,B122)</f>
        <v/>
      </c>
      <c r="T122" s="12">
        <f>S122*J122</f>
        <v/>
      </c>
      <c r="U122" s="12">
        <f>IF(T122&lt;=0,0,(rate_below/100)*MIN(T122,MAX(0,ceiling-D122))+(rate_above/100)*(T122-MIN(T122,MAX(0,ceiling-D122))))</f>
        <v/>
      </c>
      <c r="V122" s="12">
        <f>T122+U122</f>
        <v/>
      </c>
      <c r="W122" s="13">
        <f>IF(AND(C122="F",M122&lt;O122,SUMIFS(Categories!$AH$5:$AH$11,Categories!$A$5:$A$11,B122)=1),1,0)</f>
        <v/>
      </c>
      <c r="X122" s="12">
        <f>IF(W122=1,O122-M122,0)</f>
        <v/>
      </c>
      <c r="Y122" s="11">
        <f>IF(AND(W122=1,SUMIFS(Categories!$AI$5:$AI$11,Categories!$A$5:$A$11,B122)&gt;0),X122/SUMIFS(Categories!$AI$5:$AI$11,Categories!$A$5:$A$11,B122),0)</f>
        <v/>
      </c>
      <c r="Z122" s="12">
        <f>Y122*SUMIFS(Categories!$AJ$5:$AJ$11,Categories!$A$5:$A$11,B122)</f>
        <v/>
      </c>
      <c r="AA122" s="12">
        <f>Z122*J122</f>
        <v/>
      </c>
      <c r="AB122" s="12">
        <f>IF(AA122&lt;=0,0,(rate_below/100)*MIN(AA122,MAX(0,ceiling-D122))+(rate_above/100)*(AA122-MIN(AA122,MAX(0,ceiling-D122))))</f>
        <v/>
      </c>
      <c r="AC122" s="12">
        <f>AA122+AB122</f>
        <v/>
      </c>
      <c r="AD122" s="13">
        <f>SUMPRODUCT(($B$5:$B$216=B122)*($M$5:$M$216&lt;M122))+SUMPRODUCT(($B$5:$B$216=B122)*($M$5:$M$216=M122)*(ROW($M$5:$M$216)&lt;ROW(M122)))+1</f>
        <v/>
      </c>
      <c r="AE122" s="13">
        <f>COUNTIF($B$5:$B$216,B122)</f>
        <v/>
      </c>
      <c r="AF122" s="13">
        <f>SUMPRODUCT(($B$5:$B$216=B122)*($C$5:$C$216=C122)*($M$5:$M$216&lt;M122))+SUMPRODUCT(($B$5:$B$216=B122)*($C$5:$C$216=C122)*($M$5:$M$216=M122)*(ROW($M$5:$M$216)&lt;ROW(M122)))+1</f>
        <v/>
      </c>
      <c r="AG122" s="13">
        <f>COUNTIFS($B$5:$B$216,B122,$C$5:$C$216,C122)</f>
        <v/>
      </c>
    </row>
    <row r="123">
      <c r="A123" s="9" t="inlineStr">
        <is>
          <t>E119</t>
        </is>
      </c>
      <c r="B123" s="9" t="inlineStr">
        <is>
          <t>Manufacturing</t>
        </is>
      </c>
      <c r="C123" s="9" t="inlineStr">
        <is>
          <t>M</t>
        </is>
      </c>
      <c r="D123" s="10" t="n">
        <v>62101.14</v>
      </c>
      <c r="E123" s="10" t="n">
        <v>4655.57</v>
      </c>
      <c r="F123" s="9" t="n">
        <v>15.7</v>
      </c>
      <c r="G123" s="9" t="n">
        <v>4</v>
      </c>
      <c r="H123" s="9" t="n">
        <v>1</v>
      </c>
      <c r="I123" s="9" t="n">
        <v>12</v>
      </c>
      <c r="J123" s="11">
        <f>H123*(I123/12)</f>
        <v/>
      </c>
      <c r="K123" s="12">
        <f>D123/J123</f>
        <v/>
      </c>
      <c r="L123" s="12">
        <f>E123/J123</f>
        <v/>
      </c>
      <c r="M123" s="12">
        <f>K123+L123</f>
        <v/>
      </c>
      <c r="N123" s="12">
        <f>D123+E123</f>
        <v/>
      </c>
      <c r="O123" s="12">
        <f>(SUMIFS($M$5:$M$216,$B$5:$B$216,B123,$AD$5:$AD$216,INT((AE123+1)/2))+SUMIFS($M$5:$M$216,$B$5:$B$216,B123,$AD$5:$AD$216,INT(AE123/2)+1))/2</f>
        <v/>
      </c>
      <c r="P123" s="13">
        <f>IF(AND(C123="F",M123&lt;O123,SUMIFS(Categories!$Z$5:$Z$11,Categories!$A$5:$A$11,B123)=1),1,0)</f>
        <v/>
      </c>
      <c r="Q123" s="12">
        <f>IF(P123=1,O123-M123,0)</f>
        <v/>
      </c>
      <c r="R123" s="11">
        <f>IF(AND(P123=1,SUMIFS(Categories!$AA$5:$AA$11,Categories!$A$5:$A$11,B123)&gt;0),Q123/SUMIFS(Categories!$AA$5:$AA$11,Categories!$A$5:$A$11,B123),0)</f>
        <v/>
      </c>
      <c r="S123" s="12">
        <f>R123*SUMIFS(Categories!$AB$5:$AB$11,Categories!$A$5:$A$11,B123)</f>
        <v/>
      </c>
      <c r="T123" s="12">
        <f>S123*J123</f>
        <v/>
      </c>
      <c r="U123" s="12">
        <f>IF(T123&lt;=0,0,(rate_below/100)*MIN(T123,MAX(0,ceiling-D123))+(rate_above/100)*(T123-MIN(T123,MAX(0,ceiling-D123))))</f>
        <v/>
      </c>
      <c r="V123" s="12">
        <f>T123+U123</f>
        <v/>
      </c>
      <c r="W123" s="13">
        <f>IF(AND(C123="F",M123&lt;O123,SUMIFS(Categories!$AH$5:$AH$11,Categories!$A$5:$A$11,B123)=1),1,0)</f>
        <v/>
      </c>
      <c r="X123" s="12">
        <f>IF(W123=1,O123-M123,0)</f>
        <v/>
      </c>
      <c r="Y123" s="11">
        <f>IF(AND(W123=1,SUMIFS(Categories!$AI$5:$AI$11,Categories!$A$5:$A$11,B123)&gt;0),X123/SUMIFS(Categories!$AI$5:$AI$11,Categories!$A$5:$A$11,B123),0)</f>
        <v/>
      </c>
      <c r="Z123" s="12">
        <f>Y123*SUMIFS(Categories!$AJ$5:$AJ$11,Categories!$A$5:$A$11,B123)</f>
        <v/>
      </c>
      <c r="AA123" s="12">
        <f>Z123*J123</f>
        <v/>
      </c>
      <c r="AB123" s="12">
        <f>IF(AA123&lt;=0,0,(rate_below/100)*MIN(AA123,MAX(0,ceiling-D123))+(rate_above/100)*(AA123-MIN(AA123,MAX(0,ceiling-D123))))</f>
        <v/>
      </c>
      <c r="AC123" s="12">
        <f>AA123+AB123</f>
        <v/>
      </c>
      <c r="AD123" s="13">
        <f>SUMPRODUCT(($B$5:$B$216=B123)*($M$5:$M$216&lt;M123))+SUMPRODUCT(($B$5:$B$216=B123)*($M$5:$M$216=M123)*(ROW($M$5:$M$216)&lt;ROW(M123)))+1</f>
        <v/>
      </c>
      <c r="AE123" s="13">
        <f>COUNTIF($B$5:$B$216,B123)</f>
        <v/>
      </c>
      <c r="AF123" s="13">
        <f>SUMPRODUCT(($B$5:$B$216=B123)*($C$5:$C$216=C123)*($M$5:$M$216&lt;M123))+SUMPRODUCT(($B$5:$B$216=B123)*($C$5:$C$216=C123)*($M$5:$M$216=M123)*(ROW($M$5:$M$216)&lt;ROW(M123)))+1</f>
        <v/>
      </c>
      <c r="AG123" s="13">
        <f>COUNTIFS($B$5:$B$216,B123,$C$5:$C$216,C123)</f>
        <v/>
      </c>
    </row>
    <row r="124">
      <c r="A124" s="9" t="inlineStr">
        <is>
          <t>E120</t>
        </is>
      </c>
      <c r="B124" s="9" t="inlineStr">
        <is>
          <t>Manufacturing</t>
        </is>
      </c>
      <c r="C124" s="9" t="inlineStr">
        <is>
          <t>M</t>
        </is>
      </c>
      <c r="D124" s="10" t="n">
        <v>54245.4</v>
      </c>
      <c r="E124" s="10" t="n">
        <v>2824.28</v>
      </c>
      <c r="F124" s="9" t="n">
        <v>10.6</v>
      </c>
      <c r="G124" s="9" t="n">
        <v>4</v>
      </c>
      <c r="H124" s="9" t="n">
        <v>1</v>
      </c>
      <c r="I124" s="9" t="n">
        <v>12</v>
      </c>
      <c r="J124" s="11">
        <f>H124*(I124/12)</f>
        <v/>
      </c>
      <c r="K124" s="12">
        <f>D124/J124</f>
        <v/>
      </c>
      <c r="L124" s="12">
        <f>E124/J124</f>
        <v/>
      </c>
      <c r="M124" s="12">
        <f>K124+L124</f>
        <v/>
      </c>
      <c r="N124" s="12">
        <f>D124+E124</f>
        <v/>
      </c>
      <c r="O124" s="12">
        <f>(SUMIFS($M$5:$M$216,$B$5:$B$216,B124,$AD$5:$AD$216,INT((AE124+1)/2))+SUMIFS($M$5:$M$216,$B$5:$B$216,B124,$AD$5:$AD$216,INT(AE124/2)+1))/2</f>
        <v/>
      </c>
      <c r="P124" s="13">
        <f>IF(AND(C124="F",M124&lt;O124,SUMIFS(Categories!$Z$5:$Z$11,Categories!$A$5:$A$11,B124)=1),1,0)</f>
        <v/>
      </c>
      <c r="Q124" s="12">
        <f>IF(P124=1,O124-M124,0)</f>
        <v/>
      </c>
      <c r="R124" s="11">
        <f>IF(AND(P124=1,SUMIFS(Categories!$AA$5:$AA$11,Categories!$A$5:$A$11,B124)&gt;0),Q124/SUMIFS(Categories!$AA$5:$AA$11,Categories!$A$5:$A$11,B124),0)</f>
        <v/>
      </c>
      <c r="S124" s="12">
        <f>R124*SUMIFS(Categories!$AB$5:$AB$11,Categories!$A$5:$A$11,B124)</f>
        <v/>
      </c>
      <c r="T124" s="12">
        <f>S124*J124</f>
        <v/>
      </c>
      <c r="U124" s="12">
        <f>IF(T124&lt;=0,0,(rate_below/100)*MIN(T124,MAX(0,ceiling-D124))+(rate_above/100)*(T124-MIN(T124,MAX(0,ceiling-D124))))</f>
        <v/>
      </c>
      <c r="V124" s="12">
        <f>T124+U124</f>
        <v/>
      </c>
      <c r="W124" s="13">
        <f>IF(AND(C124="F",M124&lt;O124,SUMIFS(Categories!$AH$5:$AH$11,Categories!$A$5:$A$11,B124)=1),1,0)</f>
        <v/>
      </c>
      <c r="X124" s="12">
        <f>IF(W124=1,O124-M124,0)</f>
        <v/>
      </c>
      <c r="Y124" s="11">
        <f>IF(AND(W124=1,SUMIFS(Categories!$AI$5:$AI$11,Categories!$A$5:$A$11,B124)&gt;0),X124/SUMIFS(Categories!$AI$5:$AI$11,Categories!$A$5:$A$11,B124),0)</f>
        <v/>
      </c>
      <c r="Z124" s="12">
        <f>Y124*SUMIFS(Categories!$AJ$5:$AJ$11,Categories!$A$5:$A$11,B124)</f>
        <v/>
      </c>
      <c r="AA124" s="12">
        <f>Z124*J124</f>
        <v/>
      </c>
      <c r="AB124" s="12">
        <f>IF(AA124&lt;=0,0,(rate_below/100)*MIN(AA124,MAX(0,ceiling-D124))+(rate_above/100)*(AA124-MIN(AA124,MAX(0,ceiling-D124))))</f>
        <v/>
      </c>
      <c r="AC124" s="12">
        <f>AA124+AB124</f>
        <v/>
      </c>
      <c r="AD124" s="13">
        <f>SUMPRODUCT(($B$5:$B$216=B124)*($M$5:$M$216&lt;M124))+SUMPRODUCT(($B$5:$B$216=B124)*($M$5:$M$216=M124)*(ROW($M$5:$M$216)&lt;ROW(M124)))+1</f>
        <v/>
      </c>
      <c r="AE124" s="13">
        <f>COUNTIF($B$5:$B$216,B124)</f>
        <v/>
      </c>
      <c r="AF124" s="13">
        <f>SUMPRODUCT(($B$5:$B$216=B124)*($C$5:$C$216=C124)*($M$5:$M$216&lt;M124))+SUMPRODUCT(($B$5:$B$216=B124)*($C$5:$C$216=C124)*($M$5:$M$216=M124)*(ROW($M$5:$M$216)&lt;ROW(M124)))+1</f>
        <v/>
      </c>
      <c r="AG124" s="13">
        <f>COUNTIFS($B$5:$B$216,B124,$C$5:$C$216,C124)</f>
        <v/>
      </c>
    </row>
    <row r="125">
      <c r="A125" s="9" t="inlineStr">
        <is>
          <t>E121</t>
        </is>
      </c>
      <c r="B125" s="9" t="inlineStr">
        <is>
          <t>Manufacturing</t>
        </is>
      </c>
      <c r="C125" s="9" t="inlineStr">
        <is>
          <t>F</t>
        </is>
      </c>
      <c r="D125" s="10" t="n">
        <v>47307.07</v>
      </c>
      <c r="E125" s="10" t="n">
        <v>3288.73</v>
      </c>
      <c r="F125" s="9" t="n">
        <v>8</v>
      </c>
      <c r="G125" s="9" t="n">
        <v>3</v>
      </c>
      <c r="H125" s="9" t="n">
        <v>1</v>
      </c>
      <c r="I125" s="9" t="n">
        <v>12</v>
      </c>
      <c r="J125" s="11">
        <f>H125*(I125/12)</f>
        <v/>
      </c>
      <c r="K125" s="12">
        <f>D125/J125</f>
        <v/>
      </c>
      <c r="L125" s="12">
        <f>E125/J125</f>
        <v/>
      </c>
      <c r="M125" s="12">
        <f>K125+L125</f>
        <v/>
      </c>
      <c r="N125" s="12">
        <f>D125+E125</f>
        <v/>
      </c>
      <c r="O125" s="12">
        <f>(SUMIFS($M$5:$M$216,$B$5:$B$216,B125,$AD$5:$AD$216,INT((AE125+1)/2))+SUMIFS($M$5:$M$216,$B$5:$B$216,B125,$AD$5:$AD$216,INT(AE125/2)+1))/2</f>
        <v/>
      </c>
      <c r="P125" s="13">
        <f>IF(AND(C125="F",M125&lt;O125,SUMIFS(Categories!$Z$5:$Z$11,Categories!$A$5:$A$11,B125)=1),1,0)</f>
        <v/>
      </c>
      <c r="Q125" s="12">
        <f>IF(P125=1,O125-M125,0)</f>
        <v/>
      </c>
      <c r="R125" s="11">
        <f>IF(AND(P125=1,SUMIFS(Categories!$AA$5:$AA$11,Categories!$A$5:$A$11,B125)&gt;0),Q125/SUMIFS(Categories!$AA$5:$AA$11,Categories!$A$5:$A$11,B125),0)</f>
        <v/>
      </c>
      <c r="S125" s="12">
        <f>R125*SUMIFS(Categories!$AB$5:$AB$11,Categories!$A$5:$A$11,B125)</f>
        <v/>
      </c>
      <c r="T125" s="12">
        <f>S125*J125</f>
        <v/>
      </c>
      <c r="U125" s="12">
        <f>IF(T125&lt;=0,0,(rate_below/100)*MIN(T125,MAX(0,ceiling-D125))+(rate_above/100)*(T125-MIN(T125,MAX(0,ceiling-D125))))</f>
        <v/>
      </c>
      <c r="V125" s="12">
        <f>T125+U125</f>
        <v/>
      </c>
      <c r="W125" s="13">
        <f>IF(AND(C125="F",M125&lt;O125,SUMIFS(Categories!$AH$5:$AH$11,Categories!$A$5:$A$11,B125)=1),1,0)</f>
        <v/>
      </c>
      <c r="X125" s="12">
        <f>IF(W125=1,O125-M125,0)</f>
        <v/>
      </c>
      <c r="Y125" s="11">
        <f>IF(AND(W125=1,SUMIFS(Categories!$AI$5:$AI$11,Categories!$A$5:$A$11,B125)&gt;0),X125/SUMIFS(Categories!$AI$5:$AI$11,Categories!$A$5:$A$11,B125),0)</f>
        <v/>
      </c>
      <c r="Z125" s="12">
        <f>Y125*SUMIFS(Categories!$AJ$5:$AJ$11,Categories!$A$5:$A$11,B125)</f>
        <v/>
      </c>
      <c r="AA125" s="12">
        <f>Z125*J125</f>
        <v/>
      </c>
      <c r="AB125" s="12">
        <f>IF(AA125&lt;=0,0,(rate_below/100)*MIN(AA125,MAX(0,ceiling-D125))+(rate_above/100)*(AA125-MIN(AA125,MAX(0,ceiling-D125))))</f>
        <v/>
      </c>
      <c r="AC125" s="12">
        <f>AA125+AB125</f>
        <v/>
      </c>
      <c r="AD125" s="13">
        <f>SUMPRODUCT(($B$5:$B$216=B125)*($M$5:$M$216&lt;M125))+SUMPRODUCT(($B$5:$B$216=B125)*($M$5:$M$216=M125)*(ROW($M$5:$M$216)&lt;ROW(M125)))+1</f>
        <v/>
      </c>
      <c r="AE125" s="13">
        <f>COUNTIF($B$5:$B$216,B125)</f>
        <v/>
      </c>
      <c r="AF125" s="13">
        <f>SUMPRODUCT(($B$5:$B$216=B125)*($C$5:$C$216=C125)*($M$5:$M$216&lt;M125))+SUMPRODUCT(($B$5:$B$216=B125)*($C$5:$C$216=C125)*($M$5:$M$216=M125)*(ROW($M$5:$M$216)&lt;ROW(M125)))+1</f>
        <v/>
      </c>
      <c r="AG125" s="13">
        <f>COUNTIFS($B$5:$B$216,B125,$C$5:$C$216,C125)</f>
        <v/>
      </c>
    </row>
    <row r="126">
      <c r="A126" s="9" t="inlineStr">
        <is>
          <t>E122</t>
        </is>
      </c>
      <c r="B126" s="9" t="inlineStr">
        <is>
          <t>Manufacturing</t>
        </is>
      </c>
      <c r="C126" s="9" t="inlineStr">
        <is>
          <t>M</t>
        </is>
      </c>
      <c r="D126" s="10" t="n">
        <v>35984.27</v>
      </c>
      <c r="E126" s="10" t="n">
        <v>2568.79</v>
      </c>
      <c r="F126" s="9" t="n">
        <v>3.6</v>
      </c>
      <c r="G126" s="9" t="n">
        <v>1</v>
      </c>
      <c r="H126" s="9" t="n">
        <v>1</v>
      </c>
      <c r="I126" s="9" t="n">
        <v>12</v>
      </c>
      <c r="J126" s="11">
        <f>H126*(I126/12)</f>
        <v/>
      </c>
      <c r="K126" s="12">
        <f>D126/J126</f>
        <v/>
      </c>
      <c r="L126" s="12">
        <f>E126/J126</f>
        <v/>
      </c>
      <c r="M126" s="12">
        <f>K126+L126</f>
        <v/>
      </c>
      <c r="N126" s="12">
        <f>D126+E126</f>
        <v/>
      </c>
      <c r="O126" s="12">
        <f>(SUMIFS($M$5:$M$216,$B$5:$B$216,B126,$AD$5:$AD$216,INT((AE126+1)/2))+SUMIFS($M$5:$M$216,$B$5:$B$216,B126,$AD$5:$AD$216,INT(AE126/2)+1))/2</f>
        <v/>
      </c>
      <c r="P126" s="13">
        <f>IF(AND(C126="F",M126&lt;O126,SUMIFS(Categories!$Z$5:$Z$11,Categories!$A$5:$A$11,B126)=1),1,0)</f>
        <v/>
      </c>
      <c r="Q126" s="12">
        <f>IF(P126=1,O126-M126,0)</f>
        <v/>
      </c>
      <c r="R126" s="11">
        <f>IF(AND(P126=1,SUMIFS(Categories!$AA$5:$AA$11,Categories!$A$5:$A$11,B126)&gt;0),Q126/SUMIFS(Categories!$AA$5:$AA$11,Categories!$A$5:$A$11,B126),0)</f>
        <v/>
      </c>
      <c r="S126" s="12">
        <f>R126*SUMIFS(Categories!$AB$5:$AB$11,Categories!$A$5:$A$11,B126)</f>
        <v/>
      </c>
      <c r="T126" s="12">
        <f>S126*J126</f>
        <v/>
      </c>
      <c r="U126" s="12">
        <f>IF(T126&lt;=0,0,(rate_below/100)*MIN(T126,MAX(0,ceiling-D126))+(rate_above/100)*(T126-MIN(T126,MAX(0,ceiling-D126))))</f>
        <v/>
      </c>
      <c r="V126" s="12">
        <f>T126+U126</f>
        <v/>
      </c>
      <c r="W126" s="13">
        <f>IF(AND(C126="F",M126&lt;O126,SUMIFS(Categories!$AH$5:$AH$11,Categories!$A$5:$A$11,B126)=1),1,0)</f>
        <v/>
      </c>
      <c r="X126" s="12">
        <f>IF(W126=1,O126-M126,0)</f>
        <v/>
      </c>
      <c r="Y126" s="11">
        <f>IF(AND(W126=1,SUMIFS(Categories!$AI$5:$AI$11,Categories!$A$5:$A$11,B126)&gt;0),X126/SUMIFS(Categories!$AI$5:$AI$11,Categories!$A$5:$A$11,B126),0)</f>
        <v/>
      </c>
      <c r="Z126" s="12">
        <f>Y126*SUMIFS(Categories!$AJ$5:$AJ$11,Categories!$A$5:$A$11,B126)</f>
        <v/>
      </c>
      <c r="AA126" s="12">
        <f>Z126*J126</f>
        <v/>
      </c>
      <c r="AB126" s="12">
        <f>IF(AA126&lt;=0,0,(rate_below/100)*MIN(AA126,MAX(0,ceiling-D126))+(rate_above/100)*(AA126-MIN(AA126,MAX(0,ceiling-D126))))</f>
        <v/>
      </c>
      <c r="AC126" s="12">
        <f>AA126+AB126</f>
        <v/>
      </c>
      <c r="AD126" s="13">
        <f>SUMPRODUCT(($B$5:$B$216=B126)*($M$5:$M$216&lt;M126))+SUMPRODUCT(($B$5:$B$216=B126)*($M$5:$M$216=M126)*(ROW($M$5:$M$216)&lt;ROW(M126)))+1</f>
        <v/>
      </c>
      <c r="AE126" s="13">
        <f>COUNTIF($B$5:$B$216,B126)</f>
        <v/>
      </c>
      <c r="AF126" s="13">
        <f>SUMPRODUCT(($B$5:$B$216=B126)*($C$5:$C$216=C126)*($M$5:$M$216&lt;M126))+SUMPRODUCT(($B$5:$B$216=B126)*($C$5:$C$216=C126)*($M$5:$M$216=M126)*(ROW($M$5:$M$216)&lt;ROW(M126)))+1</f>
        <v/>
      </c>
      <c r="AG126" s="13">
        <f>COUNTIFS($B$5:$B$216,B126,$C$5:$C$216,C126)</f>
        <v/>
      </c>
    </row>
    <row r="127">
      <c r="A127" s="9" t="inlineStr">
        <is>
          <t>E123</t>
        </is>
      </c>
      <c r="B127" s="9" t="inlineStr">
        <is>
          <t>Manufacturing</t>
        </is>
      </c>
      <c r="C127" s="9" t="inlineStr">
        <is>
          <t>F</t>
        </is>
      </c>
      <c r="D127" s="10" t="n">
        <v>41640.83</v>
      </c>
      <c r="E127" s="10" t="n">
        <v>2238.97</v>
      </c>
      <c r="F127" s="9" t="n">
        <v>7.8</v>
      </c>
      <c r="G127" s="9" t="n">
        <v>3</v>
      </c>
      <c r="H127" s="9" t="n">
        <v>1</v>
      </c>
      <c r="I127" s="9" t="n">
        <v>12</v>
      </c>
      <c r="J127" s="11">
        <f>H127*(I127/12)</f>
        <v/>
      </c>
      <c r="K127" s="12">
        <f>D127/J127</f>
        <v/>
      </c>
      <c r="L127" s="12">
        <f>E127/J127</f>
        <v/>
      </c>
      <c r="M127" s="12">
        <f>K127+L127</f>
        <v/>
      </c>
      <c r="N127" s="12">
        <f>D127+E127</f>
        <v/>
      </c>
      <c r="O127" s="12">
        <f>(SUMIFS($M$5:$M$216,$B$5:$B$216,B127,$AD$5:$AD$216,INT((AE127+1)/2))+SUMIFS($M$5:$M$216,$B$5:$B$216,B127,$AD$5:$AD$216,INT(AE127/2)+1))/2</f>
        <v/>
      </c>
      <c r="P127" s="13">
        <f>IF(AND(C127="F",M127&lt;O127,SUMIFS(Categories!$Z$5:$Z$11,Categories!$A$5:$A$11,B127)=1),1,0)</f>
        <v/>
      </c>
      <c r="Q127" s="12">
        <f>IF(P127=1,O127-M127,0)</f>
        <v/>
      </c>
      <c r="R127" s="11">
        <f>IF(AND(P127=1,SUMIFS(Categories!$AA$5:$AA$11,Categories!$A$5:$A$11,B127)&gt;0),Q127/SUMIFS(Categories!$AA$5:$AA$11,Categories!$A$5:$A$11,B127),0)</f>
        <v/>
      </c>
      <c r="S127" s="12">
        <f>R127*SUMIFS(Categories!$AB$5:$AB$11,Categories!$A$5:$A$11,B127)</f>
        <v/>
      </c>
      <c r="T127" s="12">
        <f>S127*J127</f>
        <v/>
      </c>
      <c r="U127" s="12">
        <f>IF(T127&lt;=0,0,(rate_below/100)*MIN(T127,MAX(0,ceiling-D127))+(rate_above/100)*(T127-MIN(T127,MAX(0,ceiling-D127))))</f>
        <v/>
      </c>
      <c r="V127" s="12">
        <f>T127+U127</f>
        <v/>
      </c>
      <c r="W127" s="13">
        <f>IF(AND(C127="F",M127&lt;O127,SUMIFS(Categories!$AH$5:$AH$11,Categories!$A$5:$A$11,B127)=1),1,0)</f>
        <v/>
      </c>
      <c r="X127" s="12">
        <f>IF(W127=1,O127-M127,0)</f>
        <v/>
      </c>
      <c r="Y127" s="11">
        <f>IF(AND(W127=1,SUMIFS(Categories!$AI$5:$AI$11,Categories!$A$5:$A$11,B127)&gt;0),X127/SUMIFS(Categories!$AI$5:$AI$11,Categories!$A$5:$A$11,B127),0)</f>
        <v/>
      </c>
      <c r="Z127" s="12">
        <f>Y127*SUMIFS(Categories!$AJ$5:$AJ$11,Categories!$A$5:$A$11,B127)</f>
        <v/>
      </c>
      <c r="AA127" s="12">
        <f>Z127*J127</f>
        <v/>
      </c>
      <c r="AB127" s="12">
        <f>IF(AA127&lt;=0,0,(rate_below/100)*MIN(AA127,MAX(0,ceiling-D127))+(rate_above/100)*(AA127-MIN(AA127,MAX(0,ceiling-D127))))</f>
        <v/>
      </c>
      <c r="AC127" s="12">
        <f>AA127+AB127</f>
        <v/>
      </c>
      <c r="AD127" s="13">
        <f>SUMPRODUCT(($B$5:$B$216=B127)*($M$5:$M$216&lt;M127))+SUMPRODUCT(($B$5:$B$216=B127)*($M$5:$M$216=M127)*(ROW($M$5:$M$216)&lt;ROW(M127)))+1</f>
        <v/>
      </c>
      <c r="AE127" s="13">
        <f>COUNTIF($B$5:$B$216,B127)</f>
        <v/>
      </c>
      <c r="AF127" s="13">
        <f>SUMPRODUCT(($B$5:$B$216=B127)*($C$5:$C$216=C127)*($M$5:$M$216&lt;M127))+SUMPRODUCT(($B$5:$B$216=B127)*($C$5:$C$216=C127)*($M$5:$M$216=M127)*(ROW($M$5:$M$216)&lt;ROW(M127)))+1</f>
        <v/>
      </c>
      <c r="AG127" s="13">
        <f>COUNTIFS($B$5:$B$216,B127,$C$5:$C$216,C127)</f>
        <v/>
      </c>
    </row>
    <row r="128">
      <c r="A128" s="9" t="inlineStr">
        <is>
          <t>E124</t>
        </is>
      </c>
      <c r="B128" s="9" t="inlineStr">
        <is>
          <t>Manufacturing</t>
        </is>
      </c>
      <c r="C128" s="9" t="inlineStr">
        <is>
          <t>F</t>
        </is>
      </c>
      <c r="D128" s="10" t="n">
        <v>37644.41</v>
      </c>
      <c r="E128" s="10" t="n">
        <v>2014.96</v>
      </c>
      <c r="F128" s="9" t="n">
        <v>7.4</v>
      </c>
      <c r="G128" s="9" t="n">
        <v>2</v>
      </c>
      <c r="H128" s="9" t="n">
        <v>1</v>
      </c>
      <c r="I128" s="9" t="n">
        <v>12</v>
      </c>
      <c r="J128" s="11">
        <f>H128*(I128/12)</f>
        <v/>
      </c>
      <c r="K128" s="12">
        <f>D128/J128</f>
        <v/>
      </c>
      <c r="L128" s="12">
        <f>E128/J128</f>
        <v/>
      </c>
      <c r="M128" s="12">
        <f>K128+L128</f>
        <v/>
      </c>
      <c r="N128" s="12">
        <f>D128+E128</f>
        <v/>
      </c>
      <c r="O128" s="12">
        <f>(SUMIFS($M$5:$M$216,$B$5:$B$216,B128,$AD$5:$AD$216,INT((AE128+1)/2))+SUMIFS($M$5:$M$216,$B$5:$B$216,B128,$AD$5:$AD$216,INT(AE128/2)+1))/2</f>
        <v/>
      </c>
      <c r="P128" s="13">
        <f>IF(AND(C128="F",M128&lt;O128,SUMIFS(Categories!$Z$5:$Z$11,Categories!$A$5:$A$11,B128)=1),1,0)</f>
        <v/>
      </c>
      <c r="Q128" s="12">
        <f>IF(P128=1,O128-M128,0)</f>
        <v/>
      </c>
      <c r="R128" s="11">
        <f>IF(AND(P128=1,SUMIFS(Categories!$AA$5:$AA$11,Categories!$A$5:$A$11,B128)&gt;0),Q128/SUMIFS(Categories!$AA$5:$AA$11,Categories!$A$5:$A$11,B128),0)</f>
        <v/>
      </c>
      <c r="S128" s="12">
        <f>R128*SUMIFS(Categories!$AB$5:$AB$11,Categories!$A$5:$A$11,B128)</f>
        <v/>
      </c>
      <c r="T128" s="12">
        <f>S128*J128</f>
        <v/>
      </c>
      <c r="U128" s="12">
        <f>IF(T128&lt;=0,0,(rate_below/100)*MIN(T128,MAX(0,ceiling-D128))+(rate_above/100)*(T128-MIN(T128,MAX(0,ceiling-D128))))</f>
        <v/>
      </c>
      <c r="V128" s="12">
        <f>T128+U128</f>
        <v/>
      </c>
      <c r="W128" s="13">
        <f>IF(AND(C128="F",M128&lt;O128,SUMIFS(Categories!$AH$5:$AH$11,Categories!$A$5:$A$11,B128)=1),1,0)</f>
        <v/>
      </c>
      <c r="X128" s="12">
        <f>IF(W128=1,O128-M128,0)</f>
        <v/>
      </c>
      <c r="Y128" s="11">
        <f>IF(AND(W128=1,SUMIFS(Categories!$AI$5:$AI$11,Categories!$A$5:$A$11,B128)&gt;0),X128/SUMIFS(Categories!$AI$5:$AI$11,Categories!$A$5:$A$11,B128),0)</f>
        <v/>
      </c>
      <c r="Z128" s="12">
        <f>Y128*SUMIFS(Categories!$AJ$5:$AJ$11,Categories!$A$5:$A$11,B128)</f>
        <v/>
      </c>
      <c r="AA128" s="12">
        <f>Z128*J128</f>
        <v/>
      </c>
      <c r="AB128" s="12">
        <f>IF(AA128&lt;=0,0,(rate_below/100)*MIN(AA128,MAX(0,ceiling-D128))+(rate_above/100)*(AA128-MIN(AA128,MAX(0,ceiling-D128))))</f>
        <v/>
      </c>
      <c r="AC128" s="12">
        <f>AA128+AB128</f>
        <v/>
      </c>
      <c r="AD128" s="13">
        <f>SUMPRODUCT(($B$5:$B$216=B128)*($M$5:$M$216&lt;M128))+SUMPRODUCT(($B$5:$B$216=B128)*($M$5:$M$216=M128)*(ROW($M$5:$M$216)&lt;ROW(M128)))+1</f>
        <v/>
      </c>
      <c r="AE128" s="13">
        <f>COUNTIF($B$5:$B$216,B128)</f>
        <v/>
      </c>
      <c r="AF128" s="13">
        <f>SUMPRODUCT(($B$5:$B$216=B128)*($C$5:$C$216=C128)*($M$5:$M$216&lt;M128))+SUMPRODUCT(($B$5:$B$216=B128)*($C$5:$C$216=C128)*($M$5:$M$216=M128)*(ROW($M$5:$M$216)&lt;ROW(M128)))+1</f>
        <v/>
      </c>
      <c r="AG128" s="13">
        <f>COUNTIFS($B$5:$B$216,B128,$C$5:$C$216,C128)</f>
        <v/>
      </c>
    </row>
    <row r="129">
      <c r="A129" s="9" t="inlineStr">
        <is>
          <t>E125</t>
        </is>
      </c>
      <c r="B129" s="9" t="inlineStr">
        <is>
          <t>Manufacturing</t>
        </is>
      </c>
      <c r="C129" s="9" t="inlineStr">
        <is>
          <t>F</t>
        </is>
      </c>
      <c r="D129" s="10" t="n">
        <v>40999.53</v>
      </c>
      <c r="E129" s="10" t="n">
        <v>2172.54</v>
      </c>
      <c r="F129" s="9" t="n">
        <v>5.9</v>
      </c>
      <c r="G129" s="9" t="n">
        <v>2</v>
      </c>
      <c r="H129" s="9" t="n">
        <v>1</v>
      </c>
      <c r="I129" s="9" t="n">
        <v>12</v>
      </c>
      <c r="J129" s="11">
        <f>H129*(I129/12)</f>
        <v/>
      </c>
      <c r="K129" s="12">
        <f>D129/J129</f>
        <v/>
      </c>
      <c r="L129" s="12">
        <f>E129/J129</f>
        <v/>
      </c>
      <c r="M129" s="12">
        <f>K129+L129</f>
        <v/>
      </c>
      <c r="N129" s="12">
        <f>D129+E129</f>
        <v/>
      </c>
      <c r="O129" s="12">
        <f>(SUMIFS($M$5:$M$216,$B$5:$B$216,B129,$AD$5:$AD$216,INT((AE129+1)/2))+SUMIFS($M$5:$M$216,$B$5:$B$216,B129,$AD$5:$AD$216,INT(AE129/2)+1))/2</f>
        <v/>
      </c>
      <c r="P129" s="13">
        <f>IF(AND(C129="F",M129&lt;O129,SUMIFS(Categories!$Z$5:$Z$11,Categories!$A$5:$A$11,B129)=1),1,0)</f>
        <v/>
      </c>
      <c r="Q129" s="12">
        <f>IF(P129=1,O129-M129,0)</f>
        <v/>
      </c>
      <c r="R129" s="11">
        <f>IF(AND(P129=1,SUMIFS(Categories!$AA$5:$AA$11,Categories!$A$5:$A$11,B129)&gt;0),Q129/SUMIFS(Categories!$AA$5:$AA$11,Categories!$A$5:$A$11,B129),0)</f>
        <v/>
      </c>
      <c r="S129" s="12">
        <f>R129*SUMIFS(Categories!$AB$5:$AB$11,Categories!$A$5:$A$11,B129)</f>
        <v/>
      </c>
      <c r="T129" s="12">
        <f>S129*J129</f>
        <v/>
      </c>
      <c r="U129" s="12">
        <f>IF(T129&lt;=0,0,(rate_below/100)*MIN(T129,MAX(0,ceiling-D129))+(rate_above/100)*(T129-MIN(T129,MAX(0,ceiling-D129))))</f>
        <v/>
      </c>
      <c r="V129" s="12">
        <f>T129+U129</f>
        <v/>
      </c>
      <c r="W129" s="13">
        <f>IF(AND(C129="F",M129&lt;O129,SUMIFS(Categories!$AH$5:$AH$11,Categories!$A$5:$A$11,B129)=1),1,0)</f>
        <v/>
      </c>
      <c r="X129" s="12">
        <f>IF(W129=1,O129-M129,0)</f>
        <v/>
      </c>
      <c r="Y129" s="11">
        <f>IF(AND(W129=1,SUMIFS(Categories!$AI$5:$AI$11,Categories!$A$5:$A$11,B129)&gt;0),X129/SUMIFS(Categories!$AI$5:$AI$11,Categories!$A$5:$A$11,B129),0)</f>
        <v/>
      </c>
      <c r="Z129" s="12">
        <f>Y129*SUMIFS(Categories!$AJ$5:$AJ$11,Categories!$A$5:$A$11,B129)</f>
        <v/>
      </c>
      <c r="AA129" s="12">
        <f>Z129*J129</f>
        <v/>
      </c>
      <c r="AB129" s="12">
        <f>IF(AA129&lt;=0,0,(rate_below/100)*MIN(AA129,MAX(0,ceiling-D129))+(rate_above/100)*(AA129-MIN(AA129,MAX(0,ceiling-D129))))</f>
        <v/>
      </c>
      <c r="AC129" s="12">
        <f>AA129+AB129</f>
        <v/>
      </c>
      <c r="AD129" s="13">
        <f>SUMPRODUCT(($B$5:$B$216=B129)*($M$5:$M$216&lt;M129))+SUMPRODUCT(($B$5:$B$216=B129)*($M$5:$M$216=M129)*(ROW($M$5:$M$216)&lt;ROW(M129)))+1</f>
        <v/>
      </c>
      <c r="AE129" s="13">
        <f>COUNTIF($B$5:$B$216,B129)</f>
        <v/>
      </c>
      <c r="AF129" s="13">
        <f>SUMPRODUCT(($B$5:$B$216=B129)*($C$5:$C$216=C129)*($M$5:$M$216&lt;M129))+SUMPRODUCT(($B$5:$B$216=B129)*($C$5:$C$216=C129)*($M$5:$M$216=M129)*(ROW($M$5:$M$216)&lt;ROW(M129)))+1</f>
        <v/>
      </c>
      <c r="AG129" s="13">
        <f>COUNTIFS($B$5:$B$216,B129,$C$5:$C$216,C129)</f>
        <v/>
      </c>
    </row>
    <row r="130">
      <c r="A130" s="9" t="inlineStr">
        <is>
          <t>E126</t>
        </is>
      </c>
      <c r="B130" s="9" t="inlineStr">
        <is>
          <t>Manufacturing</t>
        </is>
      </c>
      <c r="C130" s="9" t="inlineStr">
        <is>
          <t>M</t>
        </is>
      </c>
      <c r="D130" s="10" t="n">
        <v>47213.49</v>
      </c>
      <c r="E130" s="10" t="n">
        <v>2876.03</v>
      </c>
      <c r="F130" s="9" t="n">
        <v>11.8</v>
      </c>
      <c r="G130" s="9" t="n">
        <v>2</v>
      </c>
      <c r="H130" s="9" t="n">
        <v>1</v>
      </c>
      <c r="I130" s="9" t="n">
        <v>12</v>
      </c>
      <c r="J130" s="11">
        <f>H130*(I130/12)</f>
        <v/>
      </c>
      <c r="K130" s="12">
        <f>D130/J130</f>
        <v/>
      </c>
      <c r="L130" s="12">
        <f>E130/J130</f>
        <v/>
      </c>
      <c r="M130" s="12">
        <f>K130+L130</f>
        <v/>
      </c>
      <c r="N130" s="12">
        <f>D130+E130</f>
        <v/>
      </c>
      <c r="O130" s="12">
        <f>(SUMIFS($M$5:$M$216,$B$5:$B$216,B130,$AD$5:$AD$216,INT((AE130+1)/2))+SUMIFS($M$5:$M$216,$B$5:$B$216,B130,$AD$5:$AD$216,INT(AE130/2)+1))/2</f>
        <v/>
      </c>
      <c r="P130" s="13">
        <f>IF(AND(C130="F",M130&lt;O130,SUMIFS(Categories!$Z$5:$Z$11,Categories!$A$5:$A$11,B130)=1),1,0)</f>
        <v/>
      </c>
      <c r="Q130" s="12">
        <f>IF(P130=1,O130-M130,0)</f>
        <v/>
      </c>
      <c r="R130" s="11">
        <f>IF(AND(P130=1,SUMIFS(Categories!$AA$5:$AA$11,Categories!$A$5:$A$11,B130)&gt;0),Q130/SUMIFS(Categories!$AA$5:$AA$11,Categories!$A$5:$A$11,B130),0)</f>
        <v/>
      </c>
      <c r="S130" s="12">
        <f>R130*SUMIFS(Categories!$AB$5:$AB$11,Categories!$A$5:$A$11,B130)</f>
        <v/>
      </c>
      <c r="T130" s="12">
        <f>S130*J130</f>
        <v/>
      </c>
      <c r="U130" s="12">
        <f>IF(T130&lt;=0,0,(rate_below/100)*MIN(T130,MAX(0,ceiling-D130))+(rate_above/100)*(T130-MIN(T130,MAX(0,ceiling-D130))))</f>
        <v/>
      </c>
      <c r="V130" s="12">
        <f>T130+U130</f>
        <v/>
      </c>
      <c r="W130" s="13">
        <f>IF(AND(C130="F",M130&lt;O130,SUMIFS(Categories!$AH$5:$AH$11,Categories!$A$5:$A$11,B130)=1),1,0)</f>
        <v/>
      </c>
      <c r="X130" s="12">
        <f>IF(W130=1,O130-M130,0)</f>
        <v/>
      </c>
      <c r="Y130" s="11">
        <f>IF(AND(W130=1,SUMIFS(Categories!$AI$5:$AI$11,Categories!$A$5:$A$11,B130)&gt;0),X130/SUMIFS(Categories!$AI$5:$AI$11,Categories!$A$5:$A$11,B130),0)</f>
        <v/>
      </c>
      <c r="Z130" s="12">
        <f>Y130*SUMIFS(Categories!$AJ$5:$AJ$11,Categories!$A$5:$A$11,B130)</f>
        <v/>
      </c>
      <c r="AA130" s="12">
        <f>Z130*J130</f>
        <v/>
      </c>
      <c r="AB130" s="12">
        <f>IF(AA130&lt;=0,0,(rate_below/100)*MIN(AA130,MAX(0,ceiling-D130))+(rate_above/100)*(AA130-MIN(AA130,MAX(0,ceiling-D130))))</f>
        <v/>
      </c>
      <c r="AC130" s="12">
        <f>AA130+AB130</f>
        <v/>
      </c>
      <c r="AD130" s="13">
        <f>SUMPRODUCT(($B$5:$B$216=B130)*($M$5:$M$216&lt;M130))+SUMPRODUCT(($B$5:$B$216=B130)*($M$5:$M$216=M130)*(ROW($M$5:$M$216)&lt;ROW(M130)))+1</f>
        <v/>
      </c>
      <c r="AE130" s="13">
        <f>COUNTIF($B$5:$B$216,B130)</f>
        <v/>
      </c>
      <c r="AF130" s="13">
        <f>SUMPRODUCT(($B$5:$B$216=B130)*($C$5:$C$216=C130)*($M$5:$M$216&lt;M130))+SUMPRODUCT(($B$5:$B$216=B130)*($C$5:$C$216=C130)*($M$5:$M$216=M130)*(ROW($M$5:$M$216)&lt;ROW(M130)))+1</f>
        <v/>
      </c>
      <c r="AG130" s="13">
        <f>COUNTIFS($B$5:$B$216,B130,$C$5:$C$216,C130)</f>
        <v/>
      </c>
    </row>
    <row r="131">
      <c r="A131" s="9" t="inlineStr">
        <is>
          <t>E127</t>
        </is>
      </c>
      <c r="B131" s="9" t="inlineStr">
        <is>
          <t>Manufacturing</t>
        </is>
      </c>
      <c r="C131" s="9" t="inlineStr">
        <is>
          <t>M</t>
        </is>
      </c>
      <c r="D131" s="10" t="n">
        <v>59702.38</v>
      </c>
      <c r="E131" s="10" t="n">
        <v>3078.98</v>
      </c>
      <c r="F131" s="9" t="n">
        <v>18.5</v>
      </c>
      <c r="G131" s="9" t="n">
        <v>4</v>
      </c>
      <c r="H131" s="9" t="n">
        <v>1</v>
      </c>
      <c r="I131" s="9" t="n">
        <v>12</v>
      </c>
      <c r="J131" s="11">
        <f>H131*(I131/12)</f>
        <v/>
      </c>
      <c r="K131" s="12">
        <f>D131/J131</f>
        <v/>
      </c>
      <c r="L131" s="12">
        <f>E131/J131</f>
        <v/>
      </c>
      <c r="M131" s="12">
        <f>K131+L131</f>
        <v/>
      </c>
      <c r="N131" s="12">
        <f>D131+E131</f>
        <v/>
      </c>
      <c r="O131" s="12">
        <f>(SUMIFS($M$5:$M$216,$B$5:$B$216,B131,$AD$5:$AD$216,INT((AE131+1)/2))+SUMIFS($M$5:$M$216,$B$5:$B$216,B131,$AD$5:$AD$216,INT(AE131/2)+1))/2</f>
        <v/>
      </c>
      <c r="P131" s="13">
        <f>IF(AND(C131="F",M131&lt;O131,SUMIFS(Categories!$Z$5:$Z$11,Categories!$A$5:$A$11,B131)=1),1,0)</f>
        <v/>
      </c>
      <c r="Q131" s="12">
        <f>IF(P131=1,O131-M131,0)</f>
        <v/>
      </c>
      <c r="R131" s="11">
        <f>IF(AND(P131=1,SUMIFS(Categories!$AA$5:$AA$11,Categories!$A$5:$A$11,B131)&gt;0),Q131/SUMIFS(Categories!$AA$5:$AA$11,Categories!$A$5:$A$11,B131),0)</f>
        <v/>
      </c>
      <c r="S131" s="12">
        <f>R131*SUMIFS(Categories!$AB$5:$AB$11,Categories!$A$5:$A$11,B131)</f>
        <v/>
      </c>
      <c r="T131" s="12">
        <f>S131*J131</f>
        <v/>
      </c>
      <c r="U131" s="12">
        <f>IF(T131&lt;=0,0,(rate_below/100)*MIN(T131,MAX(0,ceiling-D131))+(rate_above/100)*(T131-MIN(T131,MAX(0,ceiling-D131))))</f>
        <v/>
      </c>
      <c r="V131" s="12">
        <f>T131+U131</f>
        <v/>
      </c>
      <c r="W131" s="13">
        <f>IF(AND(C131="F",M131&lt;O131,SUMIFS(Categories!$AH$5:$AH$11,Categories!$A$5:$A$11,B131)=1),1,0)</f>
        <v/>
      </c>
      <c r="X131" s="12">
        <f>IF(W131=1,O131-M131,0)</f>
        <v/>
      </c>
      <c r="Y131" s="11">
        <f>IF(AND(W131=1,SUMIFS(Categories!$AI$5:$AI$11,Categories!$A$5:$A$11,B131)&gt;0),X131/SUMIFS(Categories!$AI$5:$AI$11,Categories!$A$5:$A$11,B131),0)</f>
        <v/>
      </c>
      <c r="Z131" s="12">
        <f>Y131*SUMIFS(Categories!$AJ$5:$AJ$11,Categories!$A$5:$A$11,B131)</f>
        <v/>
      </c>
      <c r="AA131" s="12">
        <f>Z131*J131</f>
        <v/>
      </c>
      <c r="AB131" s="12">
        <f>IF(AA131&lt;=0,0,(rate_below/100)*MIN(AA131,MAX(0,ceiling-D131))+(rate_above/100)*(AA131-MIN(AA131,MAX(0,ceiling-D131))))</f>
        <v/>
      </c>
      <c r="AC131" s="12">
        <f>AA131+AB131</f>
        <v/>
      </c>
      <c r="AD131" s="13">
        <f>SUMPRODUCT(($B$5:$B$216=B131)*($M$5:$M$216&lt;M131))+SUMPRODUCT(($B$5:$B$216=B131)*($M$5:$M$216=M131)*(ROW($M$5:$M$216)&lt;ROW(M131)))+1</f>
        <v/>
      </c>
      <c r="AE131" s="13">
        <f>COUNTIF($B$5:$B$216,B131)</f>
        <v/>
      </c>
      <c r="AF131" s="13">
        <f>SUMPRODUCT(($B$5:$B$216=B131)*($C$5:$C$216=C131)*($M$5:$M$216&lt;M131))+SUMPRODUCT(($B$5:$B$216=B131)*($C$5:$C$216=C131)*($M$5:$M$216=M131)*(ROW($M$5:$M$216)&lt;ROW(M131)))+1</f>
        <v/>
      </c>
      <c r="AG131" s="13">
        <f>COUNTIFS($B$5:$B$216,B131,$C$5:$C$216,C131)</f>
        <v/>
      </c>
    </row>
    <row r="132">
      <c r="A132" s="9" t="inlineStr">
        <is>
          <t>E128</t>
        </is>
      </c>
      <c r="B132" s="9" t="inlineStr">
        <is>
          <t>Manufacturing</t>
        </is>
      </c>
      <c r="C132" s="9" t="inlineStr">
        <is>
          <t>F</t>
        </is>
      </c>
      <c r="D132" s="10" t="n">
        <v>48326.85</v>
      </c>
      <c r="E132" s="10" t="n">
        <v>2363.39</v>
      </c>
      <c r="F132" s="9" t="n">
        <v>7.1</v>
      </c>
      <c r="G132" s="9" t="n">
        <v>3</v>
      </c>
      <c r="H132" s="9" t="n">
        <v>1</v>
      </c>
      <c r="I132" s="9" t="n">
        <v>12</v>
      </c>
      <c r="J132" s="11">
        <f>H132*(I132/12)</f>
        <v/>
      </c>
      <c r="K132" s="12">
        <f>D132/J132</f>
        <v/>
      </c>
      <c r="L132" s="12">
        <f>E132/J132</f>
        <v/>
      </c>
      <c r="M132" s="12">
        <f>K132+L132</f>
        <v/>
      </c>
      <c r="N132" s="12">
        <f>D132+E132</f>
        <v/>
      </c>
      <c r="O132" s="12">
        <f>(SUMIFS($M$5:$M$216,$B$5:$B$216,B132,$AD$5:$AD$216,INT((AE132+1)/2))+SUMIFS($M$5:$M$216,$B$5:$B$216,B132,$AD$5:$AD$216,INT(AE132/2)+1))/2</f>
        <v/>
      </c>
      <c r="P132" s="13">
        <f>IF(AND(C132="F",M132&lt;O132,SUMIFS(Categories!$Z$5:$Z$11,Categories!$A$5:$A$11,B132)=1),1,0)</f>
        <v/>
      </c>
      <c r="Q132" s="12">
        <f>IF(P132=1,O132-M132,0)</f>
        <v/>
      </c>
      <c r="R132" s="11">
        <f>IF(AND(P132=1,SUMIFS(Categories!$AA$5:$AA$11,Categories!$A$5:$A$11,B132)&gt;0),Q132/SUMIFS(Categories!$AA$5:$AA$11,Categories!$A$5:$A$11,B132),0)</f>
        <v/>
      </c>
      <c r="S132" s="12">
        <f>R132*SUMIFS(Categories!$AB$5:$AB$11,Categories!$A$5:$A$11,B132)</f>
        <v/>
      </c>
      <c r="T132" s="12">
        <f>S132*J132</f>
        <v/>
      </c>
      <c r="U132" s="12">
        <f>IF(T132&lt;=0,0,(rate_below/100)*MIN(T132,MAX(0,ceiling-D132))+(rate_above/100)*(T132-MIN(T132,MAX(0,ceiling-D132))))</f>
        <v/>
      </c>
      <c r="V132" s="12">
        <f>T132+U132</f>
        <v/>
      </c>
      <c r="W132" s="13">
        <f>IF(AND(C132="F",M132&lt;O132,SUMIFS(Categories!$AH$5:$AH$11,Categories!$A$5:$A$11,B132)=1),1,0)</f>
        <v/>
      </c>
      <c r="X132" s="12">
        <f>IF(W132=1,O132-M132,0)</f>
        <v/>
      </c>
      <c r="Y132" s="11">
        <f>IF(AND(W132=1,SUMIFS(Categories!$AI$5:$AI$11,Categories!$A$5:$A$11,B132)&gt;0),X132/SUMIFS(Categories!$AI$5:$AI$11,Categories!$A$5:$A$11,B132),0)</f>
        <v/>
      </c>
      <c r="Z132" s="12">
        <f>Y132*SUMIFS(Categories!$AJ$5:$AJ$11,Categories!$A$5:$A$11,B132)</f>
        <v/>
      </c>
      <c r="AA132" s="12">
        <f>Z132*J132</f>
        <v/>
      </c>
      <c r="AB132" s="12">
        <f>IF(AA132&lt;=0,0,(rate_below/100)*MIN(AA132,MAX(0,ceiling-D132))+(rate_above/100)*(AA132-MIN(AA132,MAX(0,ceiling-D132))))</f>
        <v/>
      </c>
      <c r="AC132" s="12">
        <f>AA132+AB132</f>
        <v/>
      </c>
      <c r="AD132" s="13">
        <f>SUMPRODUCT(($B$5:$B$216=B132)*($M$5:$M$216&lt;M132))+SUMPRODUCT(($B$5:$B$216=B132)*($M$5:$M$216=M132)*(ROW($M$5:$M$216)&lt;ROW(M132)))+1</f>
        <v/>
      </c>
      <c r="AE132" s="13">
        <f>COUNTIF($B$5:$B$216,B132)</f>
        <v/>
      </c>
      <c r="AF132" s="13">
        <f>SUMPRODUCT(($B$5:$B$216=B132)*($C$5:$C$216=C132)*($M$5:$M$216&lt;M132))+SUMPRODUCT(($B$5:$B$216=B132)*($C$5:$C$216=C132)*($M$5:$M$216=M132)*(ROW($M$5:$M$216)&lt;ROW(M132)))+1</f>
        <v/>
      </c>
      <c r="AG132" s="13">
        <f>COUNTIFS($B$5:$B$216,B132,$C$5:$C$216,C132)</f>
        <v/>
      </c>
    </row>
    <row r="133">
      <c r="A133" s="9" t="inlineStr">
        <is>
          <t>E129</t>
        </is>
      </c>
      <c r="B133" s="9" t="inlineStr">
        <is>
          <t>Manufacturing</t>
        </is>
      </c>
      <c r="C133" s="9" t="inlineStr">
        <is>
          <t>M</t>
        </is>
      </c>
      <c r="D133" s="10" t="n">
        <v>41490.03</v>
      </c>
      <c r="E133" s="10" t="n">
        <v>2855.69</v>
      </c>
      <c r="F133" s="9" t="n">
        <v>3.4</v>
      </c>
      <c r="G133" s="9" t="n">
        <v>2</v>
      </c>
      <c r="H133" s="9" t="n">
        <v>1</v>
      </c>
      <c r="I133" s="9" t="n">
        <v>12</v>
      </c>
      <c r="J133" s="11">
        <f>H133*(I133/12)</f>
        <v/>
      </c>
      <c r="K133" s="12">
        <f>D133/J133</f>
        <v/>
      </c>
      <c r="L133" s="12">
        <f>E133/J133</f>
        <v/>
      </c>
      <c r="M133" s="12">
        <f>K133+L133</f>
        <v/>
      </c>
      <c r="N133" s="12">
        <f>D133+E133</f>
        <v/>
      </c>
      <c r="O133" s="12">
        <f>(SUMIFS($M$5:$M$216,$B$5:$B$216,B133,$AD$5:$AD$216,INT((AE133+1)/2))+SUMIFS($M$5:$M$216,$B$5:$B$216,B133,$AD$5:$AD$216,INT(AE133/2)+1))/2</f>
        <v/>
      </c>
      <c r="P133" s="13">
        <f>IF(AND(C133="F",M133&lt;O133,SUMIFS(Categories!$Z$5:$Z$11,Categories!$A$5:$A$11,B133)=1),1,0)</f>
        <v/>
      </c>
      <c r="Q133" s="12">
        <f>IF(P133=1,O133-M133,0)</f>
        <v/>
      </c>
      <c r="R133" s="11">
        <f>IF(AND(P133=1,SUMIFS(Categories!$AA$5:$AA$11,Categories!$A$5:$A$11,B133)&gt;0),Q133/SUMIFS(Categories!$AA$5:$AA$11,Categories!$A$5:$A$11,B133),0)</f>
        <v/>
      </c>
      <c r="S133" s="12">
        <f>R133*SUMIFS(Categories!$AB$5:$AB$11,Categories!$A$5:$A$11,B133)</f>
        <v/>
      </c>
      <c r="T133" s="12">
        <f>S133*J133</f>
        <v/>
      </c>
      <c r="U133" s="12">
        <f>IF(T133&lt;=0,0,(rate_below/100)*MIN(T133,MAX(0,ceiling-D133))+(rate_above/100)*(T133-MIN(T133,MAX(0,ceiling-D133))))</f>
        <v/>
      </c>
      <c r="V133" s="12">
        <f>T133+U133</f>
        <v/>
      </c>
      <c r="W133" s="13">
        <f>IF(AND(C133="F",M133&lt;O133,SUMIFS(Categories!$AH$5:$AH$11,Categories!$A$5:$A$11,B133)=1),1,0)</f>
        <v/>
      </c>
      <c r="X133" s="12">
        <f>IF(W133=1,O133-M133,0)</f>
        <v/>
      </c>
      <c r="Y133" s="11">
        <f>IF(AND(W133=1,SUMIFS(Categories!$AI$5:$AI$11,Categories!$A$5:$A$11,B133)&gt;0),X133/SUMIFS(Categories!$AI$5:$AI$11,Categories!$A$5:$A$11,B133),0)</f>
        <v/>
      </c>
      <c r="Z133" s="12">
        <f>Y133*SUMIFS(Categories!$AJ$5:$AJ$11,Categories!$A$5:$A$11,B133)</f>
        <v/>
      </c>
      <c r="AA133" s="12">
        <f>Z133*J133</f>
        <v/>
      </c>
      <c r="AB133" s="12">
        <f>IF(AA133&lt;=0,0,(rate_below/100)*MIN(AA133,MAX(0,ceiling-D133))+(rate_above/100)*(AA133-MIN(AA133,MAX(0,ceiling-D133))))</f>
        <v/>
      </c>
      <c r="AC133" s="12">
        <f>AA133+AB133</f>
        <v/>
      </c>
      <c r="AD133" s="13">
        <f>SUMPRODUCT(($B$5:$B$216=B133)*($M$5:$M$216&lt;M133))+SUMPRODUCT(($B$5:$B$216=B133)*($M$5:$M$216=M133)*(ROW($M$5:$M$216)&lt;ROW(M133)))+1</f>
        <v/>
      </c>
      <c r="AE133" s="13">
        <f>COUNTIF($B$5:$B$216,B133)</f>
        <v/>
      </c>
      <c r="AF133" s="13">
        <f>SUMPRODUCT(($B$5:$B$216=B133)*($C$5:$C$216=C133)*($M$5:$M$216&lt;M133))+SUMPRODUCT(($B$5:$B$216=B133)*($C$5:$C$216=C133)*($M$5:$M$216=M133)*(ROW($M$5:$M$216)&lt;ROW(M133)))+1</f>
        <v/>
      </c>
      <c r="AG133" s="13">
        <f>COUNTIFS($B$5:$B$216,B133,$C$5:$C$216,C133)</f>
        <v/>
      </c>
    </row>
    <row r="134">
      <c r="A134" s="9" t="inlineStr">
        <is>
          <t>E130</t>
        </is>
      </c>
      <c r="B134" s="9" t="inlineStr">
        <is>
          <t>Manufacturing</t>
        </is>
      </c>
      <c r="C134" s="9" t="inlineStr">
        <is>
          <t>F</t>
        </is>
      </c>
      <c r="D134" s="10" t="n">
        <v>39681.14</v>
      </c>
      <c r="E134" s="10" t="n">
        <v>2140.82</v>
      </c>
      <c r="F134" s="9" t="n">
        <v>6.8</v>
      </c>
      <c r="G134" s="9" t="n">
        <v>2</v>
      </c>
      <c r="H134" s="9" t="n">
        <v>1</v>
      </c>
      <c r="I134" s="9" t="n">
        <v>12</v>
      </c>
      <c r="J134" s="11">
        <f>H134*(I134/12)</f>
        <v/>
      </c>
      <c r="K134" s="12">
        <f>D134/J134</f>
        <v/>
      </c>
      <c r="L134" s="12">
        <f>E134/J134</f>
        <v/>
      </c>
      <c r="M134" s="12">
        <f>K134+L134</f>
        <v/>
      </c>
      <c r="N134" s="12">
        <f>D134+E134</f>
        <v/>
      </c>
      <c r="O134" s="12">
        <f>(SUMIFS($M$5:$M$216,$B$5:$B$216,B134,$AD$5:$AD$216,INT((AE134+1)/2))+SUMIFS($M$5:$M$216,$B$5:$B$216,B134,$AD$5:$AD$216,INT(AE134/2)+1))/2</f>
        <v/>
      </c>
      <c r="P134" s="13">
        <f>IF(AND(C134="F",M134&lt;O134,SUMIFS(Categories!$Z$5:$Z$11,Categories!$A$5:$A$11,B134)=1),1,0)</f>
        <v/>
      </c>
      <c r="Q134" s="12">
        <f>IF(P134=1,O134-M134,0)</f>
        <v/>
      </c>
      <c r="R134" s="11">
        <f>IF(AND(P134=1,SUMIFS(Categories!$AA$5:$AA$11,Categories!$A$5:$A$11,B134)&gt;0),Q134/SUMIFS(Categories!$AA$5:$AA$11,Categories!$A$5:$A$11,B134),0)</f>
        <v/>
      </c>
      <c r="S134" s="12">
        <f>R134*SUMIFS(Categories!$AB$5:$AB$11,Categories!$A$5:$A$11,B134)</f>
        <v/>
      </c>
      <c r="T134" s="12">
        <f>S134*J134</f>
        <v/>
      </c>
      <c r="U134" s="12">
        <f>IF(T134&lt;=0,0,(rate_below/100)*MIN(T134,MAX(0,ceiling-D134))+(rate_above/100)*(T134-MIN(T134,MAX(0,ceiling-D134))))</f>
        <v/>
      </c>
      <c r="V134" s="12">
        <f>T134+U134</f>
        <v/>
      </c>
      <c r="W134" s="13">
        <f>IF(AND(C134="F",M134&lt;O134,SUMIFS(Categories!$AH$5:$AH$11,Categories!$A$5:$A$11,B134)=1),1,0)</f>
        <v/>
      </c>
      <c r="X134" s="12">
        <f>IF(W134=1,O134-M134,0)</f>
        <v/>
      </c>
      <c r="Y134" s="11">
        <f>IF(AND(W134=1,SUMIFS(Categories!$AI$5:$AI$11,Categories!$A$5:$A$11,B134)&gt;0),X134/SUMIFS(Categories!$AI$5:$AI$11,Categories!$A$5:$A$11,B134),0)</f>
        <v/>
      </c>
      <c r="Z134" s="12">
        <f>Y134*SUMIFS(Categories!$AJ$5:$AJ$11,Categories!$A$5:$A$11,B134)</f>
        <v/>
      </c>
      <c r="AA134" s="12">
        <f>Z134*J134</f>
        <v/>
      </c>
      <c r="AB134" s="12">
        <f>IF(AA134&lt;=0,0,(rate_below/100)*MIN(AA134,MAX(0,ceiling-D134))+(rate_above/100)*(AA134-MIN(AA134,MAX(0,ceiling-D134))))</f>
        <v/>
      </c>
      <c r="AC134" s="12">
        <f>AA134+AB134</f>
        <v/>
      </c>
      <c r="AD134" s="13">
        <f>SUMPRODUCT(($B$5:$B$216=B134)*($M$5:$M$216&lt;M134))+SUMPRODUCT(($B$5:$B$216=B134)*($M$5:$M$216=M134)*(ROW($M$5:$M$216)&lt;ROW(M134)))+1</f>
        <v/>
      </c>
      <c r="AE134" s="13">
        <f>COUNTIF($B$5:$B$216,B134)</f>
        <v/>
      </c>
      <c r="AF134" s="13">
        <f>SUMPRODUCT(($B$5:$B$216=B134)*($C$5:$C$216=C134)*($M$5:$M$216&lt;M134))+SUMPRODUCT(($B$5:$B$216=B134)*($C$5:$C$216=C134)*($M$5:$M$216=M134)*(ROW($M$5:$M$216)&lt;ROW(M134)))+1</f>
        <v/>
      </c>
      <c r="AG134" s="13">
        <f>COUNTIFS($B$5:$B$216,B134,$C$5:$C$216,C134)</f>
        <v/>
      </c>
    </row>
    <row r="135">
      <c r="A135" s="9" t="inlineStr">
        <is>
          <t>E131</t>
        </is>
      </c>
      <c r="B135" s="9" t="inlineStr">
        <is>
          <t>Manufacturing</t>
        </is>
      </c>
      <c r="C135" s="9" t="inlineStr">
        <is>
          <t>M</t>
        </is>
      </c>
      <c r="D135" s="10" t="n">
        <v>68666.2</v>
      </c>
      <c r="E135" s="10" t="n">
        <v>4920.55</v>
      </c>
      <c r="F135" s="9" t="n">
        <v>18.9</v>
      </c>
      <c r="G135" s="9" t="n">
        <v>5</v>
      </c>
      <c r="H135" s="9" t="n">
        <v>1</v>
      </c>
      <c r="I135" s="9" t="n">
        <v>12</v>
      </c>
      <c r="J135" s="11">
        <f>H135*(I135/12)</f>
        <v/>
      </c>
      <c r="K135" s="12">
        <f>D135/J135</f>
        <v/>
      </c>
      <c r="L135" s="12">
        <f>E135/J135</f>
        <v/>
      </c>
      <c r="M135" s="12">
        <f>K135+L135</f>
        <v/>
      </c>
      <c r="N135" s="12">
        <f>D135+E135</f>
        <v/>
      </c>
      <c r="O135" s="12">
        <f>(SUMIFS($M$5:$M$216,$B$5:$B$216,B135,$AD$5:$AD$216,INT((AE135+1)/2))+SUMIFS($M$5:$M$216,$B$5:$B$216,B135,$AD$5:$AD$216,INT(AE135/2)+1))/2</f>
        <v/>
      </c>
      <c r="P135" s="13">
        <f>IF(AND(C135="F",M135&lt;O135,SUMIFS(Categories!$Z$5:$Z$11,Categories!$A$5:$A$11,B135)=1),1,0)</f>
        <v/>
      </c>
      <c r="Q135" s="12">
        <f>IF(P135=1,O135-M135,0)</f>
        <v/>
      </c>
      <c r="R135" s="11">
        <f>IF(AND(P135=1,SUMIFS(Categories!$AA$5:$AA$11,Categories!$A$5:$A$11,B135)&gt;0),Q135/SUMIFS(Categories!$AA$5:$AA$11,Categories!$A$5:$A$11,B135),0)</f>
        <v/>
      </c>
      <c r="S135" s="12">
        <f>R135*SUMIFS(Categories!$AB$5:$AB$11,Categories!$A$5:$A$11,B135)</f>
        <v/>
      </c>
      <c r="T135" s="12">
        <f>S135*J135</f>
        <v/>
      </c>
      <c r="U135" s="12">
        <f>IF(T135&lt;=0,0,(rate_below/100)*MIN(T135,MAX(0,ceiling-D135))+(rate_above/100)*(T135-MIN(T135,MAX(0,ceiling-D135))))</f>
        <v/>
      </c>
      <c r="V135" s="12">
        <f>T135+U135</f>
        <v/>
      </c>
      <c r="W135" s="13">
        <f>IF(AND(C135="F",M135&lt;O135,SUMIFS(Categories!$AH$5:$AH$11,Categories!$A$5:$A$11,B135)=1),1,0)</f>
        <v/>
      </c>
      <c r="X135" s="12">
        <f>IF(W135=1,O135-M135,0)</f>
        <v/>
      </c>
      <c r="Y135" s="11">
        <f>IF(AND(W135=1,SUMIFS(Categories!$AI$5:$AI$11,Categories!$A$5:$A$11,B135)&gt;0),X135/SUMIFS(Categories!$AI$5:$AI$11,Categories!$A$5:$A$11,B135),0)</f>
        <v/>
      </c>
      <c r="Z135" s="12">
        <f>Y135*SUMIFS(Categories!$AJ$5:$AJ$11,Categories!$A$5:$A$11,B135)</f>
        <v/>
      </c>
      <c r="AA135" s="12">
        <f>Z135*J135</f>
        <v/>
      </c>
      <c r="AB135" s="12">
        <f>IF(AA135&lt;=0,0,(rate_below/100)*MIN(AA135,MAX(0,ceiling-D135))+(rate_above/100)*(AA135-MIN(AA135,MAX(0,ceiling-D135))))</f>
        <v/>
      </c>
      <c r="AC135" s="12">
        <f>AA135+AB135</f>
        <v/>
      </c>
      <c r="AD135" s="13">
        <f>SUMPRODUCT(($B$5:$B$216=B135)*($M$5:$M$216&lt;M135))+SUMPRODUCT(($B$5:$B$216=B135)*($M$5:$M$216=M135)*(ROW($M$5:$M$216)&lt;ROW(M135)))+1</f>
        <v/>
      </c>
      <c r="AE135" s="13">
        <f>COUNTIF($B$5:$B$216,B135)</f>
        <v/>
      </c>
      <c r="AF135" s="13">
        <f>SUMPRODUCT(($B$5:$B$216=B135)*($C$5:$C$216=C135)*($M$5:$M$216&lt;M135))+SUMPRODUCT(($B$5:$B$216=B135)*($C$5:$C$216=C135)*($M$5:$M$216=M135)*(ROW($M$5:$M$216)&lt;ROW(M135)))+1</f>
        <v/>
      </c>
      <c r="AG135" s="13">
        <f>COUNTIFS($B$5:$B$216,B135,$C$5:$C$216,C135)</f>
        <v/>
      </c>
    </row>
    <row r="136">
      <c r="A136" s="9" t="inlineStr">
        <is>
          <t>E132</t>
        </is>
      </c>
      <c r="B136" s="9" t="inlineStr">
        <is>
          <t>Manufacturing</t>
        </is>
      </c>
      <c r="C136" s="9" t="inlineStr">
        <is>
          <t>F</t>
        </is>
      </c>
      <c r="D136" s="10" t="n">
        <v>36252.12</v>
      </c>
      <c r="E136" s="10" t="n">
        <v>2397.75</v>
      </c>
      <c r="F136" s="9" t="n">
        <v>5.5</v>
      </c>
      <c r="G136" s="9" t="n">
        <v>1</v>
      </c>
      <c r="H136" s="9" t="n">
        <v>1</v>
      </c>
      <c r="I136" s="9" t="n">
        <v>12</v>
      </c>
      <c r="J136" s="11">
        <f>H136*(I136/12)</f>
        <v/>
      </c>
      <c r="K136" s="12">
        <f>D136/J136</f>
        <v/>
      </c>
      <c r="L136" s="12">
        <f>E136/J136</f>
        <v/>
      </c>
      <c r="M136" s="12">
        <f>K136+L136</f>
        <v/>
      </c>
      <c r="N136" s="12">
        <f>D136+E136</f>
        <v/>
      </c>
      <c r="O136" s="12">
        <f>(SUMIFS($M$5:$M$216,$B$5:$B$216,B136,$AD$5:$AD$216,INT((AE136+1)/2))+SUMIFS($M$5:$M$216,$B$5:$B$216,B136,$AD$5:$AD$216,INT(AE136/2)+1))/2</f>
        <v/>
      </c>
      <c r="P136" s="13">
        <f>IF(AND(C136="F",M136&lt;O136,SUMIFS(Categories!$Z$5:$Z$11,Categories!$A$5:$A$11,B136)=1),1,0)</f>
        <v/>
      </c>
      <c r="Q136" s="12">
        <f>IF(P136=1,O136-M136,0)</f>
        <v/>
      </c>
      <c r="R136" s="11">
        <f>IF(AND(P136=1,SUMIFS(Categories!$AA$5:$AA$11,Categories!$A$5:$A$11,B136)&gt;0),Q136/SUMIFS(Categories!$AA$5:$AA$11,Categories!$A$5:$A$11,B136),0)</f>
        <v/>
      </c>
      <c r="S136" s="12">
        <f>R136*SUMIFS(Categories!$AB$5:$AB$11,Categories!$A$5:$A$11,B136)</f>
        <v/>
      </c>
      <c r="T136" s="12">
        <f>S136*J136</f>
        <v/>
      </c>
      <c r="U136" s="12">
        <f>IF(T136&lt;=0,0,(rate_below/100)*MIN(T136,MAX(0,ceiling-D136))+(rate_above/100)*(T136-MIN(T136,MAX(0,ceiling-D136))))</f>
        <v/>
      </c>
      <c r="V136" s="12">
        <f>T136+U136</f>
        <v/>
      </c>
      <c r="W136" s="13">
        <f>IF(AND(C136="F",M136&lt;O136,SUMIFS(Categories!$AH$5:$AH$11,Categories!$A$5:$A$11,B136)=1),1,0)</f>
        <v/>
      </c>
      <c r="X136" s="12">
        <f>IF(W136=1,O136-M136,0)</f>
        <v/>
      </c>
      <c r="Y136" s="11">
        <f>IF(AND(W136=1,SUMIFS(Categories!$AI$5:$AI$11,Categories!$A$5:$A$11,B136)&gt;0),X136/SUMIFS(Categories!$AI$5:$AI$11,Categories!$A$5:$A$11,B136),0)</f>
        <v/>
      </c>
      <c r="Z136" s="12">
        <f>Y136*SUMIFS(Categories!$AJ$5:$AJ$11,Categories!$A$5:$A$11,B136)</f>
        <v/>
      </c>
      <c r="AA136" s="12">
        <f>Z136*J136</f>
        <v/>
      </c>
      <c r="AB136" s="12">
        <f>IF(AA136&lt;=0,0,(rate_below/100)*MIN(AA136,MAX(0,ceiling-D136))+(rate_above/100)*(AA136-MIN(AA136,MAX(0,ceiling-D136))))</f>
        <v/>
      </c>
      <c r="AC136" s="12">
        <f>AA136+AB136</f>
        <v/>
      </c>
      <c r="AD136" s="13">
        <f>SUMPRODUCT(($B$5:$B$216=B136)*($M$5:$M$216&lt;M136))+SUMPRODUCT(($B$5:$B$216=B136)*($M$5:$M$216=M136)*(ROW($M$5:$M$216)&lt;ROW(M136)))+1</f>
        <v/>
      </c>
      <c r="AE136" s="13">
        <f>COUNTIF($B$5:$B$216,B136)</f>
        <v/>
      </c>
      <c r="AF136" s="13">
        <f>SUMPRODUCT(($B$5:$B$216=B136)*($C$5:$C$216=C136)*($M$5:$M$216&lt;M136))+SUMPRODUCT(($B$5:$B$216=B136)*($C$5:$C$216=C136)*($M$5:$M$216=M136)*(ROW($M$5:$M$216)&lt;ROW(M136)))+1</f>
        <v/>
      </c>
      <c r="AG136" s="13">
        <f>COUNTIFS($B$5:$B$216,B136,$C$5:$C$216,C136)</f>
        <v/>
      </c>
    </row>
    <row r="137">
      <c r="A137" s="9" t="inlineStr">
        <is>
          <t>E133</t>
        </is>
      </c>
      <c r="B137" s="9" t="inlineStr">
        <is>
          <t>Manufacturing</t>
        </is>
      </c>
      <c r="C137" s="9" t="inlineStr">
        <is>
          <t>F</t>
        </is>
      </c>
      <c r="D137" s="10" t="n">
        <v>18936.79</v>
      </c>
      <c r="E137" s="10" t="n">
        <v>1280.26</v>
      </c>
      <c r="F137" s="9" t="n">
        <v>6.2</v>
      </c>
      <c r="G137" s="9" t="n">
        <v>2</v>
      </c>
      <c r="H137" s="9" t="n">
        <v>0.5</v>
      </c>
      <c r="I137" s="9" t="n">
        <v>12</v>
      </c>
      <c r="J137" s="11">
        <f>H137*(I137/12)</f>
        <v/>
      </c>
      <c r="K137" s="12">
        <f>D137/J137</f>
        <v/>
      </c>
      <c r="L137" s="12">
        <f>E137/J137</f>
        <v/>
      </c>
      <c r="M137" s="12">
        <f>K137+L137</f>
        <v/>
      </c>
      <c r="N137" s="12">
        <f>D137+E137</f>
        <v/>
      </c>
      <c r="O137" s="12">
        <f>(SUMIFS($M$5:$M$216,$B$5:$B$216,B137,$AD$5:$AD$216,INT((AE137+1)/2))+SUMIFS($M$5:$M$216,$B$5:$B$216,B137,$AD$5:$AD$216,INT(AE137/2)+1))/2</f>
        <v/>
      </c>
      <c r="P137" s="13">
        <f>IF(AND(C137="F",M137&lt;O137,SUMIFS(Categories!$Z$5:$Z$11,Categories!$A$5:$A$11,B137)=1),1,0)</f>
        <v/>
      </c>
      <c r="Q137" s="12">
        <f>IF(P137=1,O137-M137,0)</f>
        <v/>
      </c>
      <c r="R137" s="11">
        <f>IF(AND(P137=1,SUMIFS(Categories!$AA$5:$AA$11,Categories!$A$5:$A$11,B137)&gt;0),Q137/SUMIFS(Categories!$AA$5:$AA$11,Categories!$A$5:$A$11,B137),0)</f>
        <v/>
      </c>
      <c r="S137" s="12">
        <f>R137*SUMIFS(Categories!$AB$5:$AB$11,Categories!$A$5:$A$11,B137)</f>
        <v/>
      </c>
      <c r="T137" s="12">
        <f>S137*J137</f>
        <v/>
      </c>
      <c r="U137" s="12">
        <f>IF(T137&lt;=0,0,(rate_below/100)*MIN(T137,MAX(0,ceiling-D137))+(rate_above/100)*(T137-MIN(T137,MAX(0,ceiling-D137))))</f>
        <v/>
      </c>
      <c r="V137" s="12">
        <f>T137+U137</f>
        <v/>
      </c>
      <c r="W137" s="13">
        <f>IF(AND(C137="F",M137&lt;O137,SUMIFS(Categories!$AH$5:$AH$11,Categories!$A$5:$A$11,B137)=1),1,0)</f>
        <v/>
      </c>
      <c r="X137" s="12">
        <f>IF(W137=1,O137-M137,0)</f>
        <v/>
      </c>
      <c r="Y137" s="11">
        <f>IF(AND(W137=1,SUMIFS(Categories!$AI$5:$AI$11,Categories!$A$5:$A$11,B137)&gt;0),X137/SUMIFS(Categories!$AI$5:$AI$11,Categories!$A$5:$A$11,B137),0)</f>
        <v/>
      </c>
      <c r="Z137" s="12">
        <f>Y137*SUMIFS(Categories!$AJ$5:$AJ$11,Categories!$A$5:$A$11,B137)</f>
        <v/>
      </c>
      <c r="AA137" s="12">
        <f>Z137*J137</f>
        <v/>
      </c>
      <c r="AB137" s="12">
        <f>IF(AA137&lt;=0,0,(rate_below/100)*MIN(AA137,MAX(0,ceiling-D137))+(rate_above/100)*(AA137-MIN(AA137,MAX(0,ceiling-D137))))</f>
        <v/>
      </c>
      <c r="AC137" s="12">
        <f>AA137+AB137</f>
        <v/>
      </c>
      <c r="AD137" s="13">
        <f>SUMPRODUCT(($B$5:$B$216=B137)*($M$5:$M$216&lt;M137))+SUMPRODUCT(($B$5:$B$216=B137)*($M$5:$M$216=M137)*(ROW($M$5:$M$216)&lt;ROW(M137)))+1</f>
        <v/>
      </c>
      <c r="AE137" s="13">
        <f>COUNTIF($B$5:$B$216,B137)</f>
        <v/>
      </c>
      <c r="AF137" s="13">
        <f>SUMPRODUCT(($B$5:$B$216=B137)*($C$5:$C$216=C137)*($M$5:$M$216&lt;M137))+SUMPRODUCT(($B$5:$B$216=B137)*($C$5:$C$216=C137)*($M$5:$M$216=M137)*(ROW($M$5:$M$216)&lt;ROW(M137)))+1</f>
        <v/>
      </c>
      <c r="AG137" s="13">
        <f>COUNTIFS($B$5:$B$216,B137,$C$5:$C$216,C137)</f>
        <v/>
      </c>
    </row>
    <row r="138">
      <c r="A138" s="9" t="inlineStr">
        <is>
          <t>E134</t>
        </is>
      </c>
      <c r="B138" s="9" t="inlineStr">
        <is>
          <t>Manufacturing</t>
        </is>
      </c>
      <c r="C138" s="9" t="inlineStr">
        <is>
          <t>F</t>
        </is>
      </c>
      <c r="D138" s="10" t="n">
        <v>39494.72</v>
      </c>
      <c r="E138" s="10" t="n">
        <v>1993.88</v>
      </c>
      <c r="F138" s="9" t="n">
        <v>9.9</v>
      </c>
      <c r="G138" s="9" t="n">
        <v>1</v>
      </c>
      <c r="H138" s="9" t="n">
        <v>1</v>
      </c>
      <c r="I138" s="9" t="n">
        <v>12</v>
      </c>
      <c r="J138" s="11">
        <f>H138*(I138/12)</f>
        <v/>
      </c>
      <c r="K138" s="12">
        <f>D138/J138</f>
        <v/>
      </c>
      <c r="L138" s="12">
        <f>E138/J138</f>
        <v/>
      </c>
      <c r="M138" s="12">
        <f>K138+L138</f>
        <v/>
      </c>
      <c r="N138" s="12">
        <f>D138+E138</f>
        <v/>
      </c>
      <c r="O138" s="12">
        <f>(SUMIFS($M$5:$M$216,$B$5:$B$216,B138,$AD$5:$AD$216,INT((AE138+1)/2))+SUMIFS($M$5:$M$216,$B$5:$B$216,B138,$AD$5:$AD$216,INT(AE138/2)+1))/2</f>
        <v/>
      </c>
      <c r="P138" s="13">
        <f>IF(AND(C138="F",M138&lt;O138,SUMIFS(Categories!$Z$5:$Z$11,Categories!$A$5:$A$11,B138)=1),1,0)</f>
        <v/>
      </c>
      <c r="Q138" s="12">
        <f>IF(P138=1,O138-M138,0)</f>
        <v/>
      </c>
      <c r="R138" s="11">
        <f>IF(AND(P138=1,SUMIFS(Categories!$AA$5:$AA$11,Categories!$A$5:$A$11,B138)&gt;0),Q138/SUMIFS(Categories!$AA$5:$AA$11,Categories!$A$5:$A$11,B138),0)</f>
        <v/>
      </c>
      <c r="S138" s="12">
        <f>R138*SUMIFS(Categories!$AB$5:$AB$11,Categories!$A$5:$A$11,B138)</f>
        <v/>
      </c>
      <c r="T138" s="12">
        <f>S138*J138</f>
        <v/>
      </c>
      <c r="U138" s="12">
        <f>IF(T138&lt;=0,0,(rate_below/100)*MIN(T138,MAX(0,ceiling-D138))+(rate_above/100)*(T138-MIN(T138,MAX(0,ceiling-D138))))</f>
        <v/>
      </c>
      <c r="V138" s="12">
        <f>T138+U138</f>
        <v/>
      </c>
      <c r="W138" s="13">
        <f>IF(AND(C138="F",M138&lt;O138,SUMIFS(Categories!$AH$5:$AH$11,Categories!$A$5:$A$11,B138)=1),1,0)</f>
        <v/>
      </c>
      <c r="X138" s="12">
        <f>IF(W138=1,O138-M138,0)</f>
        <v/>
      </c>
      <c r="Y138" s="11">
        <f>IF(AND(W138=1,SUMIFS(Categories!$AI$5:$AI$11,Categories!$A$5:$A$11,B138)&gt;0),X138/SUMIFS(Categories!$AI$5:$AI$11,Categories!$A$5:$A$11,B138),0)</f>
        <v/>
      </c>
      <c r="Z138" s="12">
        <f>Y138*SUMIFS(Categories!$AJ$5:$AJ$11,Categories!$A$5:$A$11,B138)</f>
        <v/>
      </c>
      <c r="AA138" s="12">
        <f>Z138*J138</f>
        <v/>
      </c>
      <c r="AB138" s="12">
        <f>IF(AA138&lt;=0,0,(rate_below/100)*MIN(AA138,MAX(0,ceiling-D138))+(rate_above/100)*(AA138-MIN(AA138,MAX(0,ceiling-D138))))</f>
        <v/>
      </c>
      <c r="AC138" s="12">
        <f>AA138+AB138</f>
        <v/>
      </c>
      <c r="AD138" s="13">
        <f>SUMPRODUCT(($B$5:$B$216=B138)*($M$5:$M$216&lt;M138))+SUMPRODUCT(($B$5:$B$216=B138)*($M$5:$M$216=M138)*(ROW($M$5:$M$216)&lt;ROW(M138)))+1</f>
        <v/>
      </c>
      <c r="AE138" s="13">
        <f>COUNTIF($B$5:$B$216,B138)</f>
        <v/>
      </c>
      <c r="AF138" s="13">
        <f>SUMPRODUCT(($B$5:$B$216=B138)*($C$5:$C$216=C138)*($M$5:$M$216&lt;M138))+SUMPRODUCT(($B$5:$B$216=B138)*($C$5:$C$216=C138)*($M$5:$M$216=M138)*(ROW($M$5:$M$216)&lt;ROW(M138)))+1</f>
        <v/>
      </c>
      <c r="AG138" s="13">
        <f>COUNTIFS($B$5:$B$216,B138,$C$5:$C$216,C138)</f>
        <v/>
      </c>
    </row>
    <row r="139">
      <c r="A139" s="9" t="inlineStr">
        <is>
          <t>E135</t>
        </is>
      </c>
      <c r="B139" s="9" t="inlineStr">
        <is>
          <t>Manufacturing</t>
        </is>
      </c>
      <c r="C139" s="9" t="inlineStr">
        <is>
          <t>F</t>
        </is>
      </c>
      <c r="D139" s="10" t="n">
        <v>51718.72</v>
      </c>
      <c r="E139" s="10" t="n">
        <v>3705.23</v>
      </c>
      <c r="F139" s="9" t="n">
        <v>15.1</v>
      </c>
      <c r="G139" s="9" t="n">
        <v>4</v>
      </c>
      <c r="H139" s="9" t="n">
        <v>1</v>
      </c>
      <c r="I139" s="9" t="n">
        <v>12</v>
      </c>
      <c r="J139" s="11">
        <f>H139*(I139/12)</f>
        <v/>
      </c>
      <c r="K139" s="12">
        <f>D139/J139</f>
        <v/>
      </c>
      <c r="L139" s="12">
        <f>E139/J139</f>
        <v/>
      </c>
      <c r="M139" s="12">
        <f>K139+L139</f>
        <v/>
      </c>
      <c r="N139" s="12">
        <f>D139+E139</f>
        <v/>
      </c>
      <c r="O139" s="12">
        <f>(SUMIFS($M$5:$M$216,$B$5:$B$216,B139,$AD$5:$AD$216,INT((AE139+1)/2))+SUMIFS($M$5:$M$216,$B$5:$B$216,B139,$AD$5:$AD$216,INT(AE139/2)+1))/2</f>
        <v/>
      </c>
      <c r="P139" s="13">
        <f>IF(AND(C139="F",M139&lt;O139,SUMIFS(Categories!$Z$5:$Z$11,Categories!$A$5:$A$11,B139)=1),1,0)</f>
        <v/>
      </c>
      <c r="Q139" s="12">
        <f>IF(P139=1,O139-M139,0)</f>
        <v/>
      </c>
      <c r="R139" s="11">
        <f>IF(AND(P139=1,SUMIFS(Categories!$AA$5:$AA$11,Categories!$A$5:$A$11,B139)&gt;0),Q139/SUMIFS(Categories!$AA$5:$AA$11,Categories!$A$5:$A$11,B139),0)</f>
        <v/>
      </c>
      <c r="S139" s="12">
        <f>R139*SUMIFS(Categories!$AB$5:$AB$11,Categories!$A$5:$A$11,B139)</f>
        <v/>
      </c>
      <c r="T139" s="12">
        <f>S139*J139</f>
        <v/>
      </c>
      <c r="U139" s="12">
        <f>IF(T139&lt;=0,0,(rate_below/100)*MIN(T139,MAX(0,ceiling-D139))+(rate_above/100)*(T139-MIN(T139,MAX(0,ceiling-D139))))</f>
        <v/>
      </c>
      <c r="V139" s="12">
        <f>T139+U139</f>
        <v/>
      </c>
      <c r="W139" s="13">
        <f>IF(AND(C139="F",M139&lt;O139,SUMIFS(Categories!$AH$5:$AH$11,Categories!$A$5:$A$11,B139)=1),1,0)</f>
        <v/>
      </c>
      <c r="X139" s="12">
        <f>IF(W139=1,O139-M139,0)</f>
        <v/>
      </c>
      <c r="Y139" s="11">
        <f>IF(AND(W139=1,SUMIFS(Categories!$AI$5:$AI$11,Categories!$A$5:$A$11,B139)&gt;0),X139/SUMIFS(Categories!$AI$5:$AI$11,Categories!$A$5:$A$11,B139),0)</f>
        <v/>
      </c>
      <c r="Z139" s="12">
        <f>Y139*SUMIFS(Categories!$AJ$5:$AJ$11,Categories!$A$5:$A$11,B139)</f>
        <v/>
      </c>
      <c r="AA139" s="12">
        <f>Z139*J139</f>
        <v/>
      </c>
      <c r="AB139" s="12">
        <f>IF(AA139&lt;=0,0,(rate_below/100)*MIN(AA139,MAX(0,ceiling-D139))+(rate_above/100)*(AA139-MIN(AA139,MAX(0,ceiling-D139))))</f>
        <v/>
      </c>
      <c r="AC139" s="12">
        <f>AA139+AB139</f>
        <v/>
      </c>
      <c r="AD139" s="13">
        <f>SUMPRODUCT(($B$5:$B$216=B139)*($M$5:$M$216&lt;M139))+SUMPRODUCT(($B$5:$B$216=B139)*($M$5:$M$216=M139)*(ROW($M$5:$M$216)&lt;ROW(M139)))+1</f>
        <v/>
      </c>
      <c r="AE139" s="13">
        <f>COUNTIF($B$5:$B$216,B139)</f>
        <v/>
      </c>
      <c r="AF139" s="13">
        <f>SUMPRODUCT(($B$5:$B$216=B139)*($C$5:$C$216=C139)*($M$5:$M$216&lt;M139))+SUMPRODUCT(($B$5:$B$216=B139)*($C$5:$C$216=C139)*($M$5:$M$216=M139)*(ROW($M$5:$M$216)&lt;ROW(M139)))+1</f>
        <v/>
      </c>
      <c r="AG139" s="13">
        <f>COUNTIFS($B$5:$B$216,B139,$C$5:$C$216,C139)</f>
        <v/>
      </c>
    </row>
    <row r="140">
      <c r="A140" s="9" t="inlineStr">
        <is>
          <t>E136</t>
        </is>
      </c>
      <c r="B140" s="9" t="inlineStr">
        <is>
          <t>Manufacturing</t>
        </is>
      </c>
      <c r="C140" s="9" t="inlineStr">
        <is>
          <t>F</t>
        </is>
      </c>
      <c r="D140" s="10" t="n">
        <v>64061.06</v>
      </c>
      <c r="E140" s="10" t="n">
        <v>3007.94</v>
      </c>
      <c r="F140" s="9" t="n">
        <v>14.9</v>
      </c>
      <c r="G140" s="9" t="n">
        <v>5</v>
      </c>
      <c r="H140" s="9" t="n">
        <v>1</v>
      </c>
      <c r="I140" s="9" t="n">
        <v>12</v>
      </c>
      <c r="J140" s="11">
        <f>H140*(I140/12)</f>
        <v/>
      </c>
      <c r="K140" s="12">
        <f>D140/J140</f>
        <v/>
      </c>
      <c r="L140" s="12">
        <f>E140/J140</f>
        <v/>
      </c>
      <c r="M140" s="12">
        <f>K140+L140</f>
        <v/>
      </c>
      <c r="N140" s="12">
        <f>D140+E140</f>
        <v/>
      </c>
      <c r="O140" s="12">
        <f>(SUMIFS($M$5:$M$216,$B$5:$B$216,B140,$AD$5:$AD$216,INT((AE140+1)/2))+SUMIFS($M$5:$M$216,$B$5:$B$216,B140,$AD$5:$AD$216,INT(AE140/2)+1))/2</f>
        <v/>
      </c>
      <c r="P140" s="13">
        <f>IF(AND(C140="F",M140&lt;O140,SUMIFS(Categories!$Z$5:$Z$11,Categories!$A$5:$A$11,B140)=1),1,0)</f>
        <v/>
      </c>
      <c r="Q140" s="12">
        <f>IF(P140=1,O140-M140,0)</f>
        <v/>
      </c>
      <c r="R140" s="11">
        <f>IF(AND(P140=1,SUMIFS(Categories!$AA$5:$AA$11,Categories!$A$5:$A$11,B140)&gt;0),Q140/SUMIFS(Categories!$AA$5:$AA$11,Categories!$A$5:$A$11,B140),0)</f>
        <v/>
      </c>
      <c r="S140" s="12">
        <f>R140*SUMIFS(Categories!$AB$5:$AB$11,Categories!$A$5:$A$11,B140)</f>
        <v/>
      </c>
      <c r="T140" s="12">
        <f>S140*J140</f>
        <v/>
      </c>
      <c r="U140" s="12">
        <f>IF(T140&lt;=0,0,(rate_below/100)*MIN(T140,MAX(0,ceiling-D140))+(rate_above/100)*(T140-MIN(T140,MAX(0,ceiling-D140))))</f>
        <v/>
      </c>
      <c r="V140" s="12">
        <f>T140+U140</f>
        <v/>
      </c>
      <c r="W140" s="13">
        <f>IF(AND(C140="F",M140&lt;O140,SUMIFS(Categories!$AH$5:$AH$11,Categories!$A$5:$A$11,B140)=1),1,0)</f>
        <v/>
      </c>
      <c r="X140" s="12">
        <f>IF(W140=1,O140-M140,0)</f>
        <v/>
      </c>
      <c r="Y140" s="11">
        <f>IF(AND(W140=1,SUMIFS(Categories!$AI$5:$AI$11,Categories!$A$5:$A$11,B140)&gt;0),X140/SUMIFS(Categories!$AI$5:$AI$11,Categories!$A$5:$A$11,B140),0)</f>
        <v/>
      </c>
      <c r="Z140" s="12">
        <f>Y140*SUMIFS(Categories!$AJ$5:$AJ$11,Categories!$A$5:$A$11,B140)</f>
        <v/>
      </c>
      <c r="AA140" s="12">
        <f>Z140*J140</f>
        <v/>
      </c>
      <c r="AB140" s="12">
        <f>IF(AA140&lt;=0,0,(rate_below/100)*MIN(AA140,MAX(0,ceiling-D140))+(rate_above/100)*(AA140-MIN(AA140,MAX(0,ceiling-D140))))</f>
        <v/>
      </c>
      <c r="AC140" s="12">
        <f>AA140+AB140</f>
        <v/>
      </c>
      <c r="AD140" s="13">
        <f>SUMPRODUCT(($B$5:$B$216=B140)*($M$5:$M$216&lt;M140))+SUMPRODUCT(($B$5:$B$216=B140)*($M$5:$M$216=M140)*(ROW($M$5:$M$216)&lt;ROW(M140)))+1</f>
        <v/>
      </c>
      <c r="AE140" s="13">
        <f>COUNTIF($B$5:$B$216,B140)</f>
        <v/>
      </c>
      <c r="AF140" s="13">
        <f>SUMPRODUCT(($B$5:$B$216=B140)*($C$5:$C$216=C140)*($M$5:$M$216&lt;M140))+SUMPRODUCT(($B$5:$B$216=B140)*($C$5:$C$216=C140)*($M$5:$M$216=M140)*(ROW($M$5:$M$216)&lt;ROW(M140)))+1</f>
        <v/>
      </c>
      <c r="AG140" s="13">
        <f>COUNTIFS($B$5:$B$216,B140,$C$5:$C$216,C140)</f>
        <v/>
      </c>
    </row>
    <row r="141">
      <c r="A141" s="9" t="inlineStr">
        <is>
          <t>E137</t>
        </is>
      </c>
      <c r="B141" s="9" t="inlineStr">
        <is>
          <t>Manufacturing</t>
        </is>
      </c>
      <c r="C141" s="9" t="inlineStr">
        <is>
          <t>M</t>
        </is>
      </c>
      <c r="D141" s="10" t="n">
        <v>56403.47</v>
      </c>
      <c r="E141" s="10" t="n">
        <v>3857.45</v>
      </c>
      <c r="F141" s="9" t="n">
        <v>13</v>
      </c>
      <c r="G141" s="9" t="n">
        <v>4</v>
      </c>
      <c r="H141" s="9" t="n">
        <v>1</v>
      </c>
      <c r="I141" s="9" t="n">
        <v>12</v>
      </c>
      <c r="J141" s="11">
        <f>H141*(I141/12)</f>
        <v/>
      </c>
      <c r="K141" s="12">
        <f>D141/J141</f>
        <v/>
      </c>
      <c r="L141" s="12">
        <f>E141/J141</f>
        <v/>
      </c>
      <c r="M141" s="12">
        <f>K141+L141</f>
        <v/>
      </c>
      <c r="N141" s="12">
        <f>D141+E141</f>
        <v/>
      </c>
      <c r="O141" s="12">
        <f>(SUMIFS($M$5:$M$216,$B$5:$B$216,B141,$AD$5:$AD$216,INT((AE141+1)/2))+SUMIFS($M$5:$M$216,$B$5:$B$216,B141,$AD$5:$AD$216,INT(AE141/2)+1))/2</f>
        <v/>
      </c>
      <c r="P141" s="13">
        <f>IF(AND(C141="F",M141&lt;O141,SUMIFS(Categories!$Z$5:$Z$11,Categories!$A$5:$A$11,B141)=1),1,0)</f>
        <v/>
      </c>
      <c r="Q141" s="12">
        <f>IF(P141=1,O141-M141,0)</f>
        <v/>
      </c>
      <c r="R141" s="11">
        <f>IF(AND(P141=1,SUMIFS(Categories!$AA$5:$AA$11,Categories!$A$5:$A$11,B141)&gt;0),Q141/SUMIFS(Categories!$AA$5:$AA$11,Categories!$A$5:$A$11,B141),0)</f>
        <v/>
      </c>
      <c r="S141" s="12">
        <f>R141*SUMIFS(Categories!$AB$5:$AB$11,Categories!$A$5:$A$11,B141)</f>
        <v/>
      </c>
      <c r="T141" s="12">
        <f>S141*J141</f>
        <v/>
      </c>
      <c r="U141" s="12">
        <f>IF(T141&lt;=0,0,(rate_below/100)*MIN(T141,MAX(0,ceiling-D141))+(rate_above/100)*(T141-MIN(T141,MAX(0,ceiling-D141))))</f>
        <v/>
      </c>
      <c r="V141" s="12">
        <f>T141+U141</f>
        <v/>
      </c>
      <c r="W141" s="13">
        <f>IF(AND(C141="F",M141&lt;O141,SUMIFS(Categories!$AH$5:$AH$11,Categories!$A$5:$A$11,B141)=1),1,0)</f>
        <v/>
      </c>
      <c r="X141" s="12">
        <f>IF(W141=1,O141-M141,0)</f>
        <v/>
      </c>
      <c r="Y141" s="11">
        <f>IF(AND(W141=1,SUMIFS(Categories!$AI$5:$AI$11,Categories!$A$5:$A$11,B141)&gt;0),X141/SUMIFS(Categories!$AI$5:$AI$11,Categories!$A$5:$A$11,B141),0)</f>
        <v/>
      </c>
      <c r="Z141" s="12">
        <f>Y141*SUMIFS(Categories!$AJ$5:$AJ$11,Categories!$A$5:$A$11,B141)</f>
        <v/>
      </c>
      <c r="AA141" s="12">
        <f>Z141*J141</f>
        <v/>
      </c>
      <c r="AB141" s="12">
        <f>IF(AA141&lt;=0,0,(rate_below/100)*MIN(AA141,MAX(0,ceiling-D141))+(rate_above/100)*(AA141-MIN(AA141,MAX(0,ceiling-D141))))</f>
        <v/>
      </c>
      <c r="AC141" s="12">
        <f>AA141+AB141</f>
        <v/>
      </c>
      <c r="AD141" s="13">
        <f>SUMPRODUCT(($B$5:$B$216=B141)*($M$5:$M$216&lt;M141))+SUMPRODUCT(($B$5:$B$216=B141)*($M$5:$M$216=M141)*(ROW($M$5:$M$216)&lt;ROW(M141)))+1</f>
        <v/>
      </c>
      <c r="AE141" s="13">
        <f>COUNTIF($B$5:$B$216,B141)</f>
        <v/>
      </c>
      <c r="AF141" s="13">
        <f>SUMPRODUCT(($B$5:$B$216=B141)*($C$5:$C$216=C141)*($M$5:$M$216&lt;M141))+SUMPRODUCT(($B$5:$B$216=B141)*($C$5:$C$216=C141)*($M$5:$M$216=M141)*(ROW($M$5:$M$216)&lt;ROW(M141)))+1</f>
        <v/>
      </c>
      <c r="AG141" s="13">
        <f>COUNTIFS($B$5:$B$216,B141,$C$5:$C$216,C141)</f>
        <v/>
      </c>
    </row>
    <row r="142">
      <c r="A142" s="9" t="inlineStr">
        <is>
          <t>E138</t>
        </is>
      </c>
      <c r="B142" s="9" t="inlineStr">
        <is>
          <t>Manufacturing</t>
        </is>
      </c>
      <c r="C142" s="9" t="inlineStr">
        <is>
          <t>M</t>
        </is>
      </c>
      <c r="D142" s="10" t="n">
        <v>28022.15</v>
      </c>
      <c r="E142" s="10" t="n">
        <v>1484.37</v>
      </c>
      <c r="F142" s="9" t="n">
        <v>12.1</v>
      </c>
      <c r="G142" s="9" t="n">
        <v>4</v>
      </c>
      <c r="H142" s="9" t="n">
        <v>0.5</v>
      </c>
      <c r="I142" s="9" t="n">
        <v>12</v>
      </c>
      <c r="J142" s="11">
        <f>H142*(I142/12)</f>
        <v/>
      </c>
      <c r="K142" s="12">
        <f>D142/J142</f>
        <v/>
      </c>
      <c r="L142" s="12">
        <f>E142/J142</f>
        <v/>
      </c>
      <c r="M142" s="12">
        <f>K142+L142</f>
        <v/>
      </c>
      <c r="N142" s="12">
        <f>D142+E142</f>
        <v/>
      </c>
      <c r="O142" s="12">
        <f>(SUMIFS($M$5:$M$216,$B$5:$B$216,B142,$AD$5:$AD$216,INT((AE142+1)/2))+SUMIFS($M$5:$M$216,$B$5:$B$216,B142,$AD$5:$AD$216,INT(AE142/2)+1))/2</f>
        <v/>
      </c>
      <c r="P142" s="13">
        <f>IF(AND(C142="F",M142&lt;O142,SUMIFS(Categories!$Z$5:$Z$11,Categories!$A$5:$A$11,B142)=1),1,0)</f>
        <v/>
      </c>
      <c r="Q142" s="12">
        <f>IF(P142=1,O142-M142,0)</f>
        <v/>
      </c>
      <c r="R142" s="11">
        <f>IF(AND(P142=1,SUMIFS(Categories!$AA$5:$AA$11,Categories!$A$5:$A$11,B142)&gt;0),Q142/SUMIFS(Categories!$AA$5:$AA$11,Categories!$A$5:$A$11,B142),0)</f>
        <v/>
      </c>
      <c r="S142" s="12">
        <f>R142*SUMIFS(Categories!$AB$5:$AB$11,Categories!$A$5:$A$11,B142)</f>
        <v/>
      </c>
      <c r="T142" s="12">
        <f>S142*J142</f>
        <v/>
      </c>
      <c r="U142" s="12">
        <f>IF(T142&lt;=0,0,(rate_below/100)*MIN(T142,MAX(0,ceiling-D142))+(rate_above/100)*(T142-MIN(T142,MAX(0,ceiling-D142))))</f>
        <v/>
      </c>
      <c r="V142" s="12">
        <f>T142+U142</f>
        <v/>
      </c>
      <c r="W142" s="13">
        <f>IF(AND(C142="F",M142&lt;O142,SUMIFS(Categories!$AH$5:$AH$11,Categories!$A$5:$A$11,B142)=1),1,0)</f>
        <v/>
      </c>
      <c r="X142" s="12">
        <f>IF(W142=1,O142-M142,0)</f>
        <v/>
      </c>
      <c r="Y142" s="11">
        <f>IF(AND(W142=1,SUMIFS(Categories!$AI$5:$AI$11,Categories!$A$5:$A$11,B142)&gt;0),X142/SUMIFS(Categories!$AI$5:$AI$11,Categories!$A$5:$A$11,B142),0)</f>
        <v/>
      </c>
      <c r="Z142" s="12">
        <f>Y142*SUMIFS(Categories!$AJ$5:$AJ$11,Categories!$A$5:$A$11,B142)</f>
        <v/>
      </c>
      <c r="AA142" s="12">
        <f>Z142*J142</f>
        <v/>
      </c>
      <c r="AB142" s="12">
        <f>IF(AA142&lt;=0,0,(rate_below/100)*MIN(AA142,MAX(0,ceiling-D142))+(rate_above/100)*(AA142-MIN(AA142,MAX(0,ceiling-D142))))</f>
        <v/>
      </c>
      <c r="AC142" s="12">
        <f>AA142+AB142</f>
        <v/>
      </c>
      <c r="AD142" s="13">
        <f>SUMPRODUCT(($B$5:$B$216=B142)*($M$5:$M$216&lt;M142))+SUMPRODUCT(($B$5:$B$216=B142)*($M$5:$M$216=M142)*(ROW($M$5:$M$216)&lt;ROW(M142)))+1</f>
        <v/>
      </c>
      <c r="AE142" s="13">
        <f>COUNTIF($B$5:$B$216,B142)</f>
        <v/>
      </c>
      <c r="AF142" s="13">
        <f>SUMPRODUCT(($B$5:$B$216=B142)*($C$5:$C$216=C142)*($M$5:$M$216&lt;M142))+SUMPRODUCT(($B$5:$B$216=B142)*($C$5:$C$216=C142)*($M$5:$M$216=M142)*(ROW($M$5:$M$216)&lt;ROW(M142)))+1</f>
        <v/>
      </c>
      <c r="AG142" s="13">
        <f>COUNTIFS($B$5:$B$216,B142,$C$5:$C$216,C142)</f>
        <v/>
      </c>
    </row>
    <row r="143">
      <c r="A143" s="9" t="inlineStr">
        <is>
          <t>E139</t>
        </is>
      </c>
      <c r="B143" s="9" t="inlineStr">
        <is>
          <t>Manufacturing</t>
        </is>
      </c>
      <c r="C143" s="9" t="inlineStr">
        <is>
          <t>F</t>
        </is>
      </c>
      <c r="D143" s="10" t="n">
        <v>35623.85</v>
      </c>
      <c r="E143" s="10" t="n">
        <v>1728.87</v>
      </c>
      <c r="F143" s="9" t="n">
        <v>8.199999999999999</v>
      </c>
      <c r="G143" s="9" t="n">
        <v>1</v>
      </c>
      <c r="H143" s="9" t="n">
        <v>1</v>
      </c>
      <c r="I143" s="9" t="n">
        <v>12</v>
      </c>
      <c r="J143" s="11">
        <f>H143*(I143/12)</f>
        <v/>
      </c>
      <c r="K143" s="12">
        <f>D143/J143</f>
        <v/>
      </c>
      <c r="L143" s="12">
        <f>E143/J143</f>
        <v/>
      </c>
      <c r="M143" s="12">
        <f>K143+L143</f>
        <v/>
      </c>
      <c r="N143" s="12">
        <f>D143+E143</f>
        <v/>
      </c>
      <c r="O143" s="12">
        <f>(SUMIFS($M$5:$M$216,$B$5:$B$216,B143,$AD$5:$AD$216,INT((AE143+1)/2))+SUMIFS($M$5:$M$216,$B$5:$B$216,B143,$AD$5:$AD$216,INT(AE143/2)+1))/2</f>
        <v/>
      </c>
      <c r="P143" s="13">
        <f>IF(AND(C143="F",M143&lt;O143,SUMIFS(Categories!$Z$5:$Z$11,Categories!$A$5:$A$11,B143)=1),1,0)</f>
        <v/>
      </c>
      <c r="Q143" s="12">
        <f>IF(P143=1,O143-M143,0)</f>
        <v/>
      </c>
      <c r="R143" s="11">
        <f>IF(AND(P143=1,SUMIFS(Categories!$AA$5:$AA$11,Categories!$A$5:$A$11,B143)&gt;0),Q143/SUMIFS(Categories!$AA$5:$AA$11,Categories!$A$5:$A$11,B143),0)</f>
        <v/>
      </c>
      <c r="S143" s="12">
        <f>R143*SUMIFS(Categories!$AB$5:$AB$11,Categories!$A$5:$A$11,B143)</f>
        <v/>
      </c>
      <c r="T143" s="12">
        <f>S143*J143</f>
        <v/>
      </c>
      <c r="U143" s="12">
        <f>IF(T143&lt;=0,0,(rate_below/100)*MIN(T143,MAX(0,ceiling-D143))+(rate_above/100)*(T143-MIN(T143,MAX(0,ceiling-D143))))</f>
        <v/>
      </c>
      <c r="V143" s="12">
        <f>T143+U143</f>
        <v/>
      </c>
      <c r="W143" s="13">
        <f>IF(AND(C143="F",M143&lt;O143,SUMIFS(Categories!$AH$5:$AH$11,Categories!$A$5:$A$11,B143)=1),1,0)</f>
        <v/>
      </c>
      <c r="X143" s="12">
        <f>IF(W143=1,O143-M143,0)</f>
        <v/>
      </c>
      <c r="Y143" s="11">
        <f>IF(AND(W143=1,SUMIFS(Categories!$AI$5:$AI$11,Categories!$A$5:$A$11,B143)&gt;0),X143/SUMIFS(Categories!$AI$5:$AI$11,Categories!$A$5:$A$11,B143),0)</f>
        <v/>
      </c>
      <c r="Z143" s="12">
        <f>Y143*SUMIFS(Categories!$AJ$5:$AJ$11,Categories!$A$5:$A$11,B143)</f>
        <v/>
      </c>
      <c r="AA143" s="12">
        <f>Z143*J143</f>
        <v/>
      </c>
      <c r="AB143" s="12">
        <f>IF(AA143&lt;=0,0,(rate_below/100)*MIN(AA143,MAX(0,ceiling-D143))+(rate_above/100)*(AA143-MIN(AA143,MAX(0,ceiling-D143))))</f>
        <v/>
      </c>
      <c r="AC143" s="12">
        <f>AA143+AB143</f>
        <v/>
      </c>
      <c r="AD143" s="13">
        <f>SUMPRODUCT(($B$5:$B$216=B143)*($M$5:$M$216&lt;M143))+SUMPRODUCT(($B$5:$B$216=B143)*($M$5:$M$216=M143)*(ROW($M$5:$M$216)&lt;ROW(M143)))+1</f>
        <v/>
      </c>
      <c r="AE143" s="13">
        <f>COUNTIF($B$5:$B$216,B143)</f>
        <v/>
      </c>
      <c r="AF143" s="13">
        <f>SUMPRODUCT(($B$5:$B$216=B143)*($C$5:$C$216=C143)*($M$5:$M$216&lt;M143))+SUMPRODUCT(($B$5:$B$216=B143)*($C$5:$C$216=C143)*($M$5:$M$216=M143)*(ROW($M$5:$M$216)&lt;ROW(M143)))+1</f>
        <v/>
      </c>
      <c r="AG143" s="13">
        <f>COUNTIFS($B$5:$B$216,B143,$C$5:$C$216,C143)</f>
        <v/>
      </c>
    </row>
    <row r="144">
      <c r="A144" s="9" t="inlineStr">
        <is>
          <t>E140</t>
        </is>
      </c>
      <c r="B144" s="9" t="inlineStr">
        <is>
          <t>Manufacturing</t>
        </is>
      </c>
      <c r="C144" s="9" t="inlineStr">
        <is>
          <t>M</t>
        </is>
      </c>
      <c r="D144" s="10" t="n">
        <v>37472.58</v>
      </c>
      <c r="E144" s="10" t="n">
        <v>2599.36</v>
      </c>
      <c r="F144" s="9" t="n">
        <v>4.2</v>
      </c>
      <c r="G144" s="9" t="n">
        <v>2</v>
      </c>
      <c r="H144" s="9" t="n">
        <v>1</v>
      </c>
      <c r="I144" s="9" t="n">
        <v>12</v>
      </c>
      <c r="J144" s="11">
        <f>H144*(I144/12)</f>
        <v/>
      </c>
      <c r="K144" s="12">
        <f>D144/J144</f>
        <v/>
      </c>
      <c r="L144" s="12">
        <f>E144/J144</f>
        <v/>
      </c>
      <c r="M144" s="12">
        <f>K144+L144</f>
        <v/>
      </c>
      <c r="N144" s="12">
        <f>D144+E144</f>
        <v/>
      </c>
      <c r="O144" s="12">
        <f>(SUMIFS($M$5:$M$216,$B$5:$B$216,B144,$AD$5:$AD$216,INT((AE144+1)/2))+SUMIFS($M$5:$M$216,$B$5:$B$216,B144,$AD$5:$AD$216,INT(AE144/2)+1))/2</f>
        <v/>
      </c>
      <c r="P144" s="13">
        <f>IF(AND(C144="F",M144&lt;O144,SUMIFS(Categories!$Z$5:$Z$11,Categories!$A$5:$A$11,B144)=1),1,0)</f>
        <v/>
      </c>
      <c r="Q144" s="12">
        <f>IF(P144=1,O144-M144,0)</f>
        <v/>
      </c>
      <c r="R144" s="11">
        <f>IF(AND(P144=1,SUMIFS(Categories!$AA$5:$AA$11,Categories!$A$5:$A$11,B144)&gt;0),Q144/SUMIFS(Categories!$AA$5:$AA$11,Categories!$A$5:$A$11,B144),0)</f>
        <v/>
      </c>
      <c r="S144" s="12">
        <f>R144*SUMIFS(Categories!$AB$5:$AB$11,Categories!$A$5:$A$11,B144)</f>
        <v/>
      </c>
      <c r="T144" s="12">
        <f>S144*J144</f>
        <v/>
      </c>
      <c r="U144" s="12">
        <f>IF(T144&lt;=0,0,(rate_below/100)*MIN(T144,MAX(0,ceiling-D144))+(rate_above/100)*(T144-MIN(T144,MAX(0,ceiling-D144))))</f>
        <v/>
      </c>
      <c r="V144" s="12">
        <f>T144+U144</f>
        <v/>
      </c>
      <c r="W144" s="13">
        <f>IF(AND(C144="F",M144&lt;O144,SUMIFS(Categories!$AH$5:$AH$11,Categories!$A$5:$A$11,B144)=1),1,0)</f>
        <v/>
      </c>
      <c r="X144" s="12">
        <f>IF(W144=1,O144-M144,0)</f>
        <v/>
      </c>
      <c r="Y144" s="11">
        <f>IF(AND(W144=1,SUMIFS(Categories!$AI$5:$AI$11,Categories!$A$5:$A$11,B144)&gt;0),X144/SUMIFS(Categories!$AI$5:$AI$11,Categories!$A$5:$A$11,B144),0)</f>
        <v/>
      </c>
      <c r="Z144" s="12">
        <f>Y144*SUMIFS(Categories!$AJ$5:$AJ$11,Categories!$A$5:$A$11,B144)</f>
        <v/>
      </c>
      <c r="AA144" s="12">
        <f>Z144*J144</f>
        <v/>
      </c>
      <c r="AB144" s="12">
        <f>IF(AA144&lt;=0,0,(rate_below/100)*MIN(AA144,MAX(0,ceiling-D144))+(rate_above/100)*(AA144-MIN(AA144,MAX(0,ceiling-D144))))</f>
        <v/>
      </c>
      <c r="AC144" s="12">
        <f>AA144+AB144</f>
        <v/>
      </c>
      <c r="AD144" s="13">
        <f>SUMPRODUCT(($B$5:$B$216=B144)*($M$5:$M$216&lt;M144))+SUMPRODUCT(($B$5:$B$216=B144)*($M$5:$M$216=M144)*(ROW($M$5:$M$216)&lt;ROW(M144)))+1</f>
        <v/>
      </c>
      <c r="AE144" s="13">
        <f>COUNTIF($B$5:$B$216,B144)</f>
        <v/>
      </c>
      <c r="AF144" s="13">
        <f>SUMPRODUCT(($B$5:$B$216=B144)*($C$5:$C$216=C144)*($M$5:$M$216&lt;M144))+SUMPRODUCT(($B$5:$B$216=B144)*($C$5:$C$216=C144)*($M$5:$M$216=M144)*(ROW($M$5:$M$216)&lt;ROW(M144)))+1</f>
        <v/>
      </c>
      <c r="AG144" s="13">
        <f>COUNTIFS($B$5:$B$216,B144,$C$5:$C$216,C144)</f>
        <v/>
      </c>
    </row>
    <row r="145">
      <c r="A145" s="9" t="inlineStr">
        <is>
          <t>E141</t>
        </is>
      </c>
      <c r="B145" s="9" t="inlineStr">
        <is>
          <t>Manufacturing</t>
        </is>
      </c>
      <c r="C145" s="9" t="inlineStr">
        <is>
          <t>M</t>
        </is>
      </c>
      <c r="D145" s="10" t="n">
        <v>57822.2</v>
      </c>
      <c r="E145" s="10" t="n">
        <v>4173.89</v>
      </c>
      <c r="F145" s="9" t="n">
        <v>13</v>
      </c>
      <c r="G145" s="9" t="n">
        <v>4</v>
      </c>
      <c r="H145" s="9" t="n">
        <v>1</v>
      </c>
      <c r="I145" s="9" t="n">
        <v>12</v>
      </c>
      <c r="J145" s="11">
        <f>H145*(I145/12)</f>
        <v/>
      </c>
      <c r="K145" s="12">
        <f>D145/J145</f>
        <v/>
      </c>
      <c r="L145" s="12">
        <f>E145/J145</f>
        <v/>
      </c>
      <c r="M145" s="12">
        <f>K145+L145</f>
        <v/>
      </c>
      <c r="N145" s="12">
        <f>D145+E145</f>
        <v/>
      </c>
      <c r="O145" s="12">
        <f>(SUMIFS($M$5:$M$216,$B$5:$B$216,B145,$AD$5:$AD$216,INT((AE145+1)/2))+SUMIFS($M$5:$M$216,$B$5:$B$216,B145,$AD$5:$AD$216,INT(AE145/2)+1))/2</f>
        <v/>
      </c>
      <c r="P145" s="13">
        <f>IF(AND(C145="F",M145&lt;O145,SUMIFS(Categories!$Z$5:$Z$11,Categories!$A$5:$A$11,B145)=1),1,0)</f>
        <v/>
      </c>
      <c r="Q145" s="12">
        <f>IF(P145=1,O145-M145,0)</f>
        <v/>
      </c>
      <c r="R145" s="11">
        <f>IF(AND(P145=1,SUMIFS(Categories!$AA$5:$AA$11,Categories!$A$5:$A$11,B145)&gt;0),Q145/SUMIFS(Categories!$AA$5:$AA$11,Categories!$A$5:$A$11,B145),0)</f>
        <v/>
      </c>
      <c r="S145" s="12">
        <f>R145*SUMIFS(Categories!$AB$5:$AB$11,Categories!$A$5:$A$11,B145)</f>
        <v/>
      </c>
      <c r="T145" s="12">
        <f>S145*J145</f>
        <v/>
      </c>
      <c r="U145" s="12">
        <f>IF(T145&lt;=0,0,(rate_below/100)*MIN(T145,MAX(0,ceiling-D145))+(rate_above/100)*(T145-MIN(T145,MAX(0,ceiling-D145))))</f>
        <v/>
      </c>
      <c r="V145" s="12">
        <f>T145+U145</f>
        <v/>
      </c>
      <c r="W145" s="13">
        <f>IF(AND(C145="F",M145&lt;O145,SUMIFS(Categories!$AH$5:$AH$11,Categories!$A$5:$A$11,B145)=1),1,0)</f>
        <v/>
      </c>
      <c r="X145" s="12">
        <f>IF(W145=1,O145-M145,0)</f>
        <v/>
      </c>
      <c r="Y145" s="11">
        <f>IF(AND(W145=1,SUMIFS(Categories!$AI$5:$AI$11,Categories!$A$5:$A$11,B145)&gt;0),X145/SUMIFS(Categories!$AI$5:$AI$11,Categories!$A$5:$A$11,B145),0)</f>
        <v/>
      </c>
      <c r="Z145" s="12">
        <f>Y145*SUMIFS(Categories!$AJ$5:$AJ$11,Categories!$A$5:$A$11,B145)</f>
        <v/>
      </c>
      <c r="AA145" s="12">
        <f>Z145*J145</f>
        <v/>
      </c>
      <c r="AB145" s="12">
        <f>IF(AA145&lt;=0,0,(rate_below/100)*MIN(AA145,MAX(0,ceiling-D145))+(rate_above/100)*(AA145-MIN(AA145,MAX(0,ceiling-D145))))</f>
        <v/>
      </c>
      <c r="AC145" s="12">
        <f>AA145+AB145</f>
        <v/>
      </c>
      <c r="AD145" s="13">
        <f>SUMPRODUCT(($B$5:$B$216=B145)*($M$5:$M$216&lt;M145))+SUMPRODUCT(($B$5:$B$216=B145)*($M$5:$M$216=M145)*(ROW($M$5:$M$216)&lt;ROW(M145)))+1</f>
        <v/>
      </c>
      <c r="AE145" s="13">
        <f>COUNTIF($B$5:$B$216,B145)</f>
        <v/>
      </c>
      <c r="AF145" s="13">
        <f>SUMPRODUCT(($B$5:$B$216=B145)*($C$5:$C$216=C145)*($M$5:$M$216&lt;M145))+SUMPRODUCT(($B$5:$B$216=B145)*($C$5:$C$216=C145)*($M$5:$M$216=M145)*(ROW($M$5:$M$216)&lt;ROW(M145)))+1</f>
        <v/>
      </c>
      <c r="AG145" s="13">
        <f>COUNTIFS($B$5:$B$216,B145,$C$5:$C$216,C145)</f>
        <v/>
      </c>
    </row>
    <row r="146">
      <c r="A146" s="9" t="inlineStr">
        <is>
          <t>E142</t>
        </is>
      </c>
      <c r="B146" s="9" t="inlineStr">
        <is>
          <t>Manufacturing</t>
        </is>
      </c>
      <c r="C146" s="9" t="inlineStr">
        <is>
          <t>F</t>
        </is>
      </c>
      <c r="D146" s="10" t="n">
        <v>32629.81</v>
      </c>
      <c r="E146" s="10" t="n">
        <v>2205.64</v>
      </c>
      <c r="F146" s="9" t="n">
        <v>8.1</v>
      </c>
      <c r="G146" s="9" t="n">
        <v>1</v>
      </c>
      <c r="H146" s="9" t="n">
        <v>1</v>
      </c>
      <c r="I146" s="9" t="n">
        <v>12</v>
      </c>
      <c r="J146" s="11">
        <f>H146*(I146/12)</f>
        <v/>
      </c>
      <c r="K146" s="12">
        <f>D146/J146</f>
        <v/>
      </c>
      <c r="L146" s="12">
        <f>E146/J146</f>
        <v/>
      </c>
      <c r="M146" s="12">
        <f>K146+L146</f>
        <v/>
      </c>
      <c r="N146" s="12">
        <f>D146+E146</f>
        <v/>
      </c>
      <c r="O146" s="12">
        <f>(SUMIFS($M$5:$M$216,$B$5:$B$216,B146,$AD$5:$AD$216,INT((AE146+1)/2))+SUMIFS($M$5:$M$216,$B$5:$B$216,B146,$AD$5:$AD$216,INT(AE146/2)+1))/2</f>
        <v/>
      </c>
      <c r="P146" s="13">
        <f>IF(AND(C146="F",M146&lt;O146,SUMIFS(Categories!$Z$5:$Z$11,Categories!$A$5:$A$11,B146)=1),1,0)</f>
        <v/>
      </c>
      <c r="Q146" s="12">
        <f>IF(P146=1,O146-M146,0)</f>
        <v/>
      </c>
      <c r="R146" s="11">
        <f>IF(AND(P146=1,SUMIFS(Categories!$AA$5:$AA$11,Categories!$A$5:$A$11,B146)&gt;0),Q146/SUMIFS(Categories!$AA$5:$AA$11,Categories!$A$5:$A$11,B146),0)</f>
        <v/>
      </c>
      <c r="S146" s="12">
        <f>R146*SUMIFS(Categories!$AB$5:$AB$11,Categories!$A$5:$A$11,B146)</f>
        <v/>
      </c>
      <c r="T146" s="12">
        <f>S146*J146</f>
        <v/>
      </c>
      <c r="U146" s="12">
        <f>IF(T146&lt;=0,0,(rate_below/100)*MIN(T146,MAX(0,ceiling-D146))+(rate_above/100)*(T146-MIN(T146,MAX(0,ceiling-D146))))</f>
        <v/>
      </c>
      <c r="V146" s="12">
        <f>T146+U146</f>
        <v/>
      </c>
      <c r="W146" s="13">
        <f>IF(AND(C146="F",M146&lt;O146,SUMIFS(Categories!$AH$5:$AH$11,Categories!$A$5:$A$11,B146)=1),1,0)</f>
        <v/>
      </c>
      <c r="X146" s="12">
        <f>IF(W146=1,O146-M146,0)</f>
        <v/>
      </c>
      <c r="Y146" s="11">
        <f>IF(AND(W146=1,SUMIFS(Categories!$AI$5:$AI$11,Categories!$A$5:$A$11,B146)&gt;0),X146/SUMIFS(Categories!$AI$5:$AI$11,Categories!$A$5:$A$11,B146),0)</f>
        <v/>
      </c>
      <c r="Z146" s="12">
        <f>Y146*SUMIFS(Categories!$AJ$5:$AJ$11,Categories!$A$5:$A$11,B146)</f>
        <v/>
      </c>
      <c r="AA146" s="12">
        <f>Z146*J146</f>
        <v/>
      </c>
      <c r="AB146" s="12">
        <f>IF(AA146&lt;=0,0,(rate_below/100)*MIN(AA146,MAX(0,ceiling-D146))+(rate_above/100)*(AA146-MIN(AA146,MAX(0,ceiling-D146))))</f>
        <v/>
      </c>
      <c r="AC146" s="12">
        <f>AA146+AB146</f>
        <v/>
      </c>
      <c r="AD146" s="13">
        <f>SUMPRODUCT(($B$5:$B$216=B146)*($M$5:$M$216&lt;M146))+SUMPRODUCT(($B$5:$B$216=B146)*($M$5:$M$216=M146)*(ROW($M$5:$M$216)&lt;ROW(M146)))+1</f>
        <v/>
      </c>
      <c r="AE146" s="13">
        <f>COUNTIF($B$5:$B$216,B146)</f>
        <v/>
      </c>
      <c r="AF146" s="13">
        <f>SUMPRODUCT(($B$5:$B$216=B146)*($C$5:$C$216=C146)*($M$5:$M$216&lt;M146))+SUMPRODUCT(($B$5:$B$216=B146)*($C$5:$C$216=C146)*($M$5:$M$216=M146)*(ROW($M$5:$M$216)&lt;ROW(M146)))+1</f>
        <v/>
      </c>
      <c r="AG146" s="13">
        <f>COUNTIFS($B$5:$B$216,B146,$C$5:$C$216,C146)</f>
        <v/>
      </c>
    </row>
    <row r="147">
      <c r="A147" s="9" t="inlineStr">
        <is>
          <t>E143</t>
        </is>
      </c>
      <c r="B147" s="9" t="inlineStr">
        <is>
          <t>Manufacturing</t>
        </is>
      </c>
      <c r="C147" s="9" t="inlineStr">
        <is>
          <t>F</t>
        </is>
      </c>
      <c r="D147" s="10" t="n">
        <v>50948.68</v>
      </c>
      <c r="E147" s="10" t="n">
        <v>2450.16</v>
      </c>
      <c r="F147" s="9" t="n">
        <v>11.4</v>
      </c>
      <c r="G147" s="9" t="n">
        <v>4</v>
      </c>
      <c r="H147" s="9" t="n">
        <v>1</v>
      </c>
      <c r="I147" s="9" t="n">
        <v>12</v>
      </c>
      <c r="J147" s="11">
        <f>H147*(I147/12)</f>
        <v/>
      </c>
      <c r="K147" s="12">
        <f>D147/J147</f>
        <v/>
      </c>
      <c r="L147" s="12">
        <f>E147/J147</f>
        <v/>
      </c>
      <c r="M147" s="12">
        <f>K147+L147</f>
        <v/>
      </c>
      <c r="N147" s="12">
        <f>D147+E147</f>
        <v/>
      </c>
      <c r="O147" s="12">
        <f>(SUMIFS($M$5:$M$216,$B$5:$B$216,B147,$AD$5:$AD$216,INT((AE147+1)/2))+SUMIFS($M$5:$M$216,$B$5:$B$216,B147,$AD$5:$AD$216,INT(AE147/2)+1))/2</f>
        <v/>
      </c>
      <c r="P147" s="13">
        <f>IF(AND(C147="F",M147&lt;O147,SUMIFS(Categories!$Z$5:$Z$11,Categories!$A$5:$A$11,B147)=1),1,0)</f>
        <v/>
      </c>
      <c r="Q147" s="12">
        <f>IF(P147=1,O147-M147,0)</f>
        <v/>
      </c>
      <c r="R147" s="11">
        <f>IF(AND(P147=1,SUMIFS(Categories!$AA$5:$AA$11,Categories!$A$5:$A$11,B147)&gt;0),Q147/SUMIFS(Categories!$AA$5:$AA$11,Categories!$A$5:$A$11,B147),0)</f>
        <v/>
      </c>
      <c r="S147" s="12">
        <f>R147*SUMIFS(Categories!$AB$5:$AB$11,Categories!$A$5:$A$11,B147)</f>
        <v/>
      </c>
      <c r="T147" s="12">
        <f>S147*J147</f>
        <v/>
      </c>
      <c r="U147" s="12">
        <f>IF(T147&lt;=0,0,(rate_below/100)*MIN(T147,MAX(0,ceiling-D147))+(rate_above/100)*(T147-MIN(T147,MAX(0,ceiling-D147))))</f>
        <v/>
      </c>
      <c r="V147" s="12">
        <f>T147+U147</f>
        <v/>
      </c>
      <c r="W147" s="13">
        <f>IF(AND(C147="F",M147&lt;O147,SUMIFS(Categories!$AH$5:$AH$11,Categories!$A$5:$A$11,B147)=1),1,0)</f>
        <v/>
      </c>
      <c r="X147" s="12">
        <f>IF(W147=1,O147-M147,0)</f>
        <v/>
      </c>
      <c r="Y147" s="11">
        <f>IF(AND(W147=1,SUMIFS(Categories!$AI$5:$AI$11,Categories!$A$5:$A$11,B147)&gt;0),X147/SUMIFS(Categories!$AI$5:$AI$11,Categories!$A$5:$A$11,B147),0)</f>
        <v/>
      </c>
      <c r="Z147" s="12">
        <f>Y147*SUMIFS(Categories!$AJ$5:$AJ$11,Categories!$A$5:$A$11,B147)</f>
        <v/>
      </c>
      <c r="AA147" s="12">
        <f>Z147*J147</f>
        <v/>
      </c>
      <c r="AB147" s="12">
        <f>IF(AA147&lt;=0,0,(rate_below/100)*MIN(AA147,MAX(0,ceiling-D147))+(rate_above/100)*(AA147-MIN(AA147,MAX(0,ceiling-D147))))</f>
        <v/>
      </c>
      <c r="AC147" s="12">
        <f>AA147+AB147</f>
        <v/>
      </c>
      <c r="AD147" s="13">
        <f>SUMPRODUCT(($B$5:$B$216=B147)*($M$5:$M$216&lt;M147))+SUMPRODUCT(($B$5:$B$216=B147)*($M$5:$M$216=M147)*(ROW($M$5:$M$216)&lt;ROW(M147)))+1</f>
        <v/>
      </c>
      <c r="AE147" s="13">
        <f>COUNTIF($B$5:$B$216,B147)</f>
        <v/>
      </c>
      <c r="AF147" s="13">
        <f>SUMPRODUCT(($B$5:$B$216=B147)*($C$5:$C$216=C147)*($M$5:$M$216&lt;M147))+SUMPRODUCT(($B$5:$B$216=B147)*($C$5:$C$216=C147)*($M$5:$M$216=M147)*(ROW($M$5:$M$216)&lt;ROW(M147)))+1</f>
        <v/>
      </c>
      <c r="AG147" s="13">
        <f>COUNTIFS($B$5:$B$216,B147,$C$5:$C$216,C147)</f>
        <v/>
      </c>
    </row>
    <row r="148">
      <c r="A148" s="9" t="inlineStr">
        <is>
          <t>E144</t>
        </is>
      </c>
      <c r="B148" s="9" t="inlineStr">
        <is>
          <t>Manufacturing</t>
        </is>
      </c>
      <c r="C148" s="9" t="inlineStr">
        <is>
          <t>F</t>
        </is>
      </c>
      <c r="D148" s="10" t="n">
        <v>40767.72</v>
      </c>
      <c r="E148" s="10" t="n">
        <v>3026.18</v>
      </c>
      <c r="F148" s="9" t="n">
        <v>11.5</v>
      </c>
      <c r="G148" s="9" t="n">
        <v>2</v>
      </c>
      <c r="H148" s="9" t="n">
        <v>1</v>
      </c>
      <c r="I148" s="9" t="n">
        <v>12</v>
      </c>
      <c r="J148" s="11">
        <f>H148*(I148/12)</f>
        <v/>
      </c>
      <c r="K148" s="12">
        <f>D148/J148</f>
        <v/>
      </c>
      <c r="L148" s="12">
        <f>E148/J148</f>
        <v/>
      </c>
      <c r="M148" s="12">
        <f>K148+L148</f>
        <v/>
      </c>
      <c r="N148" s="12">
        <f>D148+E148</f>
        <v/>
      </c>
      <c r="O148" s="12">
        <f>(SUMIFS($M$5:$M$216,$B$5:$B$216,B148,$AD$5:$AD$216,INT((AE148+1)/2))+SUMIFS($M$5:$M$216,$B$5:$B$216,B148,$AD$5:$AD$216,INT(AE148/2)+1))/2</f>
        <v/>
      </c>
      <c r="P148" s="13">
        <f>IF(AND(C148="F",M148&lt;O148,SUMIFS(Categories!$Z$5:$Z$11,Categories!$A$5:$A$11,B148)=1),1,0)</f>
        <v/>
      </c>
      <c r="Q148" s="12">
        <f>IF(P148=1,O148-M148,0)</f>
        <v/>
      </c>
      <c r="R148" s="11">
        <f>IF(AND(P148=1,SUMIFS(Categories!$AA$5:$AA$11,Categories!$A$5:$A$11,B148)&gt;0),Q148/SUMIFS(Categories!$AA$5:$AA$11,Categories!$A$5:$A$11,B148),0)</f>
        <v/>
      </c>
      <c r="S148" s="12">
        <f>R148*SUMIFS(Categories!$AB$5:$AB$11,Categories!$A$5:$A$11,B148)</f>
        <v/>
      </c>
      <c r="T148" s="12">
        <f>S148*J148</f>
        <v/>
      </c>
      <c r="U148" s="12">
        <f>IF(T148&lt;=0,0,(rate_below/100)*MIN(T148,MAX(0,ceiling-D148))+(rate_above/100)*(T148-MIN(T148,MAX(0,ceiling-D148))))</f>
        <v/>
      </c>
      <c r="V148" s="12">
        <f>T148+U148</f>
        <v/>
      </c>
      <c r="W148" s="13">
        <f>IF(AND(C148="F",M148&lt;O148,SUMIFS(Categories!$AH$5:$AH$11,Categories!$A$5:$A$11,B148)=1),1,0)</f>
        <v/>
      </c>
      <c r="X148" s="12">
        <f>IF(W148=1,O148-M148,0)</f>
        <v/>
      </c>
      <c r="Y148" s="11">
        <f>IF(AND(W148=1,SUMIFS(Categories!$AI$5:$AI$11,Categories!$A$5:$A$11,B148)&gt;0),X148/SUMIFS(Categories!$AI$5:$AI$11,Categories!$A$5:$A$11,B148),0)</f>
        <v/>
      </c>
      <c r="Z148" s="12">
        <f>Y148*SUMIFS(Categories!$AJ$5:$AJ$11,Categories!$A$5:$A$11,B148)</f>
        <v/>
      </c>
      <c r="AA148" s="12">
        <f>Z148*J148</f>
        <v/>
      </c>
      <c r="AB148" s="12">
        <f>IF(AA148&lt;=0,0,(rate_below/100)*MIN(AA148,MAX(0,ceiling-D148))+(rate_above/100)*(AA148-MIN(AA148,MAX(0,ceiling-D148))))</f>
        <v/>
      </c>
      <c r="AC148" s="12">
        <f>AA148+AB148</f>
        <v/>
      </c>
      <c r="AD148" s="13">
        <f>SUMPRODUCT(($B$5:$B$216=B148)*($M$5:$M$216&lt;M148))+SUMPRODUCT(($B$5:$B$216=B148)*($M$5:$M$216=M148)*(ROW($M$5:$M$216)&lt;ROW(M148)))+1</f>
        <v/>
      </c>
      <c r="AE148" s="13">
        <f>COUNTIF($B$5:$B$216,B148)</f>
        <v/>
      </c>
      <c r="AF148" s="13">
        <f>SUMPRODUCT(($B$5:$B$216=B148)*($C$5:$C$216=C148)*($M$5:$M$216&lt;M148))+SUMPRODUCT(($B$5:$B$216=B148)*($C$5:$C$216=C148)*($M$5:$M$216=M148)*(ROW($M$5:$M$216)&lt;ROW(M148)))+1</f>
        <v/>
      </c>
      <c r="AG148" s="13">
        <f>COUNTIFS($B$5:$B$216,B148,$C$5:$C$216,C148)</f>
        <v/>
      </c>
    </row>
    <row r="149">
      <c r="A149" s="9" t="inlineStr">
        <is>
          <t>E145</t>
        </is>
      </c>
      <c r="B149" s="9" t="inlineStr">
        <is>
          <t>Manufacturing</t>
        </is>
      </c>
      <c r="C149" s="9" t="inlineStr">
        <is>
          <t>M</t>
        </is>
      </c>
      <c r="D149" s="10" t="n">
        <v>68336.14999999999</v>
      </c>
      <c r="E149" s="10" t="n">
        <v>4906.63</v>
      </c>
      <c r="F149" s="9" t="n">
        <v>18.4</v>
      </c>
      <c r="G149" s="9" t="n">
        <v>5</v>
      </c>
      <c r="H149" s="9" t="n">
        <v>1</v>
      </c>
      <c r="I149" s="9" t="n">
        <v>12</v>
      </c>
      <c r="J149" s="11">
        <f>H149*(I149/12)</f>
        <v/>
      </c>
      <c r="K149" s="12">
        <f>D149/J149</f>
        <v/>
      </c>
      <c r="L149" s="12">
        <f>E149/J149</f>
        <v/>
      </c>
      <c r="M149" s="12">
        <f>K149+L149</f>
        <v/>
      </c>
      <c r="N149" s="12">
        <f>D149+E149</f>
        <v/>
      </c>
      <c r="O149" s="12">
        <f>(SUMIFS($M$5:$M$216,$B$5:$B$216,B149,$AD$5:$AD$216,INT((AE149+1)/2))+SUMIFS($M$5:$M$216,$B$5:$B$216,B149,$AD$5:$AD$216,INT(AE149/2)+1))/2</f>
        <v/>
      </c>
      <c r="P149" s="13">
        <f>IF(AND(C149="F",M149&lt;O149,SUMIFS(Categories!$Z$5:$Z$11,Categories!$A$5:$A$11,B149)=1),1,0)</f>
        <v/>
      </c>
      <c r="Q149" s="12">
        <f>IF(P149=1,O149-M149,0)</f>
        <v/>
      </c>
      <c r="R149" s="11">
        <f>IF(AND(P149=1,SUMIFS(Categories!$AA$5:$AA$11,Categories!$A$5:$A$11,B149)&gt;0),Q149/SUMIFS(Categories!$AA$5:$AA$11,Categories!$A$5:$A$11,B149),0)</f>
        <v/>
      </c>
      <c r="S149" s="12">
        <f>R149*SUMIFS(Categories!$AB$5:$AB$11,Categories!$A$5:$A$11,B149)</f>
        <v/>
      </c>
      <c r="T149" s="12">
        <f>S149*J149</f>
        <v/>
      </c>
      <c r="U149" s="12">
        <f>IF(T149&lt;=0,0,(rate_below/100)*MIN(T149,MAX(0,ceiling-D149))+(rate_above/100)*(T149-MIN(T149,MAX(0,ceiling-D149))))</f>
        <v/>
      </c>
      <c r="V149" s="12">
        <f>T149+U149</f>
        <v/>
      </c>
      <c r="W149" s="13">
        <f>IF(AND(C149="F",M149&lt;O149,SUMIFS(Categories!$AH$5:$AH$11,Categories!$A$5:$A$11,B149)=1),1,0)</f>
        <v/>
      </c>
      <c r="X149" s="12">
        <f>IF(W149=1,O149-M149,0)</f>
        <v/>
      </c>
      <c r="Y149" s="11">
        <f>IF(AND(W149=1,SUMIFS(Categories!$AI$5:$AI$11,Categories!$A$5:$A$11,B149)&gt;0),X149/SUMIFS(Categories!$AI$5:$AI$11,Categories!$A$5:$A$11,B149),0)</f>
        <v/>
      </c>
      <c r="Z149" s="12">
        <f>Y149*SUMIFS(Categories!$AJ$5:$AJ$11,Categories!$A$5:$A$11,B149)</f>
        <v/>
      </c>
      <c r="AA149" s="12">
        <f>Z149*J149</f>
        <v/>
      </c>
      <c r="AB149" s="12">
        <f>IF(AA149&lt;=0,0,(rate_below/100)*MIN(AA149,MAX(0,ceiling-D149))+(rate_above/100)*(AA149-MIN(AA149,MAX(0,ceiling-D149))))</f>
        <v/>
      </c>
      <c r="AC149" s="12">
        <f>AA149+AB149</f>
        <v/>
      </c>
      <c r="AD149" s="13">
        <f>SUMPRODUCT(($B$5:$B$216=B149)*($M$5:$M$216&lt;M149))+SUMPRODUCT(($B$5:$B$216=B149)*($M$5:$M$216=M149)*(ROW($M$5:$M$216)&lt;ROW(M149)))+1</f>
        <v/>
      </c>
      <c r="AE149" s="13">
        <f>COUNTIF($B$5:$B$216,B149)</f>
        <v/>
      </c>
      <c r="AF149" s="13">
        <f>SUMPRODUCT(($B$5:$B$216=B149)*($C$5:$C$216=C149)*($M$5:$M$216&lt;M149))+SUMPRODUCT(($B$5:$B$216=B149)*($C$5:$C$216=C149)*($M$5:$M$216=M149)*(ROW($M$5:$M$216)&lt;ROW(M149)))+1</f>
        <v/>
      </c>
      <c r="AG149" s="13">
        <f>COUNTIFS($B$5:$B$216,B149,$C$5:$C$216,C149)</f>
        <v/>
      </c>
    </row>
    <row r="150">
      <c r="A150" s="9" t="inlineStr">
        <is>
          <t>E146</t>
        </is>
      </c>
      <c r="B150" s="9" t="inlineStr">
        <is>
          <t>Manufacturing</t>
        </is>
      </c>
      <c r="C150" s="9" t="inlineStr">
        <is>
          <t>F</t>
        </is>
      </c>
      <c r="D150" s="10" t="n">
        <v>41746.21</v>
      </c>
      <c r="E150" s="10" t="n">
        <v>2569.23</v>
      </c>
      <c r="F150" s="9" t="n">
        <v>15.6</v>
      </c>
      <c r="G150" s="9" t="n">
        <v>4</v>
      </c>
      <c r="H150" s="9" t="n">
        <v>0.8</v>
      </c>
      <c r="I150" s="9" t="n">
        <v>12</v>
      </c>
      <c r="J150" s="11">
        <f>H150*(I150/12)</f>
        <v/>
      </c>
      <c r="K150" s="12">
        <f>D150/J150</f>
        <v/>
      </c>
      <c r="L150" s="12">
        <f>E150/J150</f>
        <v/>
      </c>
      <c r="M150" s="12">
        <f>K150+L150</f>
        <v/>
      </c>
      <c r="N150" s="12">
        <f>D150+E150</f>
        <v/>
      </c>
      <c r="O150" s="12">
        <f>(SUMIFS($M$5:$M$216,$B$5:$B$216,B150,$AD$5:$AD$216,INT((AE150+1)/2))+SUMIFS($M$5:$M$216,$B$5:$B$216,B150,$AD$5:$AD$216,INT(AE150/2)+1))/2</f>
        <v/>
      </c>
      <c r="P150" s="13">
        <f>IF(AND(C150="F",M150&lt;O150,SUMIFS(Categories!$Z$5:$Z$11,Categories!$A$5:$A$11,B150)=1),1,0)</f>
        <v/>
      </c>
      <c r="Q150" s="12">
        <f>IF(P150=1,O150-M150,0)</f>
        <v/>
      </c>
      <c r="R150" s="11">
        <f>IF(AND(P150=1,SUMIFS(Categories!$AA$5:$AA$11,Categories!$A$5:$A$11,B150)&gt;0),Q150/SUMIFS(Categories!$AA$5:$AA$11,Categories!$A$5:$A$11,B150),0)</f>
        <v/>
      </c>
      <c r="S150" s="12">
        <f>R150*SUMIFS(Categories!$AB$5:$AB$11,Categories!$A$5:$A$11,B150)</f>
        <v/>
      </c>
      <c r="T150" s="12">
        <f>S150*J150</f>
        <v/>
      </c>
      <c r="U150" s="12">
        <f>IF(T150&lt;=0,0,(rate_below/100)*MIN(T150,MAX(0,ceiling-D150))+(rate_above/100)*(T150-MIN(T150,MAX(0,ceiling-D150))))</f>
        <v/>
      </c>
      <c r="V150" s="12">
        <f>T150+U150</f>
        <v/>
      </c>
      <c r="W150" s="13">
        <f>IF(AND(C150="F",M150&lt;O150,SUMIFS(Categories!$AH$5:$AH$11,Categories!$A$5:$A$11,B150)=1),1,0)</f>
        <v/>
      </c>
      <c r="X150" s="12">
        <f>IF(W150=1,O150-M150,0)</f>
        <v/>
      </c>
      <c r="Y150" s="11">
        <f>IF(AND(W150=1,SUMIFS(Categories!$AI$5:$AI$11,Categories!$A$5:$A$11,B150)&gt;0),X150/SUMIFS(Categories!$AI$5:$AI$11,Categories!$A$5:$A$11,B150),0)</f>
        <v/>
      </c>
      <c r="Z150" s="12">
        <f>Y150*SUMIFS(Categories!$AJ$5:$AJ$11,Categories!$A$5:$A$11,B150)</f>
        <v/>
      </c>
      <c r="AA150" s="12">
        <f>Z150*J150</f>
        <v/>
      </c>
      <c r="AB150" s="12">
        <f>IF(AA150&lt;=0,0,(rate_below/100)*MIN(AA150,MAX(0,ceiling-D150))+(rate_above/100)*(AA150-MIN(AA150,MAX(0,ceiling-D150))))</f>
        <v/>
      </c>
      <c r="AC150" s="12">
        <f>AA150+AB150</f>
        <v/>
      </c>
      <c r="AD150" s="13">
        <f>SUMPRODUCT(($B$5:$B$216=B150)*($M$5:$M$216&lt;M150))+SUMPRODUCT(($B$5:$B$216=B150)*($M$5:$M$216=M150)*(ROW($M$5:$M$216)&lt;ROW(M150)))+1</f>
        <v/>
      </c>
      <c r="AE150" s="13">
        <f>COUNTIF($B$5:$B$216,B150)</f>
        <v/>
      </c>
      <c r="AF150" s="13">
        <f>SUMPRODUCT(($B$5:$B$216=B150)*($C$5:$C$216=C150)*($M$5:$M$216&lt;M150))+SUMPRODUCT(($B$5:$B$216=B150)*($C$5:$C$216=C150)*($M$5:$M$216=M150)*(ROW($M$5:$M$216)&lt;ROW(M150)))+1</f>
        <v/>
      </c>
      <c r="AG150" s="13">
        <f>COUNTIFS($B$5:$B$216,B150,$C$5:$C$216,C150)</f>
        <v/>
      </c>
    </row>
    <row r="151">
      <c r="A151" s="9" t="inlineStr">
        <is>
          <t>E147</t>
        </is>
      </c>
      <c r="B151" s="9" t="inlineStr">
        <is>
          <t>Manufacturing</t>
        </is>
      </c>
      <c r="C151" s="9" t="inlineStr">
        <is>
          <t>M</t>
        </is>
      </c>
      <c r="D151" s="10" t="n">
        <v>43516.39</v>
      </c>
      <c r="E151" s="10" t="n">
        <v>2448.78</v>
      </c>
      <c r="F151" s="9" t="n">
        <v>5.5</v>
      </c>
      <c r="G151" s="9" t="n">
        <v>2</v>
      </c>
      <c r="H151" s="9" t="n">
        <v>1</v>
      </c>
      <c r="I151" s="9" t="n">
        <v>12</v>
      </c>
      <c r="J151" s="11">
        <f>H151*(I151/12)</f>
        <v/>
      </c>
      <c r="K151" s="12">
        <f>D151/J151</f>
        <v/>
      </c>
      <c r="L151" s="12">
        <f>E151/J151</f>
        <v/>
      </c>
      <c r="M151" s="12">
        <f>K151+L151</f>
        <v/>
      </c>
      <c r="N151" s="12">
        <f>D151+E151</f>
        <v/>
      </c>
      <c r="O151" s="12">
        <f>(SUMIFS($M$5:$M$216,$B$5:$B$216,B151,$AD$5:$AD$216,INT((AE151+1)/2))+SUMIFS($M$5:$M$216,$B$5:$B$216,B151,$AD$5:$AD$216,INT(AE151/2)+1))/2</f>
        <v/>
      </c>
      <c r="P151" s="13">
        <f>IF(AND(C151="F",M151&lt;O151,SUMIFS(Categories!$Z$5:$Z$11,Categories!$A$5:$A$11,B151)=1),1,0)</f>
        <v/>
      </c>
      <c r="Q151" s="12">
        <f>IF(P151=1,O151-M151,0)</f>
        <v/>
      </c>
      <c r="R151" s="11">
        <f>IF(AND(P151=1,SUMIFS(Categories!$AA$5:$AA$11,Categories!$A$5:$A$11,B151)&gt;0),Q151/SUMIFS(Categories!$AA$5:$AA$11,Categories!$A$5:$A$11,B151),0)</f>
        <v/>
      </c>
      <c r="S151" s="12">
        <f>R151*SUMIFS(Categories!$AB$5:$AB$11,Categories!$A$5:$A$11,B151)</f>
        <v/>
      </c>
      <c r="T151" s="12">
        <f>S151*J151</f>
        <v/>
      </c>
      <c r="U151" s="12">
        <f>IF(T151&lt;=0,0,(rate_below/100)*MIN(T151,MAX(0,ceiling-D151))+(rate_above/100)*(T151-MIN(T151,MAX(0,ceiling-D151))))</f>
        <v/>
      </c>
      <c r="V151" s="12">
        <f>T151+U151</f>
        <v/>
      </c>
      <c r="W151" s="13">
        <f>IF(AND(C151="F",M151&lt;O151,SUMIFS(Categories!$AH$5:$AH$11,Categories!$A$5:$A$11,B151)=1),1,0)</f>
        <v/>
      </c>
      <c r="X151" s="12">
        <f>IF(W151=1,O151-M151,0)</f>
        <v/>
      </c>
      <c r="Y151" s="11">
        <f>IF(AND(W151=1,SUMIFS(Categories!$AI$5:$AI$11,Categories!$A$5:$A$11,B151)&gt;0),X151/SUMIFS(Categories!$AI$5:$AI$11,Categories!$A$5:$A$11,B151),0)</f>
        <v/>
      </c>
      <c r="Z151" s="12">
        <f>Y151*SUMIFS(Categories!$AJ$5:$AJ$11,Categories!$A$5:$A$11,B151)</f>
        <v/>
      </c>
      <c r="AA151" s="12">
        <f>Z151*J151</f>
        <v/>
      </c>
      <c r="AB151" s="12">
        <f>IF(AA151&lt;=0,0,(rate_below/100)*MIN(AA151,MAX(0,ceiling-D151))+(rate_above/100)*(AA151-MIN(AA151,MAX(0,ceiling-D151))))</f>
        <v/>
      </c>
      <c r="AC151" s="12">
        <f>AA151+AB151</f>
        <v/>
      </c>
      <c r="AD151" s="13">
        <f>SUMPRODUCT(($B$5:$B$216=B151)*($M$5:$M$216&lt;M151))+SUMPRODUCT(($B$5:$B$216=B151)*($M$5:$M$216=M151)*(ROW($M$5:$M$216)&lt;ROW(M151)))+1</f>
        <v/>
      </c>
      <c r="AE151" s="13">
        <f>COUNTIF($B$5:$B$216,B151)</f>
        <v/>
      </c>
      <c r="AF151" s="13">
        <f>SUMPRODUCT(($B$5:$B$216=B151)*($C$5:$C$216=C151)*($M$5:$M$216&lt;M151))+SUMPRODUCT(($B$5:$B$216=B151)*($C$5:$C$216=C151)*($M$5:$M$216=M151)*(ROW($M$5:$M$216)&lt;ROW(M151)))+1</f>
        <v/>
      </c>
      <c r="AG151" s="13">
        <f>COUNTIFS($B$5:$B$216,B151,$C$5:$C$216,C151)</f>
        <v/>
      </c>
    </row>
    <row r="152">
      <c r="A152" s="9" t="inlineStr">
        <is>
          <t>E148</t>
        </is>
      </c>
      <c r="B152" s="9" t="inlineStr">
        <is>
          <t>Manufacturing</t>
        </is>
      </c>
      <c r="C152" s="9" t="inlineStr">
        <is>
          <t>M</t>
        </is>
      </c>
      <c r="D152" s="10" t="n">
        <v>56331.5</v>
      </c>
      <c r="E152" s="10" t="n">
        <v>2595.26</v>
      </c>
      <c r="F152" s="9" t="n">
        <v>18.6</v>
      </c>
      <c r="G152" s="9" t="n">
        <v>4</v>
      </c>
      <c r="H152" s="9" t="n">
        <v>1</v>
      </c>
      <c r="I152" s="9" t="n">
        <v>12</v>
      </c>
      <c r="J152" s="11">
        <f>H152*(I152/12)</f>
        <v/>
      </c>
      <c r="K152" s="12">
        <f>D152/J152</f>
        <v/>
      </c>
      <c r="L152" s="12">
        <f>E152/J152</f>
        <v/>
      </c>
      <c r="M152" s="12">
        <f>K152+L152</f>
        <v/>
      </c>
      <c r="N152" s="12">
        <f>D152+E152</f>
        <v/>
      </c>
      <c r="O152" s="12">
        <f>(SUMIFS($M$5:$M$216,$B$5:$B$216,B152,$AD$5:$AD$216,INT((AE152+1)/2))+SUMIFS($M$5:$M$216,$B$5:$B$216,B152,$AD$5:$AD$216,INT(AE152/2)+1))/2</f>
        <v/>
      </c>
      <c r="P152" s="13">
        <f>IF(AND(C152="F",M152&lt;O152,SUMIFS(Categories!$Z$5:$Z$11,Categories!$A$5:$A$11,B152)=1),1,0)</f>
        <v/>
      </c>
      <c r="Q152" s="12">
        <f>IF(P152=1,O152-M152,0)</f>
        <v/>
      </c>
      <c r="R152" s="11">
        <f>IF(AND(P152=1,SUMIFS(Categories!$AA$5:$AA$11,Categories!$A$5:$A$11,B152)&gt;0),Q152/SUMIFS(Categories!$AA$5:$AA$11,Categories!$A$5:$A$11,B152),0)</f>
        <v/>
      </c>
      <c r="S152" s="12">
        <f>R152*SUMIFS(Categories!$AB$5:$AB$11,Categories!$A$5:$A$11,B152)</f>
        <v/>
      </c>
      <c r="T152" s="12">
        <f>S152*J152</f>
        <v/>
      </c>
      <c r="U152" s="12">
        <f>IF(T152&lt;=0,0,(rate_below/100)*MIN(T152,MAX(0,ceiling-D152))+(rate_above/100)*(T152-MIN(T152,MAX(0,ceiling-D152))))</f>
        <v/>
      </c>
      <c r="V152" s="12">
        <f>T152+U152</f>
        <v/>
      </c>
      <c r="W152" s="13">
        <f>IF(AND(C152="F",M152&lt;O152,SUMIFS(Categories!$AH$5:$AH$11,Categories!$A$5:$A$11,B152)=1),1,0)</f>
        <v/>
      </c>
      <c r="X152" s="12">
        <f>IF(W152=1,O152-M152,0)</f>
        <v/>
      </c>
      <c r="Y152" s="11">
        <f>IF(AND(W152=1,SUMIFS(Categories!$AI$5:$AI$11,Categories!$A$5:$A$11,B152)&gt;0),X152/SUMIFS(Categories!$AI$5:$AI$11,Categories!$A$5:$A$11,B152),0)</f>
        <v/>
      </c>
      <c r="Z152" s="12">
        <f>Y152*SUMIFS(Categories!$AJ$5:$AJ$11,Categories!$A$5:$A$11,B152)</f>
        <v/>
      </c>
      <c r="AA152" s="12">
        <f>Z152*J152</f>
        <v/>
      </c>
      <c r="AB152" s="12">
        <f>IF(AA152&lt;=0,0,(rate_below/100)*MIN(AA152,MAX(0,ceiling-D152))+(rate_above/100)*(AA152-MIN(AA152,MAX(0,ceiling-D152))))</f>
        <v/>
      </c>
      <c r="AC152" s="12">
        <f>AA152+AB152</f>
        <v/>
      </c>
      <c r="AD152" s="13">
        <f>SUMPRODUCT(($B$5:$B$216=B152)*($M$5:$M$216&lt;M152))+SUMPRODUCT(($B$5:$B$216=B152)*($M$5:$M$216=M152)*(ROW($M$5:$M$216)&lt;ROW(M152)))+1</f>
        <v/>
      </c>
      <c r="AE152" s="13">
        <f>COUNTIF($B$5:$B$216,B152)</f>
        <v/>
      </c>
      <c r="AF152" s="13">
        <f>SUMPRODUCT(($B$5:$B$216=B152)*($C$5:$C$216=C152)*($M$5:$M$216&lt;M152))+SUMPRODUCT(($B$5:$B$216=B152)*($C$5:$C$216=C152)*($M$5:$M$216=M152)*(ROW($M$5:$M$216)&lt;ROW(M152)))+1</f>
        <v/>
      </c>
      <c r="AG152" s="13">
        <f>COUNTIFS($B$5:$B$216,B152,$C$5:$C$216,C152)</f>
        <v/>
      </c>
    </row>
    <row r="153">
      <c r="A153" s="9" t="inlineStr">
        <is>
          <t>E149</t>
        </is>
      </c>
      <c r="B153" s="9" t="inlineStr">
        <is>
          <t>Manufacturing</t>
        </is>
      </c>
      <c r="C153" s="9" t="inlineStr">
        <is>
          <t>M</t>
        </is>
      </c>
      <c r="D153" s="10" t="n">
        <v>46727.34</v>
      </c>
      <c r="E153" s="10" t="n">
        <v>2519.04</v>
      </c>
      <c r="F153" s="9" t="n">
        <v>12.8</v>
      </c>
      <c r="G153" s="9" t="n">
        <v>2</v>
      </c>
      <c r="H153" s="9" t="n">
        <v>1</v>
      </c>
      <c r="I153" s="9" t="n">
        <v>12</v>
      </c>
      <c r="J153" s="11">
        <f>H153*(I153/12)</f>
        <v/>
      </c>
      <c r="K153" s="12">
        <f>D153/J153</f>
        <v/>
      </c>
      <c r="L153" s="12">
        <f>E153/J153</f>
        <v/>
      </c>
      <c r="M153" s="12">
        <f>K153+L153</f>
        <v/>
      </c>
      <c r="N153" s="12">
        <f>D153+E153</f>
        <v/>
      </c>
      <c r="O153" s="12">
        <f>(SUMIFS($M$5:$M$216,$B$5:$B$216,B153,$AD$5:$AD$216,INT((AE153+1)/2))+SUMIFS($M$5:$M$216,$B$5:$B$216,B153,$AD$5:$AD$216,INT(AE153/2)+1))/2</f>
        <v/>
      </c>
      <c r="P153" s="13">
        <f>IF(AND(C153="F",M153&lt;O153,SUMIFS(Categories!$Z$5:$Z$11,Categories!$A$5:$A$11,B153)=1),1,0)</f>
        <v/>
      </c>
      <c r="Q153" s="12">
        <f>IF(P153=1,O153-M153,0)</f>
        <v/>
      </c>
      <c r="R153" s="11">
        <f>IF(AND(P153=1,SUMIFS(Categories!$AA$5:$AA$11,Categories!$A$5:$A$11,B153)&gt;0),Q153/SUMIFS(Categories!$AA$5:$AA$11,Categories!$A$5:$A$11,B153),0)</f>
        <v/>
      </c>
      <c r="S153" s="12">
        <f>R153*SUMIFS(Categories!$AB$5:$AB$11,Categories!$A$5:$A$11,B153)</f>
        <v/>
      </c>
      <c r="T153" s="12">
        <f>S153*J153</f>
        <v/>
      </c>
      <c r="U153" s="12">
        <f>IF(T153&lt;=0,0,(rate_below/100)*MIN(T153,MAX(0,ceiling-D153))+(rate_above/100)*(T153-MIN(T153,MAX(0,ceiling-D153))))</f>
        <v/>
      </c>
      <c r="V153" s="12">
        <f>T153+U153</f>
        <v/>
      </c>
      <c r="W153" s="13">
        <f>IF(AND(C153="F",M153&lt;O153,SUMIFS(Categories!$AH$5:$AH$11,Categories!$A$5:$A$11,B153)=1),1,0)</f>
        <v/>
      </c>
      <c r="X153" s="12">
        <f>IF(W153=1,O153-M153,0)</f>
        <v/>
      </c>
      <c r="Y153" s="11">
        <f>IF(AND(W153=1,SUMIFS(Categories!$AI$5:$AI$11,Categories!$A$5:$A$11,B153)&gt;0),X153/SUMIFS(Categories!$AI$5:$AI$11,Categories!$A$5:$A$11,B153),0)</f>
        <v/>
      </c>
      <c r="Z153" s="12">
        <f>Y153*SUMIFS(Categories!$AJ$5:$AJ$11,Categories!$A$5:$A$11,B153)</f>
        <v/>
      </c>
      <c r="AA153" s="12">
        <f>Z153*J153</f>
        <v/>
      </c>
      <c r="AB153" s="12">
        <f>IF(AA153&lt;=0,0,(rate_below/100)*MIN(AA153,MAX(0,ceiling-D153))+(rate_above/100)*(AA153-MIN(AA153,MAX(0,ceiling-D153))))</f>
        <v/>
      </c>
      <c r="AC153" s="12">
        <f>AA153+AB153</f>
        <v/>
      </c>
      <c r="AD153" s="13">
        <f>SUMPRODUCT(($B$5:$B$216=B153)*($M$5:$M$216&lt;M153))+SUMPRODUCT(($B$5:$B$216=B153)*($M$5:$M$216=M153)*(ROW($M$5:$M$216)&lt;ROW(M153)))+1</f>
        <v/>
      </c>
      <c r="AE153" s="13">
        <f>COUNTIF($B$5:$B$216,B153)</f>
        <v/>
      </c>
      <c r="AF153" s="13">
        <f>SUMPRODUCT(($B$5:$B$216=B153)*($C$5:$C$216=C153)*($M$5:$M$216&lt;M153))+SUMPRODUCT(($B$5:$B$216=B153)*($C$5:$C$216=C153)*($M$5:$M$216=M153)*(ROW($M$5:$M$216)&lt;ROW(M153)))+1</f>
        <v/>
      </c>
      <c r="AG153" s="13">
        <f>COUNTIFS($B$5:$B$216,B153,$C$5:$C$216,C153)</f>
        <v/>
      </c>
    </row>
    <row r="154">
      <c r="A154" s="9" t="inlineStr">
        <is>
          <t>E150</t>
        </is>
      </c>
      <c r="B154" s="9" t="inlineStr">
        <is>
          <t>Manufacturing</t>
        </is>
      </c>
      <c r="C154" s="9" t="inlineStr">
        <is>
          <t>F</t>
        </is>
      </c>
      <c r="D154" s="10" t="n">
        <v>35400.67</v>
      </c>
      <c r="E154" s="10" t="n">
        <v>2201.91</v>
      </c>
      <c r="F154" s="9" t="n">
        <v>7.8</v>
      </c>
      <c r="G154" s="9" t="n">
        <v>1</v>
      </c>
      <c r="H154" s="9" t="n">
        <v>1</v>
      </c>
      <c r="I154" s="9" t="n">
        <v>12</v>
      </c>
      <c r="J154" s="11">
        <f>H154*(I154/12)</f>
        <v/>
      </c>
      <c r="K154" s="12">
        <f>D154/J154</f>
        <v/>
      </c>
      <c r="L154" s="12">
        <f>E154/J154</f>
        <v/>
      </c>
      <c r="M154" s="12">
        <f>K154+L154</f>
        <v/>
      </c>
      <c r="N154" s="12">
        <f>D154+E154</f>
        <v/>
      </c>
      <c r="O154" s="12">
        <f>(SUMIFS($M$5:$M$216,$B$5:$B$216,B154,$AD$5:$AD$216,INT((AE154+1)/2))+SUMIFS($M$5:$M$216,$B$5:$B$216,B154,$AD$5:$AD$216,INT(AE154/2)+1))/2</f>
        <v/>
      </c>
      <c r="P154" s="13">
        <f>IF(AND(C154="F",M154&lt;O154,SUMIFS(Categories!$Z$5:$Z$11,Categories!$A$5:$A$11,B154)=1),1,0)</f>
        <v/>
      </c>
      <c r="Q154" s="12">
        <f>IF(P154=1,O154-M154,0)</f>
        <v/>
      </c>
      <c r="R154" s="11">
        <f>IF(AND(P154=1,SUMIFS(Categories!$AA$5:$AA$11,Categories!$A$5:$A$11,B154)&gt;0),Q154/SUMIFS(Categories!$AA$5:$AA$11,Categories!$A$5:$A$11,B154),0)</f>
        <v/>
      </c>
      <c r="S154" s="12">
        <f>R154*SUMIFS(Categories!$AB$5:$AB$11,Categories!$A$5:$A$11,B154)</f>
        <v/>
      </c>
      <c r="T154" s="12">
        <f>S154*J154</f>
        <v/>
      </c>
      <c r="U154" s="12">
        <f>IF(T154&lt;=0,0,(rate_below/100)*MIN(T154,MAX(0,ceiling-D154))+(rate_above/100)*(T154-MIN(T154,MAX(0,ceiling-D154))))</f>
        <v/>
      </c>
      <c r="V154" s="12">
        <f>T154+U154</f>
        <v/>
      </c>
      <c r="W154" s="13">
        <f>IF(AND(C154="F",M154&lt;O154,SUMIFS(Categories!$AH$5:$AH$11,Categories!$A$5:$A$11,B154)=1),1,0)</f>
        <v/>
      </c>
      <c r="X154" s="12">
        <f>IF(W154=1,O154-M154,0)</f>
        <v/>
      </c>
      <c r="Y154" s="11">
        <f>IF(AND(W154=1,SUMIFS(Categories!$AI$5:$AI$11,Categories!$A$5:$A$11,B154)&gt;0),X154/SUMIFS(Categories!$AI$5:$AI$11,Categories!$A$5:$A$11,B154),0)</f>
        <v/>
      </c>
      <c r="Z154" s="12">
        <f>Y154*SUMIFS(Categories!$AJ$5:$AJ$11,Categories!$A$5:$A$11,B154)</f>
        <v/>
      </c>
      <c r="AA154" s="12">
        <f>Z154*J154</f>
        <v/>
      </c>
      <c r="AB154" s="12">
        <f>IF(AA154&lt;=0,0,(rate_below/100)*MIN(AA154,MAX(0,ceiling-D154))+(rate_above/100)*(AA154-MIN(AA154,MAX(0,ceiling-D154))))</f>
        <v/>
      </c>
      <c r="AC154" s="12">
        <f>AA154+AB154</f>
        <v/>
      </c>
      <c r="AD154" s="13">
        <f>SUMPRODUCT(($B$5:$B$216=B154)*($M$5:$M$216&lt;M154))+SUMPRODUCT(($B$5:$B$216=B154)*($M$5:$M$216=M154)*(ROW($M$5:$M$216)&lt;ROW(M154)))+1</f>
        <v/>
      </c>
      <c r="AE154" s="13">
        <f>COUNTIF($B$5:$B$216,B154)</f>
        <v/>
      </c>
      <c r="AF154" s="13">
        <f>SUMPRODUCT(($B$5:$B$216=B154)*($C$5:$C$216=C154)*($M$5:$M$216&lt;M154))+SUMPRODUCT(($B$5:$B$216=B154)*($C$5:$C$216=C154)*($M$5:$M$216=M154)*(ROW($M$5:$M$216)&lt;ROW(M154)))+1</f>
        <v/>
      </c>
      <c r="AG154" s="13">
        <f>COUNTIFS($B$5:$B$216,B154,$C$5:$C$216,C154)</f>
        <v/>
      </c>
    </row>
    <row r="155">
      <c r="A155" s="9" t="inlineStr">
        <is>
          <t>E151</t>
        </is>
      </c>
      <c r="B155" s="9" t="inlineStr">
        <is>
          <t>Manufacturing</t>
        </is>
      </c>
      <c r="C155" s="9" t="inlineStr">
        <is>
          <t>M</t>
        </is>
      </c>
      <c r="D155" s="10" t="n">
        <v>42504.66</v>
      </c>
      <c r="E155" s="10" t="n">
        <v>2895.35</v>
      </c>
      <c r="F155" s="9" t="n">
        <v>4.2</v>
      </c>
      <c r="G155" s="9" t="n">
        <v>2</v>
      </c>
      <c r="H155" s="9" t="n">
        <v>1</v>
      </c>
      <c r="I155" s="9" t="n">
        <v>12</v>
      </c>
      <c r="J155" s="11">
        <f>H155*(I155/12)</f>
        <v/>
      </c>
      <c r="K155" s="12">
        <f>D155/J155</f>
        <v/>
      </c>
      <c r="L155" s="12">
        <f>E155/J155</f>
        <v/>
      </c>
      <c r="M155" s="12">
        <f>K155+L155</f>
        <v/>
      </c>
      <c r="N155" s="12">
        <f>D155+E155</f>
        <v/>
      </c>
      <c r="O155" s="12">
        <f>(SUMIFS($M$5:$M$216,$B$5:$B$216,B155,$AD$5:$AD$216,INT((AE155+1)/2))+SUMIFS($M$5:$M$216,$B$5:$B$216,B155,$AD$5:$AD$216,INT(AE155/2)+1))/2</f>
        <v/>
      </c>
      <c r="P155" s="13">
        <f>IF(AND(C155="F",M155&lt;O155,SUMIFS(Categories!$Z$5:$Z$11,Categories!$A$5:$A$11,B155)=1),1,0)</f>
        <v/>
      </c>
      <c r="Q155" s="12">
        <f>IF(P155=1,O155-M155,0)</f>
        <v/>
      </c>
      <c r="R155" s="11">
        <f>IF(AND(P155=1,SUMIFS(Categories!$AA$5:$AA$11,Categories!$A$5:$A$11,B155)&gt;0),Q155/SUMIFS(Categories!$AA$5:$AA$11,Categories!$A$5:$A$11,B155),0)</f>
        <v/>
      </c>
      <c r="S155" s="12">
        <f>R155*SUMIFS(Categories!$AB$5:$AB$11,Categories!$A$5:$A$11,B155)</f>
        <v/>
      </c>
      <c r="T155" s="12">
        <f>S155*J155</f>
        <v/>
      </c>
      <c r="U155" s="12">
        <f>IF(T155&lt;=0,0,(rate_below/100)*MIN(T155,MAX(0,ceiling-D155))+(rate_above/100)*(T155-MIN(T155,MAX(0,ceiling-D155))))</f>
        <v/>
      </c>
      <c r="V155" s="12">
        <f>T155+U155</f>
        <v/>
      </c>
      <c r="W155" s="13">
        <f>IF(AND(C155="F",M155&lt;O155,SUMIFS(Categories!$AH$5:$AH$11,Categories!$A$5:$A$11,B155)=1),1,0)</f>
        <v/>
      </c>
      <c r="X155" s="12">
        <f>IF(W155=1,O155-M155,0)</f>
        <v/>
      </c>
      <c r="Y155" s="11">
        <f>IF(AND(W155=1,SUMIFS(Categories!$AI$5:$AI$11,Categories!$A$5:$A$11,B155)&gt;0),X155/SUMIFS(Categories!$AI$5:$AI$11,Categories!$A$5:$A$11,B155),0)</f>
        <v/>
      </c>
      <c r="Z155" s="12">
        <f>Y155*SUMIFS(Categories!$AJ$5:$AJ$11,Categories!$A$5:$A$11,B155)</f>
        <v/>
      </c>
      <c r="AA155" s="12">
        <f>Z155*J155</f>
        <v/>
      </c>
      <c r="AB155" s="12">
        <f>IF(AA155&lt;=0,0,(rate_below/100)*MIN(AA155,MAX(0,ceiling-D155))+(rate_above/100)*(AA155-MIN(AA155,MAX(0,ceiling-D155))))</f>
        <v/>
      </c>
      <c r="AC155" s="12">
        <f>AA155+AB155</f>
        <v/>
      </c>
      <c r="AD155" s="13">
        <f>SUMPRODUCT(($B$5:$B$216=B155)*($M$5:$M$216&lt;M155))+SUMPRODUCT(($B$5:$B$216=B155)*($M$5:$M$216=M155)*(ROW($M$5:$M$216)&lt;ROW(M155)))+1</f>
        <v/>
      </c>
      <c r="AE155" s="13">
        <f>COUNTIF($B$5:$B$216,B155)</f>
        <v/>
      </c>
      <c r="AF155" s="13">
        <f>SUMPRODUCT(($B$5:$B$216=B155)*($C$5:$C$216=C155)*($M$5:$M$216&lt;M155))+SUMPRODUCT(($B$5:$B$216=B155)*($C$5:$C$216=C155)*($M$5:$M$216=M155)*(ROW($M$5:$M$216)&lt;ROW(M155)))+1</f>
        <v/>
      </c>
      <c r="AG155" s="13">
        <f>COUNTIFS($B$5:$B$216,B155,$C$5:$C$216,C155)</f>
        <v/>
      </c>
    </row>
    <row r="156">
      <c r="A156" s="9" t="inlineStr">
        <is>
          <t>E152</t>
        </is>
      </c>
      <c r="B156" s="9" t="inlineStr">
        <is>
          <t>Manufacturing</t>
        </is>
      </c>
      <c r="C156" s="9" t="inlineStr">
        <is>
          <t>M</t>
        </is>
      </c>
      <c r="D156" s="10" t="n">
        <v>39279.35</v>
      </c>
      <c r="E156" s="10" t="n">
        <v>2032.34</v>
      </c>
      <c r="F156" s="9" t="n">
        <v>8.699999999999999</v>
      </c>
      <c r="G156" s="9" t="n">
        <v>1</v>
      </c>
      <c r="H156" s="9" t="n">
        <v>1</v>
      </c>
      <c r="I156" s="9" t="n">
        <v>12</v>
      </c>
      <c r="J156" s="11">
        <f>H156*(I156/12)</f>
        <v/>
      </c>
      <c r="K156" s="12">
        <f>D156/J156</f>
        <v/>
      </c>
      <c r="L156" s="12">
        <f>E156/J156</f>
        <v/>
      </c>
      <c r="M156" s="12">
        <f>K156+L156</f>
        <v/>
      </c>
      <c r="N156" s="12">
        <f>D156+E156</f>
        <v/>
      </c>
      <c r="O156" s="12">
        <f>(SUMIFS($M$5:$M$216,$B$5:$B$216,B156,$AD$5:$AD$216,INT((AE156+1)/2))+SUMIFS($M$5:$M$216,$B$5:$B$216,B156,$AD$5:$AD$216,INT(AE156/2)+1))/2</f>
        <v/>
      </c>
      <c r="P156" s="13">
        <f>IF(AND(C156="F",M156&lt;O156,SUMIFS(Categories!$Z$5:$Z$11,Categories!$A$5:$A$11,B156)=1),1,0)</f>
        <v/>
      </c>
      <c r="Q156" s="12">
        <f>IF(P156=1,O156-M156,0)</f>
        <v/>
      </c>
      <c r="R156" s="11">
        <f>IF(AND(P156=1,SUMIFS(Categories!$AA$5:$AA$11,Categories!$A$5:$A$11,B156)&gt;0),Q156/SUMIFS(Categories!$AA$5:$AA$11,Categories!$A$5:$A$11,B156),0)</f>
        <v/>
      </c>
      <c r="S156" s="12">
        <f>R156*SUMIFS(Categories!$AB$5:$AB$11,Categories!$A$5:$A$11,B156)</f>
        <v/>
      </c>
      <c r="T156" s="12">
        <f>S156*J156</f>
        <v/>
      </c>
      <c r="U156" s="12">
        <f>IF(T156&lt;=0,0,(rate_below/100)*MIN(T156,MAX(0,ceiling-D156))+(rate_above/100)*(T156-MIN(T156,MAX(0,ceiling-D156))))</f>
        <v/>
      </c>
      <c r="V156" s="12">
        <f>T156+U156</f>
        <v/>
      </c>
      <c r="W156" s="13">
        <f>IF(AND(C156="F",M156&lt;O156,SUMIFS(Categories!$AH$5:$AH$11,Categories!$A$5:$A$11,B156)=1),1,0)</f>
        <v/>
      </c>
      <c r="X156" s="12">
        <f>IF(W156=1,O156-M156,0)</f>
        <v/>
      </c>
      <c r="Y156" s="11">
        <f>IF(AND(W156=1,SUMIFS(Categories!$AI$5:$AI$11,Categories!$A$5:$A$11,B156)&gt;0),X156/SUMIFS(Categories!$AI$5:$AI$11,Categories!$A$5:$A$11,B156),0)</f>
        <v/>
      </c>
      <c r="Z156" s="12">
        <f>Y156*SUMIFS(Categories!$AJ$5:$AJ$11,Categories!$A$5:$A$11,B156)</f>
        <v/>
      </c>
      <c r="AA156" s="12">
        <f>Z156*J156</f>
        <v/>
      </c>
      <c r="AB156" s="12">
        <f>IF(AA156&lt;=0,0,(rate_below/100)*MIN(AA156,MAX(0,ceiling-D156))+(rate_above/100)*(AA156-MIN(AA156,MAX(0,ceiling-D156))))</f>
        <v/>
      </c>
      <c r="AC156" s="12">
        <f>AA156+AB156</f>
        <v/>
      </c>
      <c r="AD156" s="13">
        <f>SUMPRODUCT(($B$5:$B$216=B156)*($M$5:$M$216&lt;M156))+SUMPRODUCT(($B$5:$B$216=B156)*($M$5:$M$216=M156)*(ROW($M$5:$M$216)&lt;ROW(M156)))+1</f>
        <v/>
      </c>
      <c r="AE156" s="13">
        <f>COUNTIF($B$5:$B$216,B156)</f>
        <v/>
      </c>
      <c r="AF156" s="13">
        <f>SUMPRODUCT(($B$5:$B$216=B156)*($C$5:$C$216=C156)*($M$5:$M$216&lt;M156))+SUMPRODUCT(($B$5:$B$216=B156)*($C$5:$C$216=C156)*($M$5:$M$216=M156)*(ROW($M$5:$M$216)&lt;ROW(M156)))+1</f>
        <v/>
      </c>
      <c r="AG156" s="13">
        <f>COUNTIFS($B$5:$B$216,B156,$C$5:$C$216,C156)</f>
        <v/>
      </c>
    </row>
    <row r="157">
      <c r="A157" s="9" t="inlineStr">
        <is>
          <t>E153</t>
        </is>
      </c>
      <c r="B157" s="9" t="inlineStr">
        <is>
          <t>Manufacturing</t>
        </is>
      </c>
      <c r="C157" s="9" t="inlineStr">
        <is>
          <t>M</t>
        </is>
      </c>
      <c r="D157" s="10" t="n">
        <v>58041.49</v>
      </c>
      <c r="E157" s="10" t="n">
        <v>3461.84</v>
      </c>
      <c r="F157" s="9" t="n">
        <v>12.4</v>
      </c>
      <c r="G157" s="9" t="n">
        <v>4</v>
      </c>
      <c r="H157" s="9" t="n">
        <v>1</v>
      </c>
      <c r="I157" s="9" t="n">
        <v>12</v>
      </c>
      <c r="J157" s="11">
        <f>H157*(I157/12)</f>
        <v/>
      </c>
      <c r="K157" s="12">
        <f>D157/J157</f>
        <v/>
      </c>
      <c r="L157" s="12">
        <f>E157/J157</f>
        <v/>
      </c>
      <c r="M157" s="12">
        <f>K157+L157</f>
        <v/>
      </c>
      <c r="N157" s="12">
        <f>D157+E157</f>
        <v/>
      </c>
      <c r="O157" s="12">
        <f>(SUMIFS($M$5:$M$216,$B$5:$B$216,B157,$AD$5:$AD$216,INT((AE157+1)/2))+SUMIFS($M$5:$M$216,$B$5:$B$216,B157,$AD$5:$AD$216,INT(AE157/2)+1))/2</f>
        <v/>
      </c>
      <c r="P157" s="13">
        <f>IF(AND(C157="F",M157&lt;O157,SUMIFS(Categories!$Z$5:$Z$11,Categories!$A$5:$A$11,B157)=1),1,0)</f>
        <v/>
      </c>
      <c r="Q157" s="12">
        <f>IF(P157=1,O157-M157,0)</f>
        <v/>
      </c>
      <c r="R157" s="11">
        <f>IF(AND(P157=1,SUMIFS(Categories!$AA$5:$AA$11,Categories!$A$5:$A$11,B157)&gt;0),Q157/SUMIFS(Categories!$AA$5:$AA$11,Categories!$A$5:$A$11,B157),0)</f>
        <v/>
      </c>
      <c r="S157" s="12">
        <f>R157*SUMIFS(Categories!$AB$5:$AB$11,Categories!$A$5:$A$11,B157)</f>
        <v/>
      </c>
      <c r="T157" s="12">
        <f>S157*J157</f>
        <v/>
      </c>
      <c r="U157" s="12">
        <f>IF(T157&lt;=0,0,(rate_below/100)*MIN(T157,MAX(0,ceiling-D157))+(rate_above/100)*(T157-MIN(T157,MAX(0,ceiling-D157))))</f>
        <v/>
      </c>
      <c r="V157" s="12">
        <f>T157+U157</f>
        <v/>
      </c>
      <c r="W157" s="13">
        <f>IF(AND(C157="F",M157&lt;O157,SUMIFS(Categories!$AH$5:$AH$11,Categories!$A$5:$A$11,B157)=1),1,0)</f>
        <v/>
      </c>
      <c r="X157" s="12">
        <f>IF(W157=1,O157-M157,0)</f>
        <v/>
      </c>
      <c r="Y157" s="11">
        <f>IF(AND(W157=1,SUMIFS(Categories!$AI$5:$AI$11,Categories!$A$5:$A$11,B157)&gt;0),X157/SUMIFS(Categories!$AI$5:$AI$11,Categories!$A$5:$A$11,B157),0)</f>
        <v/>
      </c>
      <c r="Z157" s="12">
        <f>Y157*SUMIFS(Categories!$AJ$5:$AJ$11,Categories!$A$5:$A$11,B157)</f>
        <v/>
      </c>
      <c r="AA157" s="12">
        <f>Z157*J157</f>
        <v/>
      </c>
      <c r="AB157" s="12">
        <f>IF(AA157&lt;=0,0,(rate_below/100)*MIN(AA157,MAX(0,ceiling-D157))+(rate_above/100)*(AA157-MIN(AA157,MAX(0,ceiling-D157))))</f>
        <v/>
      </c>
      <c r="AC157" s="12">
        <f>AA157+AB157</f>
        <v/>
      </c>
      <c r="AD157" s="13">
        <f>SUMPRODUCT(($B$5:$B$216=B157)*($M$5:$M$216&lt;M157))+SUMPRODUCT(($B$5:$B$216=B157)*($M$5:$M$216=M157)*(ROW($M$5:$M$216)&lt;ROW(M157)))+1</f>
        <v/>
      </c>
      <c r="AE157" s="13">
        <f>COUNTIF($B$5:$B$216,B157)</f>
        <v/>
      </c>
      <c r="AF157" s="13">
        <f>SUMPRODUCT(($B$5:$B$216=B157)*($C$5:$C$216=C157)*($M$5:$M$216&lt;M157))+SUMPRODUCT(($B$5:$B$216=B157)*($C$5:$C$216=C157)*($M$5:$M$216=M157)*(ROW($M$5:$M$216)&lt;ROW(M157)))+1</f>
        <v/>
      </c>
      <c r="AG157" s="13">
        <f>COUNTIFS($B$5:$B$216,B157,$C$5:$C$216,C157)</f>
        <v/>
      </c>
    </row>
    <row r="158">
      <c r="A158" s="9" t="inlineStr">
        <is>
          <t>E154</t>
        </is>
      </c>
      <c r="B158" s="9" t="inlineStr">
        <is>
          <t>Manufacturing</t>
        </is>
      </c>
      <c r="C158" s="9" t="inlineStr">
        <is>
          <t>F</t>
        </is>
      </c>
      <c r="D158" s="10" t="n">
        <v>54250.81</v>
      </c>
      <c r="E158" s="10" t="n">
        <v>3794.03</v>
      </c>
      <c r="F158" s="9" t="n">
        <v>9.699999999999999</v>
      </c>
      <c r="G158" s="9" t="n">
        <v>4</v>
      </c>
      <c r="H158" s="9" t="n">
        <v>1</v>
      </c>
      <c r="I158" s="9" t="n">
        <v>12</v>
      </c>
      <c r="J158" s="11">
        <f>H158*(I158/12)</f>
        <v/>
      </c>
      <c r="K158" s="12">
        <f>D158/J158</f>
        <v/>
      </c>
      <c r="L158" s="12">
        <f>E158/J158</f>
        <v/>
      </c>
      <c r="M158" s="12">
        <f>K158+L158</f>
        <v/>
      </c>
      <c r="N158" s="12">
        <f>D158+E158</f>
        <v/>
      </c>
      <c r="O158" s="12">
        <f>(SUMIFS($M$5:$M$216,$B$5:$B$216,B158,$AD$5:$AD$216,INT((AE158+1)/2))+SUMIFS($M$5:$M$216,$B$5:$B$216,B158,$AD$5:$AD$216,INT(AE158/2)+1))/2</f>
        <v/>
      </c>
      <c r="P158" s="13">
        <f>IF(AND(C158="F",M158&lt;O158,SUMIFS(Categories!$Z$5:$Z$11,Categories!$A$5:$A$11,B158)=1),1,0)</f>
        <v/>
      </c>
      <c r="Q158" s="12">
        <f>IF(P158=1,O158-M158,0)</f>
        <v/>
      </c>
      <c r="R158" s="11">
        <f>IF(AND(P158=1,SUMIFS(Categories!$AA$5:$AA$11,Categories!$A$5:$A$11,B158)&gt;0),Q158/SUMIFS(Categories!$AA$5:$AA$11,Categories!$A$5:$A$11,B158),0)</f>
        <v/>
      </c>
      <c r="S158" s="12">
        <f>R158*SUMIFS(Categories!$AB$5:$AB$11,Categories!$A$5:$A$11,B158)</f>
        <v/>
      </c>
      <c r="T158" s="12">
        <f>S158*J158</f>
        <v/>
      </c>
      <c r="U158" s="12">
        <f>IF(T158&lt;=0,0,(rate_below/100)*MIN(T158,MAX(0,ceiling-D158))+(rate_above/100)*(T158-MIN(T158,MAX(0,ceiling-D158))))</f>
        <v/>
      </c>
      <c r="V158" s="12">
        <f>T158+U158</f>
        <v/>
      </c>
      <c r="W158" s="13">
        <f>IF(AND(C158="F",M158&lt;O158,SUMIFS(Categories!$AH$5:$AH$11,Categories!$A$5:$A$11,B158)=1),1,0)</f>
        <v/>
      </c>
      <c r="X158" s="12">
        <f>IF(W158=1,O158-M158,0)</f>
        <v/>
      </c>
      <c r="Y158" s="11">
        <f>IF(AND(W158=1,SUMIFS(Categories!$AI$5:$AI$11,Categories!$A$5:$A$11,B158)&gt;0),X158/SUMIFS(Categories!$AI$5:$AI$11,Categories!$A$5:$A$11,B158),0)</f>
        <v/>
      </c>
      <c r="Z158" s="12">
        <f>Y158*SUMIFS(Categories!$AJ$5:$AJ$11,Categories!$A$5:$A$11,B158)</f>
        <v/>
      </c>
      <c r="AA158" s="12">
        <f>Z158*J158</f>
        <v/>
      </c>
      <c r="AB158" s="12">
        <f>IF(AA158&lt;=0,0,(rate_below/100)*MIN(AA158,MAX(0,ceiling-D158))+(rate_above/100)*(AA158-MIN(AA158,MAX(0,ceiling-D158))))</f>
        <v/>
      </c>
      <c r="AC158" s="12">
        <f>AA158+AB158</f>
        <v/>
      </c>
      <c r="AD158" s="13">
        <f>SUMPRODUCT(($B$5:$B$216=B158)*($M$5:$M$216&lt;M158))+SUMPRODUCT(($B$5:$B$216=B158)*($M$5:$M$216=M158)*(ROW($M$5:$M$216)&lt;ROW(M158)))+1</f>
        <v/>
      </c>
      <c r="AE158" s="13">
        <f>COUNTIF($B$5:$B$216,B158)</f>
        <v/>
      </c>
      <c r="AF158" s="13">
        <f>SUMPRODUCT(($B$5:$B$216=B158)*($C$5:$C$216=C158)*($M$5:$M$216&lt;M158))+SUMPRODUCT(($B$5:$B$216=B158)*($C$5:$C$216=C158)*($M$5:$M$216=M158)*(ROW($M$5:$M$216)&lt;ROW(M158)))+1</f>
        <v/>
      </c>
      <c r="AG158" s="13">
        <f>COUNTIFS($B$5:$B$216,B158,$C$5:$C$216,C158)</f>
        <v/>
      </c>
    </row>
    <row r="159">
      <c r="A159" s="9" t="inlineStr">
        <is>
          <t>E155</t>
        </is>
      </c>
      <c r="B159" s="9" t="inlineStr">
        <is>
          <t>Manufacturing</t>
        </is>
      </c>
      <c r="C159" s="9" t="inlineStr">
        <is>
          <t>F</t>
        </is>
      </c>
      <c r="D159" s="10" t="n">
        <v>35554.09</v>
      </c>
      <c r="E159" s="10" t="n">
        <v>1701.95</v>
      </c>
      <c r="F159" s="9" t="n">
        <v>3.3</v>
      </c>
      <c r="G159" s="9" t="n">
        <v>2</v>
      </c>
      <c r="H159" s="9" t="n">
        <v>1</v>
      </c>
      <c r="I159" s="9" t="n">
        <v>12</v>
      </c>
      <c r="J159" s="11">
        <f>H159*(I159/12)</f>
        <v/>
      </c>
      <c r="K159" s="12">
        <f>D159/J159</f>
        <v/>
      </c>
      <c r="L159" s="12">
        <f>E159/J159</f>
        <v/>
      </c>
      <c r="M159" s="12">
        <f>K159+L159</f>
        <v/>
      </c>
      <c r="N159" s="12">
        <f>D159+E159</f>
        <v/>
      </c>
      <c r="O159" s="12">
        <f>(SUMIFS($M$5:$M$216,$B$5:$B$216,B159,$AD$5:$AD$216,INT((AE159+1)/2))+SUMIFS($M$5:$M$216,$B$5:$B$216,B159,$AD$5:$AD$216,INT(AE159/2)+1))/2</f>
        <v/>
      </c>
      <c r="P159" s="13">
        <f>IF(AND(C159="F",M159&lt;O159,SUMIFS(Categories!$Z$5:$Z$11,Categories!$A$5:$A$11,B159)=1),1,0)</f>
        <v/>
      </c>
      <c r="Q159" s="12">
        <f>IF(P159=1,O159-M159,0)</f>
        <v/>
      </c>
      <c r="R159" s="11">
        <f>IF(AND(P159=1,SUMIFS(Categories!$AA$5:$AA$11,Categories!$A$5:$A$11,B159)&gt;0),Q159/SUMIFS(Categories!$AA$5:$AA$11,Categories!$A$5:$A$11,B159),0)</f>
        <v/>
      </c>
      <c r="S159" s="12">
        <f>R159*SUMIFS(Categories!$AB$5:$AB$11,Categories!$A$5:$A$11,B159)</f>
        <v/>
      </c>
      <c r="T159" s="12">
        <f>S159*J159</f>
        <v/>
      </c>
      <c r="U159" s="12">
        <f>IF(T159&lt;=0,0,(rate_below/100)*MIN(T159,MAX(0,ceiling-D159))+(rate_above/100)*(T159-MIN(T159,MAX(0,ceiling-D159))))</f>
        <v/>
      </c>
      <c r="V159" s="12">
        <f>T159+U159</f>
        <v/>
      </c>
      <c r="W159" s="13">
        <f>IF(AND(C159="F",M159&lt;O159,SUMIFS(Categories!$AH$5:$AH$11,Categories!$A$5:$A$11,B159)=1),1,0)</f>
        <v/>
      </c>
      <c r="X159" s="12">
        <f>IF(W159=1,O159-M159,0)</f>
        <v/>
      </c>
      <c r="Y159" s="11">
        <f>IF(AND(W159=1,SUMIFS(Categories!$AI$5:$AI$11,Categories!$A$5:$A$11,B159)&gt;0),X159/SUMIFS(Categories!$AI$5:$AI$11,Categories!$A$5:$A$11,B159),0)</f>
        <v/>
      </c>
      <c r="Z159" s="12">
        <f>Y159*SUMIFS(Categories!$AJ$5:$AJ$11,Categories!$A$5:$A$11,B159)</f>
        <v/>
      </c>
      <c r="AA159" s="12">
        <f>Z159*J159</f>
        <v/>
      </c>
      <c r="AB159" s="12">
        <f>IF(AA159&lt;=0,0,(rate_below/100)*MIN(AA159,MAX(0,ceiling-D159))+(rate_above/100)*(AA159-MIN(AA159,MAX(0,ceiling-D159))))</f>
        <v/>
      </c>
      <c r="AC159" s="12">
        <f>AA159+AB159</f>
        <v/>
      </c>
      <c r="AD159" s="13">
        <f>SUMPRODUCT(($B$5:$B$216=B159)*($M$5:$M$216&lt;M159))+SUMPRODUCT(($B$5:$B$216=B159)*($M$5:$M$216=M159)*(ROW($M$5:$M$216)&lt;ROW(M159)))+1</f>
        <v/>
      </c>
      <c r="AE159" s="13">
        <f>COUNTIF($B$5:$B$216,B159)</f>
        <v/>
      </c>
      <c r="AF159" s="13">
        <f>SUMPRODUCT(($B$5:$B$216=B159)*($C$5:$C$216=C159)*($M$5:$M$216&lt;M159))+SUMPRODUCT(($B$5:$B$216=B159)*($C$5:$C$216=C159)*($M$5:$M$216=M159)*(ROW($M$5:$M$216)&lt;ROW(M159)))+1</f>
        <v/>
      </c>
      <c r="AG159" s="13">
        <f>COUNTIFS($B$5:$B$216,B159,$C$5:$C$216,C159)</f>
        <v/>
      </c>
    </row>
    <row r="160">
      <c r="A160" s="9" t="inlineStr">
        <is>
          <t>E156</t>
        </is>
      </c>
      <c r="B160" s="9" t="inlineStr">
        <is>
          <t>Manufacturing</t>
        </is>
      </c>
      <c r="C160" s="9" t="inlineStr">
        <is>
          <t>M</t>
        </is>
      </c>
      <c r="D160" s="10" t="n">
        <v>46133.28</v>
      </c>
      <c r="E160" s="10" t="n">
        <v>2226.69</v>
      </c>
      <c r="F160" s="9" t="n">
        <v>11.8</v>
      </c>
      <c r="G160" s="9" t="n">
        <v>2</v>
      </c>
      <c r="H160" s="9" t="n">
        <v>1</v>
      </c>
      <c r="I160" s="9" t="n">
        <v>12</v>
      </c>
      <c r="J160" s="11">
        <f>H160*(I160/12)</f>
        <v/>
      </c>
      <c r="K160" s="12">
        <f>D160/J160</f>
        <v/>
      </c>
      <c r="L160" s="12">
        <f>E160/J160</f>
        <v/>
      </c>
      <c r="M160" s="12">
        <f>K160+L160</f>
        <v/>
      </c>
      <c r="N160" s="12">
        <f>D160+E160</f>
        <v/>
      </c>
      <c r="O160" s="12">
        <f>(SUMIFS($M$5:$M$216,$B$5:$B$216,B160,$AD$5:$AD$216,INT((AE160+1)/2))+SUMIFS($M$5:$M$216,$B$5:$B$216,B160,$AD$5:$AD$216,INT(AE160/2)+1))/2</f>
        <v/>
      </c>
      <c r="P160" s="13">
        <f>IF(AND(C160="F",M160&lt;O160,SUMIFS(Categories!$Z$5:$Z$11,Categories!$A$5:$A$11,B160)=1),1,0)</f>
        <v/>
      </c>
      <c r="Q160" s="12">
        <f>IF(P160=1,O160-M160,0)</f>
        <v/>
      </c>
      <c r="R160" s="11">
        <f>IF(AND(P160=1,SUMIFS(Categories!$AA$5:$AA$11,Categories!$A$5:$A$11,B160)&gt;0),Q160/SUMIFS(Categories!$AA$5:$AA$11,Categories!$A$5:$A$11,B160),0)</f>
        <v/>
      </c>
      <c r="S160" s="12">
        <f>R160*SUMIFS(Categories!$AB$5:$AB$11,Categories!$A$5:$A$11,B160)</f>
        <v/>
      </c>
      <c r="T160" s="12">
        <f>S160*J160</f>
        <v/>
      </c>
      <c r="U160" s="12">
        <f>IF(T160&lt;=0,0,(rate_below/100)*MIN(T160,MAX(0,ceiling-D160))+(rate_above/100)*(T160-MIN(T160,MAX(0,ceiling-D160))))</f>
        <v/>
      </c>
      <c r="V160" s="12">
        <f>T160+U160</f>
        <v/>
      </c>
      <c r="W160" s="13">
        <f>IF(AND(C160="F",M160&lt;O160,SUMIFS(Categories!$AH$5:$AH$11,Categories!$A$5:$A$11,B160)=1),1,0)</f>
        <v/>
      </c>
      <c r="X160" s="12">
        <f>IF(W160=1,O160-M160,0)</f>
        <v/>
      </c>
      <c r="Y160" s="11">
        <f>IF(AND(W160=1,SUMIFS(Categories!$AI$5:$AI$11,Categories!$A$5:$A$11,B160)&gt;0),X160/SUMIFS(Categories!$AI$5:$AI$11,Categories!$A$5:$A$11,B160),0)</f>
        <v/>
      </c>
      <c r="Z160" s="12">
        <f>Y160*SUMIFS(Categories!$AJ$5:$AJ$11,Categories!$A$5:$A$11,B160)</f>
        <v/>
      </c>
      <c r="AA160" s="12">
        <f>Z160*J160</f>
        <v/>
      </c>
      <c r="AB160" s="12">
        <f>IF(AA160&lt;=0,0,(rate_below/100)*MIN(AA160,MAX(0,ceiling-D160))+(rate_above/100)*(AA160-MIN(AA160,MAX(0,ceiling-D160))))</f>
        <v/>
      </c>
      <c r="AC160" s="12">
        <f>AA160+AB160</f>
        <v/>
      </c>
      <c r="AD160" s="13">
        <f>SUMPRODUCT(($B$5:$B$216=B160)*($M$5:$M$216&lt;M160))+SUMPRODUCT(($B$5:$B$216=B160)*($M$5:$M$216=M160)*(ROW($M$5:$M$216)&lt;ROW(M160)))+1</f>
        <v/>
      </c>
      <c r="AE160" s="13">
        <f>COUNTIF($B$5:$B$216,B160)</f>
        <v/>
      </c>
      <c r="AF160" s="13">
        <f>SUMPRODUCT(($B$5:$B$216=B160)*($C$5:$C$216=C160)*($M$5:$M$216&lt;M160))+SUMPRODUCT(($B$5:$B$216=B160)*($C$5:$C$216=C160)*($M$5:$M$216=M160)*(ROW($M$5:$M$216)&lt;ROW(M160)))+1</f>
        <v/>
      </c>
      <c r="AG160" s="13">
        <f>COUNTIFS($B$5:$B$216,B160,$C$5:$C$216,C160)</f>
        <v/>
      </c>
    </row>
    <row r="161">
      <c r="A161" s="9" t="inlineStr">
        <is>
          <t>E157</t>
        </is>
      </c>
      <c r="B161" s="9" t="inlineStr">
        <is>
          <t>Customer Support</t>
        </is>
      </c>
      <c r="C161" s="9" t="inlineStr">
        <is>
          <t>F</t>
        </is>
      </c>
      <c r="D161" s="10" t="n">
        <v>24899.53</v>
      </c>
      <c r="E161" s="10" t="n">
        <v>1190.49</v>
      </c>
      <c r="F161" s="9" t="n">
        <v>4.6</v>
      </c>
      <c r="G161" s="9" t="n">
        <v>1</v>
      </c>
      <c r="H161" s="9" t="n">
        <v>1</v>
      </c>
      <c r="I161" s="9" t="n">
        <v>10</v>
      </c>
      <c r="J161" s="11">
        <f>H161*(I161/12)</f>
        <v/>
      </c>
      <c r="K161" s="12">
        <f>D161/J161</f>
        <v/>
      </c>
      <c r="L161" s="12">
        <f>E161/J161</f>
        <v/>
      </c>
      <c r="M161" s="12">
        <f>K161+L161</f>
        <v/>
      </c>
      <c r="N161" s="12">
        <f>D161+E161</f>
        <v/>
      </c>
      <c r="O161" s="12">
        <f>(SUMIFS($M$5:$M$216,$B$5:$B$216,B161,$AD$5:$AD$216,INT((AE161+1)/2))+SUMIFS($M$5:$M$216,$B$5:$B$216,B161,$AD$5:$AD$216,INT(AE161/2)+1))/2</f>
        <v/>
      </c>
      <c r="P161" s="13">
        <f>IF(AND(C161="F",M161&lt;O161,SUMIFS(Categories!$Z$5:$Z$11,Categories!$A$5:$A$11,B161)=1),1,0)</f>
        <v/>
      </c>
      <c r="Q161" s="12">
        <f>IF(P161=1,O161-M161,0)</f>
        <v/>
      </c>
      <c r="R161" s="11">
        <f>IF(AND(P161=1,SUMIFS(Categories!$AA$5:$AA$11,Categories!$A$5:$A$11,B161)&gt;0),Q161/SUMIFS(Categories!$AA$5:$AA$11,Categories!$A$5:$A$11,B161),0)</f>
        <v/>
      </c>
      <c r="S161" s="12">
        <f>R161*SUMIFS(Categories!$AB$5:$AB$11,Categories!$A$5:$A$11,B161)</f>
        <v/>
      </c>
      <c r="T161" s="12">
        <f>S161*J161</f>
        <v/>
      </c>
      <c r="U161" s="12">
        <f>IF(T161&lt;=0,0,(rate_below/100)*MIN(T161,MAX(0,ceiling-D161))+(rate_above/100)*(T161-MIN(T161,MAX(0,ceiling-D161))))</f>
        <v/>
      </c>
      <c r="V161" s="12">
        <f>T161+U161</f>
        <v/>
      </c>
      <c r="W161" s="13">
        <f>IF(AND(C161="F",M161&lt;O161,SUMIFS(Categories!$AH$5:$AH$11,Categories!$A$5:$A$11,B161)=1),1,0)</f>
        <v/>
      </c>
      <c r="X161" s="12">
        <f>IF(W161=1,O161-M161,0)</f>
        <v/>
      </c>
      <c r="Y161" s="11">
        <f>IF(AND(W161=1,SUMIFS(Categories!$AI$5:$AI$11,Categories!$A$5:$A$11,B161)&gt;0),X161/SUMIFS(Categories!$AI$5:$AI$11,Categories!$A$5:$A$11,B161),0)</f>
        <v/>
      </c>
      <c r="Z161" s="12">
        <f>Y161*SUMIFS(Categories!$AJ$5:$AJ$11,Categories!$A$5:$A$11,B161)</f>
        <v/>
      </c>
      <c r="AA161" s="12">
        <f>Z161*J161</f>
        <v/>
      </c>
      <c r="AB161" s="12">
        <f>IF(AA161&lt;=0,0,(rate_below/100)*MIN(AA161,MAX(0,ceiling-D161))+(rate_above/100)*(AA161-MIN(AA161,MAX(0,ceiling-D161))))</f>
        <v/>
      </c>
      <c r="AC161" s="12">
        <f>AA161+AB161</f>
        <v/>
      </c>
      <c r="AD161" s="13">
        <f>SUMPRODUCT(($B$5:$B$216=B161)*($M$5:$M$216&lt;M161))+SUMPRODUCT(($B$5:$B$216=B161)*($M$5:$M$216=M161)*(ROW($M$5:$M$216)&lt;ROW(M161)))+1</f>
        <v/>
      </c>
      <c r="AE161" s="13">
        <f>COUNTIF($B$5:$B$216,B161)</f>
        <v/>
      </c>
      <c r="AF161" s="13">
        <f>SUMPRODUCT(($B$5:$B$216=B161)*($C$5:$C$216=C161)*($M$5:$M$216&lt;M161))+SUMPRODUCT(($B$5:$B$216=B161)*($C$5:$C$216=C161)*($M$5:$M$216=M161)*(ROW($M$5:$M$216)&lt;ROW(M161)))+1</f>
        <v/>
      </c>
      <c r="AG161" s="13">
        <f>COUNTIFS($B$5:$B$216,B161,$C$5:$C$216,C161)</f>
        <v/>
      </c>
    </row>
    <row r="162">
      <c r="A162" s="9" t="inlineStr">
        <is>
          <t>E158</t>
        </is>
      </c>
      <c r="B162" s="9" t="inlineStr">
        <is>
          <t>Customer Support</t>
        </is>
      </c>
      <c r="C162" s="9" t="inlineStr">
        <is>
          <t>M</t>
        </is>
      </c>
      <c r="D162" s="10" t="n">
        <v>32195.23</v>
      </c>
      <c r="E162" s="10" t="n">
        <v>1504.52</v>
      </c>
      <c r="F162" s="9" t="n">
        <v>5.1</v>
      </c>
      <c r="G162" s="9" t="n">
        <v>1</v>
      </c>
      <c r="H162" s="9" t="n">
        <v>1</v>
      </c>
      <c r="I162" s="9" t="n">
        <v>12</v>
      </c>
      <c r="J162" s="11">
        <f>H162*(I162/12)</f>
        <v/>
      </c>
      <c r="K162" s="12">
        <f>D162/J162</f>
        <v/>
      </c>
      <c r="L162" s="12">
        <f>E162/J162</f>
        <v/>
      </c>
      <c r="M162" s="12">
        <f>K162+L162</f>
        <v/>
      </c>
      <c r="N162" s="12">
        <f>D162+E162</f>
        <v/>
      </c>
      <c r="O162" s="12">
        <f>(SUMIFS($M$5:$M$216,$B$5:$B$216,B162,$AD$5:$AD$216,INT((AE162+1)/2))+SUMIFS($M$5:$M$216,$B$5:$B$216,B162,$AD$5:$AD$216,INT(AE162/2)+1))/2</f>
        <v/>
      </c>
      <c r="P162" s="13">
        <f>IF(AND(C162="F",M162&lt;O162,SUMIFS(Categories!$Z$5:$Z$11,Categories!$A$5:$A$11,B162)=1),1,0)</f>
        <v/>
      </c>
      <c r="Q162" s="12">
        <f>IF(P162=1,O162-M162,0)</f>
        <v/>
      </c>
      <c r="R162" s="11">
        <f>IF(AND(P162=1,SUMIFS(Categories!$AA$5:$AA$11,Categories!$A$5:$A$11,B162)&gt;0),Q162/SUMIFS(Categories!$AA$5:$AA$11,Categories!$A$5:$A$11,B162),0)</f>
        <v/>
      </c>
      <c r="S162" s="12">
        <f>R162*SUMIFS(Categories!$AB$5:$AB$11,Categories!$A$5:$A$11,B162)</f>
        <v/>
      </c>
      <c r="T162" s="12">
        <f>S162*J162</f>
        <v/>
      </c>
      <c r="U162" s="12">
        <f>IF(T162&lt;=0,0,(rate_below/100)*MIN(T162,MAX(0,ceiling-D162))+(rate_above/100)*(T162-MIN(T162,MAX(0,ceiling-D162))))</f>
        <v/>
      </c>
      <c r="V162" s="12">
        <f>T162+U162</f>
        <v/>
      </c>
      <c r="W162" s="13">
        <f>IF(AND(C162="F",M162&lt;O162,SUMIFS(Categories!$AH$5:$AH$11,Categories!$A$5:$A$11,B162)=1),1,0)</f>
        <v/>
      </c>
      <c r="X162" s="12">
        <f>IF(W162=1,O162-M162,0)</f>
        <v/>
      </c>
      <c r="Y162" s="11">
        <f>IF(AND(W162=1,SUMIFS(Categories!$AI$5:$AI$11,Categories!$A$5:$A$11,B162)&gt;0),X162/SUMIFS(Categories!$AI$5:$AI$11,Categories!$A$5:$A$11,B162),0)</f>
        <v/>
      </c>
      <c r="Z162" s="12">
        <f>Y162*SUMIFS(Categories!$AJ$5:$AJ$11,Categories!$A$5:$A$11,B162)</f>
        <v/>
      </c>
      <c r="AA162" s="12">
        <f>Z162*J162</f>
        <v/>
      </c>
      <c r="AB162" s="12">
        <f>IF(AA162&lt;=0,0,(rate_below/100)*MIN(AA162,MAX(0,ceiling-D162))+(rate_above/100)*(AA162-MIN(AA162,MAX(0,ceiling-D162))))</f>
        <v/>
      </c>
      <c r="AC162" s="12">
        <f>AA162+AB162</f>
        <v/>
      </c>
      <c r="AD162" s="13">
        <f>SUMPRODUCT(($B$5:$B$216=B162)*($M$5:$M$216&lt;M162))+SUMPRODUCT(($B$5:$B$216=B162)*($M$5:$M$216=M162)*(ROW($M$5:$M$216)&lt;ROW(M162)))+1</f>
        <v/>
      </c>
      <c r="AE162" s="13">
        <f>COUNTIF($B$5:$B$216,B162)</f>
        <v/>
      </c>
      <c r="AF162" s="13">
        <f>SUMPRODUCT(($B$5:$B$216=B162)*($C$5:$C$216=C162)*($M$5:$M$216&lt;M162))+SUMPRODUCT(($B$5:$B$216=B162)*($C$5:$C$216=C162)*($M$5:$M$216=M162)*(ROW($M$5:$M$216)&lt;ROW(M162)))+1</f>
        <v/>
      </c>
      <c r="AG162" s="13">
        <f>COUNTIFS($B$5:$B$216,B162,$C$5:$C$216,C162)</f>
        <v/>
      </c>
    </row>
    <row r="163">
      <c r="A163" s="9" t="inlineStr">
        <is>
          <t>E159</t>
        </is>
      </c>
      <c r="B163" s="9" t="inlineStr">
        <is>
          <t>Customer Support</t>
        </is>
      </c>
      <c r="C163" s="9" t="inlineStr">
        <is>
          <t>M</t>
        </is>
      </c>
      <c r="D163" s="10" t="n">
        <v>29416.5</v>
      </c>
      <c r="E163" s="10" t="n">
        <v>1460.81</v>
      </c>
      <c r="F163" s="9" t="n">
        <v>6.1</v>
      </c>
      <c r="G163" s="9" t="n">
        <v>3</v>
      </c>
      <c r="H163" s="9" t="n">
        <v>0.75</v>
      </c>
      <c r="I163" s="9" t="n">
        <v>12</v>
      </c>
      <c r="J163" s="11">
        <f>H163*(I163/12)</f>
        <v/>
      </c>
      <c r="K163" s="12">
        <f>D163/J163</f>
        <v/>
      </c>
      <c r="L163" s="12">
        <f>E163/J163</f>
        <v/>
      </c>
      <c r="M163" s="12">
        <f>K163+L163</f>
        <v/>
      </c>
      <c r="N163" s="12">
        <f>D163+E163</f>
        <v/>
      </c>
      <c r="O163" s="12">
        <f>(SUMIFS($M$5:$M$216,$B$5:$B$216,B163,$AD$5:$AD$216,INT((AE163+1)/2))+SUMIFS($M$5:$M$216,$B$5:$B$216,B163,$AD$5:$AD$216,INT(AE163/2)+1))/2</f>
        <v/>
      </c>
      <c r="P163" s="13">
        <f>IF(AND(C163="F",M163&lt;O163,SUMIFS(Categories!$Z$5:$Z$11,Categories!$A$5:$A$11,B163)=1),1,0)</f>
        <v/>
      </c>
      <c r="Q163" s="12">
        <f>IF(P163=1,O163-M163,0)</f>
        <v/>
      </c>
      <c r="R163" s="11">
        <f>IF(AND(P163=1,SUMIFS(Categories!$AA$5:$AA$11,Categories!$A$5:$A$11,B163)&gt;0),Q163/SUMIFS(Categories!$AA$5:$AA$11,Categories!$A$5:$A$11,B163),0)</f>
        <v/>
      </c>
      <c r="S163" s="12">
        <f>R163*SUMIFS(Categories!$AB$5:$AB$11,Categories!$A$5:$A$11,B163)</f>
        <v/>
      </c>
      <c r="T163" s="12">
        <f>S163*J163</f>
        <v/>
      </c>
      <c r="U163" s="12">
        <f>IF(T163&lt;=0,0,(rate_below/100)*MIN(T163,MAX(0,ceiling-D163))+(rate_above/100)*(T163-MIN(T163,MAX(0,ceiling-D163))))</f>
        <v/>
      </c>
      <c r="V163" s="12">
        <f>T163+U163</f>
        <v/>
      </c>
      <c r="W163" s="13">
        <f>IF(AND(C163="F",M163&lt;O163,SUMIFS(Categories!$AH$5:$AH$11,Categories!$A$5:$A$11,B163)=1),1,0)</f>
        <v/>
      </c>
      <c r="X163" s="12">
        <f>IF(W163=1,O163-M163,0)</f>
        <v/>
      </c>
      <c r="Y163" s="11">
        <f>IF(AND(W163=1,SUMIFS(Categories!$AI$5:$AI$11,Categories!$A$5:$A$11,B163)&gt;0),X163/SUMIFS(Categories!$AI$5:$AI$11,Categories!$A$5:$A$11,B163),0)</f>
        <v/>
      </c>
      <c r="Z163" s="12">
        <f>Y163*SUMIFS(Categories!$AJ$5:$AJ$11,Categories!$A$5:$A$11,B163)</f>
        <v/>
      </c>
      <c r="AA163" s="12">
        <f>Z163*J163</f>
        <v/>
      </c>
      <c r="AB163" s="12">
        <f>IF(AA163&lt;=0,0,(rate_below/100)*MIN(AA163,MAX(0,ceiling-D163))+(rate_above/100)*(AA163-MIN(AA163,MAX(0,ceiling-D163))))</f>
        <v/>
      </c>
      <c r="AC163" s="12">
        <f>AA163+AB163</f>
        <v/>
      </c>
      <c r="AD163" s="13">
        <f>SUMPRODUCT(($B$5:$B$216=B163)*($M$5:$M$216&lt;M163))+SUMPRODUCT(($B$5:$B$216=B163)*($M$5:$M$216=M163)*(ROW($M$5:$M$216)&lt;ROW(M163)))+1</f>
        <v/>
      </c>
      <c r="AE163" s="13">
        <f>COUNTIF($B$5:$B$216,B163)</f>
        <v/>
      </c>
      <c r="AF163" s="13">
        <f>SUMPRODUCT(($B$5:$B$216=B163)*($C$5:$C$216=C163)*($M$5:$M$216&lt;M163))+SUMPRODUCT(($B$5:$B$216=B163)*($C$5:$C$216=C163)*($M$5:$M$216=M163)*(ROW($M$5:$M$216)&lt;ROW(M163)))+1</f>
        <v/>
      </c>
      <c r="AG163" s="13">
        <f>COUNTIFS($B$5:$B$216,B163,$C$5:$C$216,C163)</f>
        <v/>
      </c>
    </row>
    <row r="164">
      <c r="A164" s="9" t="inlineStr">
        <is>
          <t>E160</t>
        </is>
      </c>
      <c r="B164" s="9" t="inlineStr">
        <is>
          <t>Customer Support</t>
        </is>
      </c>
      <c r="C164" s="9" t="inlineStr">
        <is>
          <t>M</t>
        </is>
      </c>
      <c r="D164" s="10" t="n">
        <v>48769.2</v>
      </c>
      <c r="E164" s="10" t="n">
        <v>2353.47</v>
      </c>
      <c r="F164" s="9" t="n">
        <v>12.6</v>
      </c>
      <c r="G164" s="9" t="n">
        <v>4</v>
      </c>
      <c r="H164" s="9" t="n">
        <v>1</v>
      </c>
      <c r="I164" s="9" t="n">
        <v>12</v>
      </c>
      <c r="J164" s="11">
        <f>H164*(I164/12)</f>
        <v/>
      </c>
      <c r="K164" s="12">
        <f>D164/J164</f>
        <v/>
      </c>
      <c r="L164" s="12">
        <f>E164/J164</f>
        <v/>
      </c>
      <c r="M164" s="12">
        <f>K164+L164</f>
        <v/>
      </c>
      <c r="N164" s="12">
        <f>D164+E164</f>
        <v/>
      </c>
      <c r="O164" s="12">
        <f>(SUMIFS($M$5:$M$216,$B$5:$B$216,B164,$AD$5:$AD$216,INT((AE164+1)/2))+SUMIFS($M$5:$M$216,$B$5:$B$216,B164,$AD$5:$AD$216,INT(AE164/2)+1))/2</f>
        <v/>
      </c>
      <c r="P164" s="13">
        <f>IF(AND(C164="F",M164&lt;O164,SUMIFS(Categories!$Z$5:$Z$11,Categories!$A$5:$A$11,B164)=1),1,0)</f>
        <v/>
      </c>
      <c r="Q164" s="12">
        <f>IF(P164=1,O164-M164,0)</f>
        <v/>
      </c>
      <c r="R164" s="11">
        <f>IF(AND(P164=1,SUMIFS(Categories!$AA$5:$AA$11,Categories!$A$5:$A$11,B164)&gt;0),Q164/SUMIFS(Categories!$AA$5:$AA$11,Categories!$A$5:$A$11,B164),0)</f>
        <v/>
      </c>
      <c r="S164" s="12">
        <f>R164*SUMIFS(Categories!$AB$5:$AB$11,Categories!$A$5:$A$11,B164)</f>
        <v/>
      </c>
      <c r="T164" s="12">
        <f>S164*J164</f>
        <v/>
      </c>
      <c r="U164" s="12">
        <f>IF(T164&lt;=0,0,(rate_below/100)*MIN(T164,MAX(0,ceiling-D164))+(rate_above/100)*(T164-MIN(T164,MAX(0,ceiling-D164))))</f>
        <v/>
      </c>
      <c r="V164" s="12">
        <f>T164+U164</f>
        <v/>
      </c>
      <c r="W164" s="13">
        <f>IF(AND(C164="F",M164&lt;O164,SUMIFS(Categories!$AH$5:$AH$11,Categories!$A$5:$A$11,B164)=1),1,0)</f>
        <v/>
      </c>
      <c r="X164" s="12">
        <f>IF(W164=1,O164-M164,0)</f>
        <v/>
      </c>
      <c r="Y164" s="11">
        <f>IF(AND(W164=1,SUMIFS(Categories!$AI$5:$AI$11,Categories!$A$5:$A$11,B164)&gt;0),X164/SUMIFS(Categories!$AI$5:$AI$11,Categories!$A$5:$A$11,B164),0)</f>
        <v/>
      </c>
      <c r="Z164" s="12">
        <f>Y164*SUMIFS(Categories!$AJ$5:$AJ$11,Categories!$A$5:$A$11,B164)</f>
        <v/>
      </c>
      <c r="AA164" s="12">
        <f>Z164*J164</f>
        <v/>
      </c>
      <c r="AB164" s="12">
        <f>IF(AA164&lt;=0,0,(rate_below/100)*MIN(AA164,MAX(0,ceiling-D164))+(rate_above/100)*(AA164-MIN(AA164,MAX(0,ceiling-D164))))</f>
        <v/>
      </c>
      <c r="AC164" s="12">
        <f>AA164+AB164</f>
        <v/>
      </c>
      <c r="AD164" s="13">
        <f>SUMPRODUCT(($B$5:$B$216=B164)*($M$5:$M$216&lt;M164))+SUMPRODUCT(($B$5:$B$216=B164)*($M$5:$M$216=M164)*(ROW($M$5:$M$216)&lt;ROW(M164)))+1</f>
        <v/>
      </c>
      <c r="AE164" s="13">
        <f>COUNTIF($B$5:$B$216,B164)</f>
        <v/>
      </c>
      <c r="AF164" s="13">
        <f>SUMPRODUCT(($B$5:$B$216=B164)*($C$5:$C$216=C164)*($M$5:$M$216&lt;M164))+SUMPRODUCT(($B$5:$B$216=B164)*($C$5:$C$216=C164)*($M$5:$M$216=M164)*(ROW($M$5:$M$216)&lt;ROW(M164)))+1</f>
        <v/>
      </c>
      <c r="AG164" s="13">
        <f>COUNTIFS($B$5:$B$216,B164,$C$5:$C$216,C164)</f>
        <v/>
      </c>
    </row>
    <row r="165">
      <c r="A165" s="9" t="inlineStr">
        <is>
          <t>E161</t>
        </is>
      </c>
      <c r="B165" s="9" t="inlineStr">
        <is>
          <t>Customer Support</t>
        </is>
      </c>
      <c r="C165" s="9" t="inlineStr">
        <is>
          <t>M</t>
        </is>
      </c>
      <c r="D165" s="10" t="n">
        <v>48810.1</v>
      </c>
      <c r="E165" s="10" t="n">
        <v>2349.72</v>
      </c>
      <c r="F165" s="9" t="n">
        <v>8.6</v>
      </c>
      <c r="G165" s="9" t="n">
        <v>4</v>
      </c>
      <c r="H165" s="9" t="n">
        <v>1</v>
      </c>
      <c r="I165" s="9" t="n">
        <v>12</v>
      </c>
      <c r="J165" s="11">
        <f>H165*(I165/12)</f>
        <v/>
      </c>
      <c r="K165" s="12">
        <f>D165/J165</f>
        <v/>
      </c>
      <c r="L165" s="12">
        <f>E165/J165</f>
        <v/>
      </c>
      <c r="M165" s="12">
        <f>K165+L165</f>
        <v/>
      </c>
      <c r="N165" s="12">
        <f>D165+E165</f>
        <v/>
      </c>
      <c r="O165" s="12">
        <f>(SUMIFS($M$5:$M$216,$B$5:$B$216,B165,$AD$5:$AD$216,INT((AE165+1)/2))+SUMIFS($M$5:$M$216,$B$5:$B$216,B165,$AD$5:$AD$216,INT(AE165/2)+1))/2</f>
        <v/>
      </c>
      <c r="P165" s="13">
        <f>IF(AND(C165="F",M165&lt;O165,SUMIFS(Categories!$Z$5:$Z$11,Categories!$A$5:$A$11,B165)=1),1,0)</f>
        <v/>
      </c>
      <c r="Q165" s="12">
        <f>IF(P165=1,O165-M165,0)</f>
        <v/>
      </c>
      <c r="R165" s="11">
        <f>IF(AND(P165=1,SUMIFS(Categories!$AA$5:$AA$11,Categories!$A$5:$A$11,B165)&gt;0),Q165/SUMIFS(Categories!$AA$5:$AA$11,Categories!$A$5:$A$11,B165),0)</f>
        <v/>
      </c>
      <c r="S165" s="12">
        <f>R165*SUMIFS(Categories!$AB$5:$AB$11,Categories!$A$5:$A$11,B165)</f>
        <v/>
      </c>
      <c r="T165" s="12">
        <f>S165*J165</f>
        <v/>
      </c>
      <c r="U165" s="12">
        <f>IF(T165&lt;=0,0,(rate_below/100)*MIN(T165,MAX(0,ceiling-D165))+(rate_above/100)*(T165-MIN(T165,MAX(0,ceiling-D165))))</f>
        <v/>
      </c>
      <c r="V165" s="12">
        <f>T165+U165</f>
        <v/>
      </c>
      <c r="W165" s="13">
        <f>IF(AND(C165="F",M165&lt;O165,SUMIFS(Categories!$AH$5:$AH$11,Categories!$A$5:$A$11,B165)=1),1,0)</f>
        <v/>
      </c>
      <c r="X165" s="12">
        <f>IF(W165=1,O165-M165,0)</f>
        <v/>
      </c>
      <c r="Y165" s="11">
        <f>IF(AND(W165=1,SUMIFS(Categories!$AI$5:$AI$11,Categories!$A$5:$A$11,B165)&gt;0),X165/SUMIFS(Categories!$AI$5:$AI$11,Categories!$A$5:$A$11,B165),0)</f>
        <v/>
      </c>
      <c r="Z165" s="12">
        <f>Y165*SUMIFS(Categories!$AJ$5:$AJ$11,Categories!$A$5:$A$11,B165)</f>
        <v/>
      </c>
      <c r="AA165" s="12">
        <f>Z165*J165</f>
        <v/>
      </c>
      <c r="AB165" s="12">
        <f>IF(AA165&lt;=0,0,(rate_below/100)*MIN(AA165,MAX(0,ceiling-D165))+(rate_above/100)*(AA165-MIN(AA165,MAX(0,ceiling-D165))))</f>
        <v/>
      </c>
      <c r="AC165" s="12">
        <f>AA165+AB165</f>
        <v/>
      </c>
      <c r="AD165" s="13">
        <f>SUMPRODUCT(($B$5:$B$216=B165)*($M$5:$M$216&lt;M165))+SUMPRODUCT(($B$5:$B$216=B165)*($M$5:$M$216=M165)*(ROW($M$5:$M$216)&lt;ROW(M165)))+1</f>
        <v/>
      </c>
      <c r="AE165" s="13">
        <f>COUNTIF($B$5:$B$216,B165)</f>
        <v/>
      </c>
      <c r="AF165" s="13">
        <f>SUMPRODUCT(($B$5:$B$216=B165)*($C$5:$C$216=C165)*($M$5:$M$216&lt;M165))+SUMPRODUCT(($B$5:$B$216=B165)*($C$5:$C$216=C165)*($M$5:$M$216=M165)*(ROW($M$5:$M$216)&lt;ROW(M165)))+1</f>
        <v/>
      </c>
      <c r="AG165" s="13">
        <f>COUNTIFS($B$5:$B$216,B165,$C$5:$C$216,C165)</f>
        <v/>
      </c>
    </row>
    <row r="166">
      <c r="A166" s="9" t="inlineStr">
        <is>
          <t>E162</t>
        </is>
      </c>
      <c r="B166" s="9" t="inlineStr">
        <is>
          <t>Customer Support</t>
        </is>
      </c>
      <c r="C166" s="9" t="inlineStr">
        <is>
          <t>F</t>
        </is>
      </c>
      <c r="D166" s="10" t="n">
        <v>28505.19</v>
      </c>
      <c r="E166" s="10" t="n">
        <v>1614.47</v>
      </c>
      <c r="F166" s="9" t="n">
        <v>4.3</v>
      </c>
      <c r="G166" s="9" t="n">
        <v>1</v>
      </c>
      <c r="H166" s="9" t="n">
        <v>1</v>
      </c>
      <c r="I166" s="9" t="n">
        <v>12</v>
      </c>
      <c r="J166" s="11">
        <f>H166*(I166/12)</f>
        <v/>
      </c>
      <c r="K166" s="12">
        <f>D166/J166</f>
        <v/>
      </c>
      <c r="L166" s="12">
        <f>E166/J166</f>
        <v/>
      </c>
      <c r="M166" s="12">
        <f>K166+L166</f>
        <v/>
      </c>
      <c r="N166" s="12">
        <f>D166+E166</f>
        <v/>
      </c>
      <c r="O166" s="12">
        <f>(SUMIFS($M$5:$M$216,$B$5:$B$216,B166,$AD$5:$AD$216,INT((AE166+1)/2))+SUMIFS($M$5:$M$216,$B$5:$B$216,B166,$AD$5:$AD$216,INT(AE166/2)+1))/2</f>
        <v/>
      </c>
      <c r="P166" s="13">
        <f>IF(AND(C166="F",M166&lt;O166,SUMIFS(Categories!$Z$5:$Z$11,Categories!$A$5:$A$11,B166)=1),1,0)</f>
        <v/>
      </c>
      <c r="Q166" s="12">
        <f>IF(P166=1,O166-M166,0)</f>
        <v/>
      </c>
      <c r="R166" s="11">
        <f>IF(AND(P166=1,SUMIFS(Categories!$AA$5:$AA$11,Categories!$A$5:$A$11,B166)&gt;0),Q166/SUMIFS(Categories!$AA$5:$AA$11,Categories!$A$5:$A$11,B166),0)</f>
        <v/>
      </c>
      <c r="S166" s="12">
        <f>R166*SUMIFS(Categories!$AB$5:$AB$11,Categories!$A$5:$A$11,B166)</f>
        <v/>
      </c>
      <c r="T166" s="12">
        <f>S166*J166</f>
        <v/>
      </c>
      <c r="U166" s="12">
        <f>IF(T166&lt;=0,0,(rate_below/100)*MIN(T166,MAX(0,ceiling-D166))+(rate_above/100)*(T166-MIN(T166,MAX(0,ceiling-D166))))</f>
        <v/>
      </c>
      <c r="V166" s="12">
        <f>T166+U166</f>
        <v/>
      </c>
      <c r="W166" s="13">
        <f>IF(AND(C166="F",M166&lt;O166,SUMIFS(Categories!$AH$5:$AH$11,Categories!$A$5:$A$11,B166)=1),1,0)</f>
        <v/>
      </c>
      <c r="X166" s="12">
        <f>IF(W166=1,O166-M166,0)</f>
        <v/>
      </c>
      <c r="Y166" s="11">
        <f>IF(AND(W166=1,SUMIFS(Categories!$AI$5:$AI$11,Categories!$A$5:$A$11,B166)&gt;0),X166/SUMIFS(Categories!$AI$5:$AI$11,Categories!$A$5:$A$11,B166),0)</f>
        <v/>
      </c>
      <c r="Z166" s="12">
        <f>Y166*SUMIFS(Categories!$AJ$5:$AJ$11,Categories!$A$5:$A$11,B166)</f>
        <v/>
      </c>
      <c r="AA166" s="12">
        <f>Z166*J166</f>
        <v/>
      </c>
      <c r="AB166" s="12">
        <f>IF(AA166&lt;=0,0,(rate_below/100)*MIN(AA166,MAX(0,ceiling-D166))+(rate_above/100)*(AA166-MIN(AA166,MAX(0,ceiling-D166))))</f>
        <v/>
      </c>
      <c r="AC166" s="12">
        <f>AA166+AB166</f>
        <v/>
      </c>
      <c r="AD166" s="13">
        <f>SUMPRODUCT(($B$5:$B$216=B166)*($M$5:$M$216&lt;M166))+SUMPRODUCT(($B$5:$B$216=B166)*($M$5:$M$216=M166)*(ROW($M$5:$M$216)&lt;ROW(M166)))+1</f>
        <v/>
      </c>
      <c r="AE166" s="13">
        <f>COUNTIF($B$5:$B$216,B166)</f>
        <v/>
      </c>
      <c r="AF166" s="13">
        <f>SUMPRODUCT(($B$5:$B$216=B166)*($C$5:$C$216=C166)*($M$5:$M$216&lt;M166))+SUMPRODUCT(($B$5:$B$216=B166)*($C$5:$C$216=C166)*($M$5:$M$216=M166)*(ROW($M$5:$M$216)&lt;ROW(M166)))+1</f>
        <v/>
      </c>
      <c r="AG166" s="13">
        <f>COUNTIFS($B$5:$B$216,B166,$C$5:$C$216,C166)</f>
        <v/>
      </c>
    </row>
    <row r="167">
      <c r="A167" s="9" t="inlineStr">
        <is>
          <t>E163</t>
        </is>
      </c>
      <c r="B167" s="9" t="inlineStr">
        <is>
          <t>Customer Support</t>
        </is>
      </c>
      <c r="C167" s="9" t="inlineStr">
        <is>
          <t>F</t>
        </is>
      </c>
      <c r="D167" s="10" t="n">
        <v>20536.6</v>
      </c>
      <c r="E167" s="10" t="n">
        <v>1026.23</v>
      </c>
      <c r="F167" s="9" t="n">
        <v>8.9</v>
      </c>
      <c r="G167" s="9" t="n">
        <v>3</v>
      </c>
      <c r="H167" s="9" t="n">
        <v>0.5</v>
      </c>
      <c r="I167" s="9" t="n">
        <v>12</v>
      </c>
      <c r="J167" s="11">
        <f>H167*(I167/12)</f>
        <v/>
      </c>
      <c r="K167" s="12">
        <f>D167/J167</f>
        <v/>
      </c>
      <c r="L167" s="12">
        <f>E167/J167</f>
        <v/>
      </c>
      <c r="M167" s="12">
        <f>K167+L167</f>
        <v/>
      </c>
      <c r="N167" s="12">
        <f>D167+E167</f>
        <v/>
      </c>
      <c r="O167" s="12">
        <f>(SUMIFS($M$5:$M$216,$B$5:$B$216,B167,$AD$5:$AD$216,INT((AE167+1)/2))+SUMIFS($M$5:$M$216,$B$5:$B$216,B167,$AD$5:$AD$216,INT(AE167/2)+1))/2</f>
        <v/>
      </c>
      <c r="P167" s="13">
        <f>IF(AND(C167="F",M167&lt;O167,SUMIFS(Categories!$Z$5:$Z$11,Categories!$A$5:$A$11,B167)=1),1,0)</f>
        <v/>
      </c>
      <c r="Q167" s="12">
        <f>IF(P167=1,O167-M167,0)</f>
        <v/>
      </c>
      <c r="R167" s="11">
        <f>IF(AND(P167=1,SUMIFS(Categories!$AA$5:$AA$11,Categories!$A$5:$A$11,B167)&gt;0),Q167/SUMIFS(Categories!$AA$5:$AA$11,Categories!$A$5:$A$11,B167),0)</f>
        <v/>
      </c>
      <c r="S167" s="12">
        <f>R167*SUMIFS(Categories!$AB$5:$AB$11,Categories!$A$5:$A$11,B167)</f>
        <v/>
      </c>
      <c r="T167" s="12">
        <f>S167*J167</f>
        <v/>
      </c>
      <c r="U167" s="12">
        <f>IF(T167&lt;=0,0,(rate_below/100)*MIN(T167,MAX(0,ceiling-D167))+(rate_above/100)*(T167-MIN(T167,MAX(0,ceiling-D167))))</f>
        <v/>
      </c>
      <c r="V167" s="12">
        <f>T167+U167</f>
        <v/>
      </c>
      <c r="W167" s="13">
        <f>IF(AND(C167="F",M167&lt;O167,SUMIFS(Categories!$AH$5:$AH$11,Categories!$A$5:$A$11,B167)=1),1,0)</f>
        <v/>
      </c>
      <c r="X167" s="12">
        <f>IF(W167=1,O167-M167,0)</f>
        <v/>
      </c>
      <c r="Y167" s="11">
        <f>IF(AND(W167=1,SUMIFS(Categories!$AI$5:$AI$11,Categories!$A$5:$A$11,B167)&gt;0),X167/SUMIFS(Categories!$AI$5:$AI$11,Categories!$A$5:$A$11,B167),0)</f>
        <v/>
      </c>
      <c r="Z167" s="12">
        <f>Y167*SUMIFS(Categories!$AJ$5:$AJ$11,Categories!$A$5:$A$11,B167)</f>
        <v/>
      </c>
      <c r="AA167" s="12">
        <f>Z167*J167</f>
        <v/>
      </c>
      <c r="AB167" s="12">
        <f>IF(AA167&lt;=0,0,(rate_below/100)*MIN(AA167,MAX(0,ceiling-D167))+(rate_above/100)*(AA167-MIN(AA167,MAX(0,ceiling-D167))))</f>
        <v/>
      </c>
      <c r="AC167" s="12">
        <f>AA167+AB167</f>
        <v/>
      </c>
      <c r="AD167" s="13">
        <f>SUMPRODUCT(($B$5:$B$216=B167)*($M$5:$M$216&lt;M167))+SUMPRODUCT(($B$5:$B$216=B167)*($M$5:$M$216=M167)*(ROW($M$5:$M$216)&lt;ROW(M167)))+1</f>
        <v/>
      </c>
      <c r="AE167" s="13">
        <f>COUNTIF($B$5:$B$216,B167)</f>
        <v/>
      </c>
      <c r="AF167" s="13">
        <f>SUMPRODUCT(($B$5:$B$216=B167)*($C$5:$C$216=C167)*($M$5:$M$216&lt;M167))+SUMPRODUCT(($B$5:$B$216=B167)*($C$5:$C$216=C167)*($M$5:$M$216=M167)*(ROW($M$5:$M$216)&lt;ROW(M167)))+1</f>
        <v/>
      </c>
      <c r="AG167" s="13">
        <f>COUNTIFS($B$5:$B$216,B167,$C$5:$C$216,C167)</f>
        <v/>
      </c>
    </row>
    <row r="168">
      <c r="A168" s="9" t="inlineStr">
        <is>
          <t>E164</t>
        </is>
      </c>
      <c r="B168" s="9" t="inlineStr">
        <is>
          <t>Customer Support</t>
        </is>
      </c>
      <c r="C168" s="9" t="inlineStr">
        <is>
          <t>M</t>
        </is>
      </c>
      <c r="D168" s="10" t="n">
        <v>10398.18</v>
      </c>
      <c r="E168" s="10" t="n">
        <v>516.4400000000001</v>
      </c>
      <c r="F168" s="9" t="n">
        <v>1.4</v>
      </c>
      <c r="G168" s="9" t="n">
        <v>1</v>
      </c>
      <c r="H168" s="9" t="n">
        <v>1</v>
      </c>
      <c r="I168" s="9" t="n">
        <v>4</v>
      </c>
      <c r="J168" s="11">
        <f>H168*(I168/12)</f>
        <v/>
      </c>
      <c r="K168" s="12">
        <f>D168/J168</f>
        <v/>
      </c>
      <c r="L168" s="12">
        <f>E168/J168</f>
        <v/>
      </c>
      <c r="M168" s="12">
        <f>K168+L168</f>
        <v/>
      </c>
      <c r="N168" s="12">
        <f>D168+E168</f>
        <v/>
      </c>
      <c r="O168" s="12">
        <f>(SUMIFS($M$5:$M$216,$B$5:$B$216,B168,$AD$5:$AD$216,INT((AE168+1)/2))+SUMIFS($M$5:$M$216,$B$5:$B$216,B168,$AD$5:$AD$216,INT(AE168/2)+1))/2</f>
        <v/>
      </c>
      <c r="P168" s="13">
        <f>IF(AND(C168="F",M168&lt;O168,SUMIFS(Categories!$Z$5:$Z$11,Categories!$A$5:$A$11,B168)=1),1,0)</f>
        <v/>
      </c>
      <c r="Q168" s="12">
        <f>IF(P168=1,O168-M168,0)</f>
        <v/>
      </c>
      <c r="R168" s="11">
        <f>IF(AND(P168=1,SUMIFS(Categories!$AA$5:$AA$11,Categories!$A$5:$A$11,B168)&gt;0),Q168/SUMIFS(Categories!$AA$5:$AA$11,Categories!$A$5:$A$11,B168),0)</f>
        <v/>
      </c>
      <c r="S168" s="12">
        <f>R168*SUMIFS(Categories!$AB$5:$AB$11,Categories!$A$5:$A$11,B168)</f>
        <v/>
      </c>
      <c r="T168" s="12">
        <f>S168*J168</f>
        <v/>
      </c>
      <c r="U168" s="12">
        <f>IF(T168&lt;=0,0,(rate_below/100)*MIN(T168,MAX(0,ceiling-D168))+(rate_above/100)*(T168-MIN(T168,MAX(0,ceiling-D168))))</f>
        <v/>
      </c>
      <c r="V168" s="12">
        <f>T168+U168</f>
        <v/>
      </c>
      <c r="W168" s="13">
        <f>IF(AND(C168="F",M168&lt;O168,SUMIFS(Categories!$AH$5:$AH$11,Categories!$A$5:$A$11,B168)=1),1,0)</f>
        <v/>
      </c>
      <c r="X168" s="12">
        <f>IF(W168=1,O168-M168,0)</f>
        <v/>
      </c>
      <c r="Y168" s="11">
        <f>IF(AND(W168=1,SUMIFS(Categories!$AI$5:$AI$11,Categories!$A$5:$A$11,B168)&gt;0),X168/SUMIFS(Categories!$AI$5:$AI$11,Categories!$A$5:$A$11,B168),0)</f>
        <v/>
      </c>
      <c r="Z168" s="12">
        <f>Y168*SUMIFS(Categories!$AJ$5:$AJ$11,Categories!$A$5:$A$11,B168)</f>
        <v/>
      </c>
      <c r="AA168" s="12">
        <f>Z168*J168</f>
        <v/>
      </c>
      <c r="AB168" s="12">
        <f>IF(AA168&lt;=0,0,(rate_below/100)*MIN(AA168,MAX(0,ceiling-D168))+(rate_above/100)*(AA168-MIN(AA168,MAX(0,ceiling-D168))))</f>
        <v/>
      </c>
      <c r="AC168" s="12">
        <f>AA168+AB168</f>
        <v/>
      </c>
      <c r="AD168" s="13">
        <f>SUMPRODUCT(($B$5:$B$216=B168)*($M$5:$M$216&lt;M168))+SUMPRODUCT(($B$5:$B$216=B168)*($M$5:$M$216=M168)*(ROW($M$5:$M$216)&lt;ROW(M168)))+1</f>
        <v/>
      </c>
      <c r="AE168" s="13">
        <f>COUNTIF($B$5:$B$216,B168)</f>
        <v/>
      </c>
      <c r="AF168" s="13">
        <f>SUMPRODUCT(($B$5:$B$216=B168)*($C$5:$C$216=C168)*($M$5:$M$216&lt;M168))+SUMPRODUCT(($B$5:$B$216=B168)*($C$5:$C$216=C168)*($M$5:$M$216=M168)*(ROW($M$5:$M$216)&lt;ROW(M168)))+1</f>
        <v/>
      </c>
      <c r="AG168" s="13">
        <f>COUNTIFS($B$5:$B$216,B168,$C$5:$C$216,C168)</f>
        <v/>
      </c>
    </row>
    <row r="169">
      <c r="A169" s="9" t="inlineStr">
        <is>
          <t>E165</t>
        </is>
      </c>
      <c r="B169" s="9" t="inlineStr">
        <is>
          <t>Customer Support</t>
        </is>
      </c>
      <c r="C169" s="9" t="inlineStr">
        <is>
          <t>F</t>
        </is>
      </c>
      <c r="D169" s="10" t="n">
        <v>32061.13</v>
      </c>
      <c r="E169" s="10" t="n">
        <v>1476.82</v>
      </c>
      <c r="F169" s="9" t="n">
        <v>6.2</v>
      </c>
      <c r="G169" s="9" t="n">
        <v>1</v>
      </c>
      <c r="H169" s="9" t="n">
        <v>1</v>
      </c>
      <c r="I169" s="9" t="n">
        <v>12</v>
      </c>
      <c r="J169" s="11">
        <f>H169*(I169/12)</f>
        <v/>
      </c>
      <c r="K169" s="12">
        <f>D169/J169</f>
        <v/>
      </c>
      <c r="L169" s="12">
        <f>E169/J169</f>
        <v/>
      </c>
      <c r="M169" s="12">
        <f>K169+L169</f>
        <v/>
      </c>
      <c r="N169" s="12">
        <f>D169+E169</f>
        <v/>
      </c>
      <c r="O169" s="12">
        <f>(SUMIFS($M$5:$M$216,$B$5:$B$216,B169,$AD$5:$AD$216,INT((AE169+1)/2))+SUMIFS($M$5:$M$216,$B$5:$B$216,B169,$AD$5:$AD$216,INT(AE169/2)+1))/2</f>
        <v/>
      </c>
      <c r="P169" s="13">
        <f>IF(AND(C169="F",M169&lt;O169,SUMIFS(Categories!$Z$5:$Z$11,Categories!$A$5:$A$11,B169)=1),1,0)</f>
        <v/>
      </c>
      <c r="Q169" s="12">
        <f>IF(P169=1,O169-M169,0)</f>
        <v/>
      </c>
      <c r="R169" s="11">
        <f>IF(AND(P169=1,SUMIFS(Categories!$AA$5:$AA$11,Categories!$A$5:$A$11,B169)&gt;0),Q169/SUMIFS(Categories!$AA$5:$AA$11,Categories!$A$5:$A$11,B169),0)</f>
        <v/>
      </c>
      <c r="S169" s="12">
        <f>R169*SUMIFS(Categories!$AB$5:$AB$11,Categories!$A$5:$A$11,B169)</f>
        <v/>
      </c>
      <c r="T169" s="12">
        <f>S169*J169</f>
        <v/>
      </c>
      <c r="U169" s="12">
        <f>IF(T169&lt;=0,0,(rate_below/100)*MIN(T169,MAX(0,ceiling-D169))+(rate_above/100)*(T169-MIN(T169,MAX(0,ceiling-D169))))</f>
        <v/>
      </c>
      <c r="V169" s="12">
        <f>T169+U169</f>
        <v/>
      </c>
      <c r="W169" s="13">
        <f>IF(AND(C169="F",M169&lt;O169,SUMIFS(Categories!$AH$5:$AH$11,Categories!$A$5:$A$11,B169)=1),1,0)</f>
        <v/>
      </c>
      <c r="X169" s="12">
        <f>IF(W169=1,O169-M169,0)</f>
        <v/>
      </c>
      <c r="Y169" s="11">
        <f>IF(AND(W169=1,SUMIFS(Categories!$AI$5:$AI$11,Categories!$A$5:$A$11,B169)&gt;0),X169/SUMIFS(Categories!$AI$5:$AI$11,Categories!$A$5:$A$11,B169),0)</f>
        <v/>
      </c>
      <c r="Z169" s="12">
        <f>Y169*SUMIFS(Categories!$AJ$5:$AJ$11,Categories!$A$5:$A$11,B169)</f>
        <v/>
      </c>
      <c r="AA169" s="12">
        <f>Z169*J169</f>
        <v/>
      </c>
      <c r="AB169" s="12">
        <f>IF(AA169&lt;=0,0,(rate_below/100)*MIN(AA169,MAX(0,ceiling-D169))+(rate_above/100)*(AA169-MIN(AA169,MAX(0,ceiling-D169))))</f>
        <v/>
      </c>
      <c r="AC169" s="12">
        <f>AA169+AB169</f>
        <v/>
      </c>
      <c r="AD169" s="13">
        <f>SUMPRODUCT(($B$5:$B$216=B169)*($M$5:$M$216&lt;M169))+SUMPRODUCT(($B$5:$B$216=B169)*($M$5:$M$216=M169)*(ROW($M$5:$M$216)&lt;ROW(M169)))+1</f>
        <v/>
      </c>
      <c r="AE169" s="13">
        <f>COUNTIF($B$5:$B$216,B169)</f>
        <v/>
      </c>
      <c r="AF169" s="13">
        <f>SUMPRODUCT(($B$5:$B$216=B169)*($C$5:$C$216=C169)*($M$5:$M$216&lt;M169))+SUMPRODUCT(($B$5:$B$216=B169)*($C$5:$C$216=C169)*($M$5:$M$216=M169)*(ROW($M$5:$M$216)&lt;ROW(M169)))+1</f>
        <v/>
      </c>
      <c r="AG169" s="13">
        <f>COUNTIFS($B$5:$B$216,B169,$C$5:$C$216,C169)</f>
        <v/>
      </c>
    </row>
    <row r="170">
      <c r="A170" s="9" t="inlineStr">
        <is>
          <t>E166</t>
        </is>
      </c>
      <c r="B170" s="9" t="inlineStr">
        <is>
          <t>Customer Support</t>
        </is>
      </c>
      <c r="C170" s="9" t="inlineStr">
        <is>
          <t>M</t>
        </is>
      </c>
      <c r="D170" s="10" t="n">
        <v>50938.91</v>
      </c>
      <c r="E170" s="10" t="n">
        <v>2469.56</v>
      </c>
      <c r="F170" s="9" t="n">
        <v>14</v>
      </c>
      <c r="G170" s="9" t="n">
        <v>4</v>
      </c>
      <c r="H170" s="9" t="n">
        <v>1</v>
      </c>
      <c r="I170" s="9" t="n">
        <v>12</v>
      </c>
      <c r="J170" s="11">
        <f>H170*(I170/12)</f>
        <v/>
      </c>
      <c r="K170" s="12">
        <f>D170/J170</f>
        <v/>
      </c>
      <c r="L170" s="12">
        <f>E170/J170</f>
        <v/>
      </c>
      <c r="M170" s="12">
        <f>K170+L170</f>
        <v/>
      </c>
      <c r="N170" s="12">
        <f>D170+E170</f>
        <v/>
      </c>
      <c r="O170" s="12">
        <f>(SUMIFS($M$5:$M$216,$B$5:$B$216,B170,$AD$5:$AD$216,INT((AE170+1)/2))+SUMIFS($M$5:$M$216,$B$5:$B$216,B170,$AD$5:$AD$216,INT(AE170/2)+1))/2</f>
        <v/>
      </c>
      <c r="P170" s="13">
        <f>IF(AND(C170="F",M170&lt;O170,SUMIFS(Categories!$Z$5:$Z$11,Categories!$A$5:$A$11,B170)=1),1,0)</f>
        <v/>
      </c>
      <c r="Q170" s="12">
        <f>IF(P170=1,O170-M170,0)</f>
        <v/>
      </c>
      <c r="R170" s="11">
        <f>IF(AND(P170=1,SUMIFS(Categories!$AA$5:$AA$11,Categories!$A$5:$A$11,B170)&gt;0),Q170/SUMIFS(Categories!$AA$5:$AA$11,Categories!$A$5:$A$11,B170),0)</f>
        <v/>
      </c>
      <c r="S170" s="12">
        <f>R170*SUMIFS(Categories!$AB$5:$AB$11,Categories!$A$5:$A$11,B170)</f>
        <v/>
      </c>
      <c r="T170" s="12">
        <f>S170*J170</f>
        <v/>
      </c>
      <c r="U170" s="12">
        <f>IF(T170&lt;=0,0,(rate_below/100)*MIN(T170,MAX(0,ceiling-D170))+(rate_above/100)*(T170-MIN(T170,MAX(0,ceiling-D170))))</f>
        <v/>
      </c>
      <c r="V170" s="12">
        <f>T170+U170</f>
        <v/>
      </c>
      <c r="W170" s="13">
        <f>IF(AND(C170="F",M170&lt;O170,SUMIFS(Categories!$AH$5:$AH$11,Categories!$A$5:$A$11,B170)=1),1,0)</f>
        <v/>
      </c>
      <c r="X170" s="12">
        <f>IF(W170=1,O170-M170,0)</f>
        <v/>
      </c>
      <c r="Y170" s="11">
        <f>IF(AND(W170=1,SUMIFS(Categories!$AI$5:$AI$11,Categories!$A$5:$A$11,B170)&gt;0),X170/SUMIFS(Categories!$AI$5:$AI$11,Categories!$A$5:$A$11,B170),0)</f>
        <v/>
      </c>
      <c r="Z170" s="12">
        <f>Y170*SUMIFS(Categories!$AJ$5:$AJ$11,Categories!$A$5:$A$11,B170)</f>
        <v/>
      </c>
      <c r="AA170" s="12">
        <f>Z170*J170</f>
        <v/>
      </c>
      <c r="AB170" s="12">
        <f>IF(AA170&lt;=0,0,(rate_below/100)*MIN(AA170,MAX(0,ceiling-D170))+(rate_above/100)*(AA170-MIN(AA170,MAX(0,ceiling-D170))))</f>
        <v/>
      </c>
      <c r="AC170" s="12">
        <f>AA170+AB170</f>
        <v/>
      </c>
      <c r="AD170" s="13">
        <f>SUMPRODUCT(($B$5:$B$216=B170)*($M$5:$M$216&lt;M170))+SUMPRODUCT(($B$5:$B$216=B170)*($M$5:$M$216=M170)*(ROW($M$5:$M$216)&lt;ROW(M170)))+1</f>
        <v/>
      </c>
      <c r="AE170" s="13">
        <f>COUNTIF($B$5:$B$216,B170)</f>
        <v/>
      </c>
      <c r="AF170" s="13">
        <f>SUMPRODUCT(($B$5:$B$216=B170)*($C$5:$C$216=C170)*($M$5:$M$216&lt;M170))+SUMPRODUCT(($B$5:$B$216=B170)*($C$5:$C$216=C170)*($M$5:$M$216=M170)*(ROW($M$5:$M$216)&lt;ROW(M170)))+1</f>
        <v/>
      </c>
      <c r="AG170" s="13">
        <f>COUNTIFS($B$5:$B$216,B170,$C$5:$C$216,C170)</f>
        <v/>
      </c>
    </row>
    <row r="171">
      <c r="A171" s="9" t="inlineStr">
        <is>
          <t>E167</t>
        </is>
      </c>
      <c r="B171" s="9" t="inlineStr">
        <is>
          <t>Customer Support</t>
        </is>
      </c>
      <c r="C171" s="9" t="inlineStr">
        <is>
          <t>M</t>
        </is>
      </c>
      <c r="D171" s="10" t="n">
        <v>36328.21</v>
      </c>
      <c r="E171" s="10" t="n">
        <v>1604.31</v>
      </c>
      <c r="F171" s="9" t="n">
        <v>8.9</v>
      </c>
      <c r="G171" s="9" t="n">
        <v>3</v>
      </c>
      <c r="H171" s="9" t="n">
        <v>1</v>
      </c>
      <c r="I171" s="9" t="n">
        <v>10</v>
      </c>
      <c r="J171" s="11">
        <f>H171*(I171/12)</f>
        <v/>
      </c>
      <c r="K171" s="12">
        <f>D171/J171</f>
        <v/>
      </c>
      <c r="L171" s="12">
        <f>E171/J171</f>
        <v/>
      </c>
      <c r="M171" s="12">
        <f>K171+L171</f>
        <v/>
      </c>
      <c r="N171" s="12">
        <f>D171+E171</f>
        <v/>
      </c>
      <c r="O171" s="12">
        <f>(SUMIFS($M$5:$M$216,$B$5:$B$216,B171,$AD$5:$AD$216,INT((AE171+1)/2))+SUMIFS($M$5:$M$216,$B$5:$B$216,B171,$AD$5:$AD$216,INT(AE171/2)+1))/2</f>
        <v/>
      </c>
      <c r="P171" s="13">
        <f>IF(AND(C171="F",M171&lt;O171,SUMIFS(Categories!$Z$5:$Z$11,Categories!$A$5:$A$11,B171)=1),1,0)</f>
        <v/>
      </c>
      <c r="Q171" s="12">
        <f>IF(P171=1,O171-M171,0)</f>
        <v/>
      </c>
      <c r="R171" s="11">
        <f>IF(AND(P171=1,SUMIFS(Categories!$AA$5:$AA$11,Categories!$A$5:$A$11,B171)&gt;0),Q171/SUMIFS(Categories!$AA$5:$AA$11,Categories!$A$5:$A$11,B171),0)</f>
        <v/>
      </c>
      <c r="S171" s="12">
        <f>R171*SUMIFS(Categories!$AB$5:$AB$11,Categories!$A$5:$A$11,B171)</f>
        <v/>
      </c>
      <c r="T171" s="12">
        <f>S171*J171</f>
        <v/>
      </c>
      <c r="U171" s="12">
        <f>IF(T171&lt;=0,0,(rate_below/100)*MIN(T171,MAX(0,ceiling-D171))+(rate_above/100)*(T171-MIN(T171,MAX(0,ceiling-D171))))</f>
        <v/>
      </c>
      <c r="V171" s="12">
        <f>T171+U171</f>
        <v/>
      </c>
      <c r="W171" s="13">
        <f>IF(AND(C171="F",M171&lt;O171,SUMIFS(Categories!$AH$5:$AH$11,Categories!$A$5:$A$11,B171)=1),1,0)</f>
        <v/>
      </c>
      <c r="X171" s="12">
        <f>IF(W171=1,O171-M171,0)</f>
        <v/>
      </c>
      <c r="Y171" s="11">
        <f>IF(AND(W171=1,SUMIFS(Categories!$AI$5:$AI$11,Categories!$A$5:$A$11,B171)&gt;0),X171/SUMIFS(Categories!$AI$5:$AI$11,Categories!$A$5:$A$11,B171),0)</f>
        <v/>
      </c>
      <c r="Z171" s="12">
        <f>Y171*SUMIFS(Categories!$AJ$5:$AJ$11,Categories!$A$5:$A$11,B171)</f>
        <v/>
      </c>
      <c r="AA171" s="12">
        <f>Z171*J171</f>
        <v/>
      </c>
      <c r="AB171" s="12">
        <f>IF(AA171&lt;=0,0,(rate_below/100)*MIN(AA171,MAX(0,ceiling-D171))+(rate_above/100)*(AA171-MIN(AA171,MAX(0,ceiling-D171))))</f>
        <v/>
      </c>
      <c r="AC171" s="12">
        <f>AA171+AB171</f>
        <v/>
      </c>
      <c r="AD171" s="13">
        <f>SUMPRODUCT(($B$5:$B$216=B171)*($M$5:$M$216&lt;M171))+SUMPRODUCT(($B$5:$B$216=B171)*($M$5:$M$216=M171)*(ROW($M$5:$M$216)&lt;ROW(M171)))+1</f>
        <v/>
      </c>
      <c r="AE171" s="13">
        <f>COUNTIF($B$5:$B$216,B171)</f>
        <v/>
      </c>
      <c r="AF171" s="13">
        <f>SUMPRODUCT(($B$5:$B$216=B171)*($C$5:$C$216=C171)*($M$5:$M$216&lt;M171))+SUMPRODUCT(($B$5:$B$216=B171)*($C$5:$C$216=C171)*($M$5:$M$216=M171)*(ROW($M$5:$M$216)&lt;ROW(M171)))+1</f>
        <v/>
      </c>
      <c r="AG171" s="13">
        <f>COUNTIFS($B$5:$B$216,B171,$C$5:$C$216,C171)</f>
        <v/>
      </c>
    </row>
    <row r="172">
      <c r="A172" s="9" t="inlineStr">
        <is>
          <t>E168</t>
        </is>
      </c>
      <c r="B172" s="9" t="inlineStr">
        <is>
          <t>Customer Support</t>
        </is>
      </c>
      <c r="C172" s="9" t="inlineStr">
        <is>
          <t>F</t>
        </is>
      </c>
      <c r="D172" s="10" t="n">
        <v>44143.53</v>
      </c>
      <c r="E172" s="10" t="n">
        <v>1985.05</v>
      </c>
      <c r="F172" s="9" t="n">
        <v>7.8</v>
      </c>
      <c r="G172" s="9" t="n">
        <v>4</v>
      </c>
      <c r="H172" s="9" t="n">
        <v>1</v>
      </c>
      <c r="I172" s="9" t="n">
        <v>12</v>
      </c>
      <c r="J172" s="11">
        <f>H172*(I172/12)</f>
        <v/>
      </c>
      <c r="K172" s="12">
        <f>D172/J172</f>
        <v/>
      </c>
      <c r="L172" s="12">
        <f>E172/J172</f>
        <v/>
      </c>
      <c r="M172" s="12">
        <f>K172+L172</f>
        <v/>
      </c>
      <c r="N172" s="12">
        <f>D172+E172</f>
        <v/>
      </c>
      <c r="O172" s="12">
        <f>(SUMIFS($M$5:$M$216,$B$5:$B$216,B172,$AD$5:$AD$216,INT((AE172+1)/2))+SUMIFS($M$5:$M$216,$B$5:$B$216,B172,$AD$5:$AD$216,INT(AE172/2)+1))/2</f>
        <v/>
      </c>
      <c r="P172" s="13">
        <f>IF(AND(C172="F",M172&lt;O172,SUMIFS(Categories!$Z$5:$Z$11,Categories!$A$5:$A$11,B172)=1),1,0)</f>
        <v/>
      </c>
      <c r="Q172" s="12">
        <f>IF(P172=1,O172-M172,0)</f>
        <v/>
      </c>
      <c r="R172" s="11">
        <f>IF(AND(P172=1,SUMIFS(Categories!$AA$5:$AA$11,Categories!$A$5:$A$11,B172)&gt;0),Q172/SUMIFS(Categories!$AA$5:$AA$11,Categories!$A$5:$A$11,B172),0)</f>
        <v/>
      </c>
      <c r="S172" s="12">
        <f>R172*SUMIFS(Categories!$AB$5:$AB$11,Categories!$A$5:$A$11,B172)</f>
        <v/>
      </c>
      <c r="T172" s="12">
        <f>S172*J172</f>
        <v/>
      </c>
      <c r="U172" s="12">
        <f>IF(T172&lt;=0,0,(rate_below/100)*MIN(T172,MAX(0,ceiling-D172))+(rate_above/100)*(T172-MIN(T172,MAX(0,ceiling-D172))))</f>
        <v/>
      </c>
      <c r="V172" s="12">
        <f>T172+U172</f>
        <v/>
      </c>
      <c r="W172" s="13">
        <f>IF(AND(C172="F",M172&lt;O172,SUMIFS(Categories!$AH$5:$AH$11,Categories!$A$5:$A$11,B172)=1),1,0)</f>
        <v/>
      </c>
      <c r="X172" s="12">
        <f>IF(W172=1,O172-M172,0)</f>
        <v/>
      </c>
      <c r="Y172" s="11">
        <f>IF(AND(W172=1,SUMIFS(Categories!$AI$5:$AI$11,Categories!$A$5:$A$11,B172)&gt;0),X172/SUMIFS(Categories!$AI$5:$AI$11,Categories!$A$5:$A$11,B172),0)</f>
        <v/>
      </c>
      <c r="Z172" s="12">
        <f>Y172*SUMIFS(Categories!$AJ$5:$AJ$11,Categories!$A$5:$A$11,B172)</f>
        <v/>
      </c>
      <c r="AA172" s="12">
        <f>Z172*J172</f>
        <v/>
      </c>
      <c r="AB172" s="12">
        <f>IF(AA172&lt;=0,0,(rate_below/100)*MIN(AA172,MAX(0,ceiling-D172))+(rate_above/100)*(AA172-MIN(AA172,MAX(0,ceiling-D172))))</f>
        <v/>
      </c>
      <c r="AC172" s="12">
        <f>AA172+AB172</f>
        <v/>
      </c>
      <c r="AD172" s="13">
        <f>SUMPRODUCT(($B$5:$B$216=B172)*($M$5:$M$216&lt;M172))+SUMPRODUCT(($B$5:$B$216=B172)*($M$5:$M$216=M172)*(ROW($M$5:$M$216)&lt;ROW(M172)))+1</f>
        <v/>
      </c>
      <c r="AE172" s="13">
        <f>COUNTIF($B$5:$B$216,B172)</f>
        <v/>
      </c>
      <c r="AF172" s="13">
        <f>SUMPRODUCT(($B$5:$B$216=B172)*($C$5:$C$216=C172)*($M$5:$M$216&lt;M172))+SUMPRODUCT(($B$5:$B$216=B172)*($C$5:$C$216=C172)*($M$5:$M$216=M172)*(ROW($M$5:$M$216)&lt;ROW(M172)))+1</f>
        <v/>
      </c>
      <c r="AG172" s="13">
        <f>COUNTIFS($B$5:$B$216,B172,$C$5:$C$216,C172)</f>
        <v/>
      </c>
    </row>
    <row r="173">
      <c r="A173" s="9" t="inlineStr">
        <is>
          <t>E169</t>
        </is>
      </c>
      <c r="B173" s="9" t="inlineStr">
        <is>
          <t>Customer Support</t>
        </is>
      </c>
      <c r="C173" s="9" t="inlineStr">
        <is>
          <t>F</t>
        </is>
      </c>
      <c r="D173" s="10" t="n">
        <v>30996.08</v>
      </c>
      <c r="E173" s="10" t="n">
        <v>1339.22</v>
      </c>
      <c r="F173" s="9" t="n">
        <v>5.3</v>
      </c>
      <c r="G173" s="9" t="n">
        <v>2</v>
      </c>
      <c r="H173" s="9" t="n">
        <v>1</v>
      </c>
      <c r="I173" s="9" t="n">
        <v>12</v>
      </c>
      <c r="J173" s="11">
        <f>H173*(I173/12)</f>
        <v/>
      </c>
      <c r="K173" s="12">
        <f>D173/J173</f>
        <v/>
      </c>
      <c r="L173" s="12">
        <f>E173/J173</f>
        <v/>
      </c>
      <c r="M173" s="12">
        <f>K173+L173</f>
        <v/>
      </c>
      <c r="N173" s="12">
        <f>D173+E173</f>
        <v/>
      </c>
      <c r="O173" s="12">
        <f>(SUMIFS($M$5:$M$216,$B$5:$B$216,B173,$AD$5:$AD$216,INT((AE173+1)/2))+SUMIFS($M$5:$M$216,$B$5:$B$216,B173,$AD$5:$AD$216,INT(AE173/2)+1))/2</f>
        <v/>
      </c>
      <c r="P173" s="13">
        <f>IF(AND(C173="F",M173&lt;O173,SUMIFS(Categories!$Z$5:$Z$11,Categories!$A$5:$A$11,B173)=1),1,0)</f>
        <v/>
      </c>
      <c r="Q173" s="12">
        <f>IF(P173=1,O173-M173,0)</f>
        <v/>
      </c>
      <c r="R173" s="11">
        <f>IF(AND(P173=1,SUMIFS(Categories!$AA$5:$AA$11,Categories!$A$5:$A$11,B173)&gt;0),Q173/SUMIFS(Categories!$AA$5:$AA$11,Categories!$A$5:$A$11,B173),0)</f>
        <v/>
      </c>
      <c r="S173" s="12">
        <f>R173*SUMIFS(Categories!$AB$5:$AB$11,Categories!$A$5:$A$11,B173)</f>
        <v/>
      </c>
      <c r="T173" s="12">
        <f>S173*J173</f>
        <v/>
      </c>
      <c r="U173" s="12">
        <f>IF(T173&lt;=0,0,(rate_below/100)*MIN(T173,MAX(0,ceiling-D173))+(rate_above/100)*(T173-MIN(T173,MAX(0,ceiling-D173))))</f>
        <v/>
      </c>
      <c r="V173" s="12">
        <f>T173+U173</f>
        <v/>
      </c>
      <c r="W173" s="13">
        <f>IF(AND(C173="F",M173&lt;O173,SUMIFS(Categories!$AH$5:$AH$11,Categories!$A$5:$A$11,B173)=1),1,0)</f>
        <v/>
      </c>
      <c r="X173" s="12">
        <f>IF(W173=1,O173-M173,0)</f>
        <v/>
      </c>
      <c r="Y173" s="11">
        <f>IF(AND(W173=1,SUMIFS(Categories!$AI$5:$AI$11,Categories!$A$5:$A$11,B173)&gt;0),X173/SUMIFS(Categories!$AI$5:$AI$11,Categories!$A$5:$A$11,B173),0)</f>
        <v/>
      </c>
      <c r="Z173" s="12">
        <f>Y173*SUMIFS(Categories!$AJ$5:$AJ$11,Categories!$A$5:$A$11,B173)</f>
        <v/>
      </c>
      <c r="AA173" s="12">
        <f>Z173*J173</f>
        <v/>
      </c>
      <c r="AB173" s="12">
        <f>IF(AA173&lt;=0,0,(rate_below/100)*MIN(AA173,MAX(0,ceiling-D173))+(rate_above/100)*(AA173-MIN(AA173,MAX(0,ceiling-D173))))</f>
        <v/>
      </c>
      <c r="AC173" s="12">
        <f>AA173+AB173</f>
        <v/>
      </c>
      <c r="AD173" s="13">
        <f>SUMPRODUCT(($B$5:$B$216=B173)*($M$5:$M$216&lt;M173))+SUMPRODUCT(($B$5:$B$216=B173)*($M$5:$M$216=M173)*(ROW($M$5:$M$216)&lt;ROW(M173)))+1</f>
        <v/>
      </c>
      <c r="AE173" s="13">
        <f>COUNTIF($B$5:$B$216,B173)</f>
        <v/>
      </c>
      <c r="AF173" s="13">
        <f>SUMPRODUCT(($B$5:$B$216=B173)*($C$5:$C$216=C173)*($M$5:$M$216&lt;M173))+SUMPRODUCT(($B$5:$B$216=B173)*($C$5:$C$216=C173)*($M$5:$M$216=M173)*(ROW($M$5:$M$216)&lt;ROW(M173)))+1</f>
        <v/>
      </c>
      <c r="AG173" s="13">
        <f>COUNTIFS($B$5:$B$216,B173,$C$5:$C$216,C173)</f>
        <v/>
      </c>
    </row>
    <row r="174">
      <c r="A174" s="9" t="inlineStr">
        <is>
          <t>E170</t>
        </is>
      </c>
      <c r="B174" s="9" t="inlineStr">
        <is>
          <t>Customer Support</t>
        </is>
      </c>
      <c r="C174" s="9" t="inlineStr">
        <is>
          <t>F</t>
        </is>
      </c>
      <c r="D174" s="10" t="n">
        <v>16981.95</v>
      </c>
      <c r="E174" s="10" t="n">
        <v>707.0599999999999</v>
      </c>
      <c r="F174" s="9" t="n">
        <v>3</v>
      </c>
      <c r="G174" s="9" t="n">
        <v>2</v>
      </c>
      <c r="H174" s="9" t="n">
        <v>0.5</v>
      </c>
      <c r="I174" s="9" t="n">
        <v>12</v>
      </c>
      <c r="J174" s="11">
        <f>H174*(I174/12)</f>
        <v/>
      </c>
      <c r="K174" s="12">
        <f>D174/J174</f>
        <v/>
      </c>
      <c r="L174" s="12">
        <f>E174/J174</f>
        <v/>
      </c>
      <c r="M174" s="12">
        <f>K174+L174</f>
        <v/>
      </c>
      <c r="N174" s="12">
        <f>D174+E174</f>
        <v/>
      </c>
      <c r="O174" s="12">
        <f>(SUMIFS($M$5:$M$216,$B$5:$B$216,B174,$AD$5:$AD$216,INT((AE174+1)/2))+SUMIFS($M$5:$M$216,$B$5:$B$216,B174,$AD$5:$AD$216,INT(AE174/2)+1))/2</f>
        <v/>
      </c>
      <c r="P174" s="13">
        <f>IF(AND(C174="F",M174&lt;O174,SUMIFS(Categories!$Z$5:$Z$11,Categories!$A$5:$A$11,B174)=1),1,0)</f>
        <v/>
      </c>
      <c r="Q174" s="12">
        <f>IF(P174=1,O174-M174,0)</f>
        <v/>
      </c>
      <c r="R174" s="11">
        <f>IF(AND(P174=1,SUMIFS(Categories!$AA$5:$AA$11,Categories!$A$5:$A$11,B174)&gt;0),Q174/SUMIFS(Categories!$AA$5:$AA$11,Categories!$A$5:$A$11,B174),0)</f>
        <v/>
      </c>
      <c r="S174" s="12">
        <f>R174*SUMIFS(Categories!$AB$5:$AB$11,Categories!$A$5:$A$11,B174)</f>
        <v/>
      </c>
      <c r="T174" s="12">
        <f>S174*J174</f>
        <v/>
      </c>
      <c r="U174" s="12">
        <f>IF(T174&lt;=0,0,(rate_below/100)*MIN(T174,MAX(0,ceiling-D174))+(rate_above/100)*(T174-MIN(T174,MAX(0,ceiling-D174))))</f>
        <v/>
      </c>
      <c r="V174" s="12">
        <f>T174+U174</f>
        <v/>
      </c>
      <c r="W174" s="13">
        <f>IF(AND(C174="F",M174&lt;O174,SUMIFS(Categories!$AH$5:$AH$11,Categories!$A$5:$A$11,B174)=1),1,0)</f>
        <v/>
      </c>
      <c r="X174" s="12">
        <f>IF(W174=1,O174-M174,0)</f>
        <v/>
      </c>
      <c r="Y174" s="11">
        <f>IF(AND(W174=1,SUMIFS(Categories!$AI$5:$AI$11,Categories!$A$5:$A$11,B174)&gt;0),X174/SUMIFS(Categories!$AI$5:$AI$11,Categories!$A$5:$A$11,B174),0)</f>
        <v/>
      </c>
      <c r="Z174" s="12">
        <f>Y174*SUMIFS(Categories!$AJ$5:$AJ$11,Categories!$A$5:$A$11,B174)</f>
        <v/>
      </c>
      <c r="AA174" s="12">
        <f>Z174*J174</f>
        <v/>
      </c>
      <c r="AB174" s="12">
        <f>IF(AA174&lt;=0,0,(rate_below/100)*MIN(AA174,MAX(0,ceiling-D174))+(rate_above/100)*(AA174-MIN(AA174,MAX(0,ceiling-D174))))</f>
        <v/>
      </c>
      <c r="AC174" s="12">
        <f>AA174+AB174</f>
        <v/>
      </c>
      <c r="AD174" s="13">
        <f>SUMPRODUCT(($B$5:$B$216=B174)*($M$5:$M$216&lt;M174))+SUMPRODUCT(($B$5:$B$216=B174)*($M$5:$M$216=M174)*(ROW($M$5:$M$216)&lt;ROW(M174)))+1</f>
        <v/>
      </c>
      <c r="AE174" s="13">
        <f>COUNTIF($B$5:$B$216,B174)</f>
        <v/>
      </c>
      <c r="AF174" s="13">
        <f>SUMPRODUCT(($B$5:$B$216=B174)*($C$5:$C$216=C174)*($M$5:$M$216&lt;M174))+SUMPRODUCT(($B$5:$B$216=B174)*($C$5:$C$216=C174)*($M$5:$M$216=M174)*(ROW($M$5:$M$216)&lt;ROW(M174)))+1</f>
        <v/>
      </c>
      <c r="AG174" s="13">
        <f>COUNTIFS($B$5:$B$216,B174,$C$5:$C$216,C174)</f>
        <v/>
      </c>
    </row>
    <row r="175">
      <c r="A175" s="9" t="inlineStr">
        <is>
          <t>E171</t>
        </is>
      </c>
      <c r="B175" s="9" t="inlineStr">
        <is>
          <t>Customer Support</t>
        </is>
      </c>
      <c r="C175" s="9" t="inlineStr">
        <is>
          <t>F</t>
        </is>
      </c>
      <c r="D175" s="10" t="n">
        <v>23849.53</v>
      </c>
      <c r="E175" s="10" t="n">
        <v>1059.43</v>
      </c>
      <c r="F175" s="9" t="n">
        <v>5.4</v>
      </c>
      <c r="G175" s="9" t="n">
        <v>3</v>
      </c>
      <c r="H175" s="9" t="n">
        <v>0.6</v>
      </c>
      <c r="I175" s="9" t="n">
        <v>12</v>
      </c>
      <c r="J175" s="11">
        <f>H175*(I175/12)</f>
        <v/>
      </c>
      <c r="K175" s="12">
        <f>D175/J175</f>
        <v/>
      </c>
      <c r="L175" s="12">
        <f>E175/J175</f>
        <v/>
      </c>
      <c r="M175" s="12">
        <f>K175+L175</f>
        <v/>
      </c>
      <c r="N175" s="12">
        <f>D175+E175</f>
        <v/>
      </c>
      <c r="O175" s="12">
        <f>(SUMIFS($M$5:$M$216,$B$5:$B$216,B175,$AD$5:$AD$216,INT((AE175+1)/2))+SUMIFS($M$5:$M$216,$B$5:$B$216,B175,$AD$5:$AD$216,INT(AE175/2)+1))/2</f>
        <v/>
      </c>
      <c r="P175" s="13">
        <f>IF(AND(C175="F",M175&lt;O175,SUMIFS(Categories!$Z$5:$Z$11,Categories!$A$5:$A$11,B175)=1),1,0)</f>
        <v/>
      </c>
      <c r="Q175" s="12">
        <f>IF(P175=1,O175-M175,0)</f>
        <v/>
      </c>
      <c r="R175" s="11">
        <f>IF(AND(P175=1,SUMIFS(Categories!$AA$5:$AA$11,Categories!$A$5:$A$11,B175)&gt;0),Q175/SUMIFS(Categories!$AA$5:$AA$11,Categories!$A$5:$A$11,B175),0)</f>
        <v/>
      </c>
      <c r="S175" s="12">
        <f>R175*SUMIFS(Categories!$AB$5:$AB$11,Categories!$A$5:$A$11,B175)</f>
        <v/>
      </c>
      <c r="T175" s="12">
        <f>S175*J175</f>
        <v/>
      </c>
      <c r="U175" s="12">
        <f>IF(T175&lt;=0,0,(rate_below/100)*MIN(T175,MAX(0,ceiling-D175))+(rate_above/100)*(T175-MIN(T175,MAX(0,ceiling-D175))))</f>
        <v/>
      </c>
      <c r="V175" s="12">
        <f>T175+U175</f>
        <v/>
      </c>
      <c r="W175" s="13">
        <f>IF(AND(C175="F",M175&lt;O175,SUMIFS(Categories!$AH$5:$AH$11,Categories!$A$5:$A$11,B175)=1),1,0)</f>
        <v/>
      </c>
      <c r="X175" s="12">
        <f>IF(W175=1,O175-M175,0)</f>
        <v/>
      </c>
      <c r="Y175" s="11">
        <f>IF(AND(W175=1,SUMIFS(Categories!$AI$5:$AI$11,Categories!$A$5:$A$11,B175)&gt;0),X175/SUMIFS(Categories!$AI$5:$AI$11,Categories!$A$5:$A$11,B175),0)</f>
        <v/>
      </c>
      <c r="Z175" s="12">
        <f>Y175*SUMIFS(Categories!$AJ$5:$AJ$11,Categories!$A$5:$A$11,B175)</f>
        <v/>
      </c>
      <c r="AA175" s="12">
        <f>Z175*J175</f>
        <v/>
      </c>
      <c r="AB175" s="12">
        <f>IF(AA175&lt;=0,0,(rate_below/100)*MIN(AA175,MAX(0,ceiling-D175))+(rate_above/100)*(AA175-MIN(AA175,MAX(0,ceiling-D175))))</f>
        <v/>
      </c>
      <c r="AC175" s="12">
        <f>AA175+AB175</f>
        <v/>
      </c>
      <c r="AD175" s="13">
        <f>SUMPRODUCT(($B$5:$B$216=B175)*($M$5:$M$216&lt;M175))+SUMPRODUCT(($B$5:$B$216=B175)*($M$5:$M$216=M175)*(ROW($M$5:$M$216)&lt;ROW(M175)))+1</f>
        <v/>
      </c>
      <c r="AE175" s="13">
        <f>COUNTIF($B$5:$B$216,B175)</f>
        <v/>
      </c>
      <c r="AF175" s="13">
        <f>SUMPRODUCT(($B$5:$B$216=B175)*($C$5:$C$216=C175)*($M$5:$M$216&lt;M175))+SUMPRODUCT(($B$5:$B$216=B175)*($C$5:$C$216=C175)*($M$5:$M$216=M175)*(ROW($M$5:$M$216)&lt;ROW(M175)))+1</f>
        <v/>
      </c>
      <c r="AG175" s="13">
        <f>COUNTIFS($B$5:$B$216,B175,$C$5:$C$216,C175)</f>
        <v/>
      </c>
    </row>
    <row r="176">
      <c r="A176" s="9" t="inlineStr">
        <is>
          <t>E172</t>
        </is>
      </c>
      <c r="B176" s="9" t="inlineStr">
        <is>
          <t>Customer Support</t>
        </is>
      </c>
      <c r="C176" s="9" t="inlineStr">
        <is>
          <t>M</t>
        </is>
      </c>
      <c r="D176" s="10" t="n">
        <v>44350.12</v>
      </c>
      <c r="E176" s="10" t="n">
        <v>2704.33</v>
      </c>
      <c r="F176" s="9" t="n">
        <v>6.9</v>
      </c>
      <c r="G176" s="9" t="n">
        <v>3</v>
      </c>
      <c r="H176" s="9" t="n">
        <v>1</v>
      </c>
      <c r="I176" s="9" t="n">
        <v>12</v>
      </c>
      <c r="J176" s="11">
        <f>H176*(I176/12)</f>
        <v/>
      </c>
      <c r="K176" s="12">
        <f>D176/J176</f>
        <v/>
      </c>
      <c r="L176" s="12">
        <f>E176/J176</f>
        <v/>
      </c>
      <c r="M176" s="12">
        <f>K176+L176</f>
        <v/>
      </c>
      <c r="N176" s="12">
        <f>D176+E176</f>
        <v/>
      </c>
      <c r="O176" s="12">
        <f>(SUMIFS($M$5:$M$216,$B$5:$B$216,B176,$AD$5:$AD$216,INT((AE176+1)/2))+SUMIFS($M$5:$M$216,$B$5:$B$216,B176,$AD$5:$AD$216,INT(AE176/2)+1))/2</f>
        <v/>
      </c>
      <c r="P176" s="13">
        <f>IF(AND(C176="F",M176&lt;O176,SUMIFS(Categories!$Z$5:$Z$11,Categories!$A$5:$A$11,B176)=1),1,0)</f>
        <v/>
      </c>
      <c r="Q176" s="12">
        <f>IF(P176=1,O176-M176,0)</f>
        <v/>
      </c>
      <c r="R176" s="11">
        <f>IF(AND(P176=1,SUMIFS(Categories!$AA$5:$AA$11,Categories!$A$5:$A$11,B176)&gt;0),Q176/SUMIFS(Categories!$AA$5:$AA$11,Categories!$A$5:$A$11,B176),0)</f>
        <v/>
      </c>
      <c r="S176" s="12">
        <f>R176*SUMIFS(Categories!$AB$5:$AB$11,Categories!$A$5:$A$11,B176)</f>
        <v/>
      </c>
      <c r="T176" s="12">
        <f>S176*J176</f>
        <v/>
      </c>
      <c r="U176" s="12">
        <f>IF(T176&lt;=0,0,(rate_below/100)*MIN(T176,MAX(0,ceiling-D176))+(rate_above/100)*(T176-MIN(T176,MAX(0,ceiling-D176))))</f>
        <v/>
      </c>
      <c r="V176" s="12">
        <f>T176+U176</f>
        <v/>
      </c>
      <c r="W176" s="13">
        <f>IF(AND(C176="F",M176&lt;O176,SUMIFS(Categories!$AH$5:$AH$11,Categories!$A$5:$A$11,B176)=1),1,0)</f>
        <v/>
      </c>
      <c r="X176" s="12">
        <f>IF(W176=1,O176-M176,0)</f>
        <v/>
      </c>
      <c r="Y176" s="11">
        <f>IF(AND(W176=1,SUMIFS(Categories!$AI$5:$AI$11,Categories!$A$5:$A$11,B176)&gt;0),X176/SUMIFS(Categories!$AI$5:$AI$11,Categories!$A$5:$A$11,B176),0)</f>
        <v/>
      </c>
      <c r="Z176" s="12">
        <f>Y176*SUMIFS(Categories!$AJ$5:$AJ$11,Categories!$A$5:$A$11,B176)</f>
        <v/>
      </c>
      <c r="AA176" s="12">
        <f>Z176*J176</f>
        <v/>
      </c>
      <c r="AB176" s="12">
        <f>IF(AA176&lt;=0,0,(rate_below/100)*MIN(AA176,MAX(0,ceiling-D176))+(rate_above/100)*(AA176-MIN(AA176,MAX(0,ceiling-D176))))</f>
        <v/>
      </c>
      <c r="AC176" s="12">
        <f>AA176+AB176</f>
        <v/>
      </c>
      <c r="AD176" s="13">
        <f>SUMPRODUCT(($B$5:$B$216=B176)*($M$5:$M$216&lt;M176))+SUMPRODUCT(($B$5:$B$216=B176)*($M$5:$M$216=M176)*(ROW($M$5:$M$216)&lt;ROW(M176)))+1</f>
        <v/>
      </c>
      <c r="AE176" s="13">
        <f>COUNTIF($B$5:$B$216,B176)</f>
        <v/>
      </c>
      <c r="AF176" s="13">
        <f>SUMPRODUCT(($B$5:$B$216=B176)*($C$5:$C$216=C176)*($M$5:$M$216&lt;M176))+SUMPRODUCT(($B$5:$B$216=B176)*($C$5:$C$216=C176)*($M$5:$M$216=M176)*(ROW($M$5:$M$216)&lt;ROW(M176)))+1</f>
        <v/>
      </c>
      <c r="AG176" s="13">
        <f>COUNTIFS($B$5:$B$216,B176,$C$5:$C$216,C176)</f>
        <v/>
      </c>
    </row>
    <row r="177">
      <c r="A177" s="9" t="inlineStr">
        <is>
          <t>E173</t>
        </is>
      </c>
      <c r="B177" s="9" t="inlineStr">
        <is>
          <t>Customer Support</t>
        </is>
      </c>
      <c r="C177" s="9" t="inlineStr">
        <is>
          <t>F</t>
        </is>
      </c>
      <c r="D177" s="10" t="n">
        <v>30372.19</v>
      </c>
      <c r="E177" s="10" t="n">
        <v>1410.95</v>
      </c>
      <c r="F177" s="9" t="n">
        <v>3.5</v>
      </c>
      <c r="G177" s="9" t="n">
        <v>1</v>
      </c>
      <c r="H177" s="9" t="n">
        <v>1</v>
      </c>
      <c r="I177" s="9" t="n">
        <v>12</v>
      </c>
      <c r="J177" s="11">
        <f>H177*(I177/12)</f>
        <v/>
      </c>
      <c r="K177" s="12">
        <f>D177/J177</f>
        <v/>
      </c>
      <c r="L177" s="12">
        <f>E177/J177</f>
        <v/>
      </c>
      <c r="M177" s="12">
        <f>K177+L177</f>
        <v/>
      </c>
      <c r="N177" s="12">
        <f>D177+E177</f>
        <v/>
      </c>
      <c r="O177" s="12">
        <f>(SUMIFS($M$5:$M$216,$B$5:$B$216,B177,$AD$5:$AD$216,INT((AE177+1)/2))+SUMIFS($M$5:$M$216,$B$5:$B$216,B177,$AD$5:$AD$216,INT(AE177/2)+1))/2</f>
        <v/>
      </c>
      <c r="P177" s="13">
        <f>IF(AND(C177="F",M177&lt;O177,SUMIFS(Categories!$Z$5:$Z$11,Categories!$A$5:$A$11,B177)=1),1,0)</f>
        <v/>
      </c>
      <c r="Q177" s="12">
        <f>IF(P177=1,O177-M177,0)</f>
        <v/>
      </c>
      <c r="R177" s="11">
        <f>IF(AND(P177=1,SUMIFS(Categories!$AA$5:$AA$11,Categories!$A$5:$A$11,B177)&gt;0),Q177/SUMIFS(Categories!$AA$5:$AA$11,Categories!$A$5:$A$11,B177),0)</f>
        <v/>
      </c>
      <c r="S177" s="12">
        <f>R177*SUMIFS(Categories!$AB$5:$AB$11,Categories!$A$5:$A$11,B177)</f>
        <v/>
      </c>
      <c r="T177" s="12">
        <f>S177*J177</f>
        <v/>
      </c>
      <c r="U177" s="12">
        <f>IF(T177&lt;=0,0,(rate_below/100)*MIN(T177,MAX(0,ceiling-D177))+(rate_above/100)*(T177-MIN(T177,MAX(0,ceiling-D177))))</f>
        <v/>
      </c>
      <c r="V177" s="12">
        <f>T177+U177</f>
        <v/>
      </c>
      <c r="W177" s="13">
        <f>IF(AND(C177="F",M177&lt;O177,SUMIFS(Categories!$AH$5:$AH$11,Categories!$A$5:$A$11,B177)=1),1,0)</f>
        <v/>
      </c>
      <c r="X177" s="12">
        <f>IF(W177=1,O177-M177,0)</f>
        <v/>
      </c>
      <c r="Y177" s="11">
        <f>IF(AND(W177=1,SUMIFS(Categories!$AI$5:$AI$11,Categories!$A$5:$A$11,B177)&gt;0),X177/SUMIFS(Categories!$AI$5:$AI$11,Categories!$A$5:$A$11,B177),0)</f>
        <v/>
      </c>
      <c r="Z177" s="12">
        <f>Y177*SUMIFS(Categories!$AJ$5:$AJ$11,Categories!$A$5:$A$11,B177)</f>
        <v/>
      </c>
      <c r="AA177" s="12">
        <f>Z177*J177</f>
        <v/>
      </c>
      <c r="AB177" s="12">
        <f>IF(AA177&lt;=0,0,(rate_below/100)*MIN(AA177,MAX(0,ceiling-D177))+(rate_above/100)*(AA177-MIN(AA177,MAX(0,ceiling-D177))))</f>
        <v/>
      </c>
      <c r="AC177" s="12">
        <f>AA177+AB177</f>
        <v/>
      </c>
      <c r="AD177" s="13">
        <f>SUMPRODUCT(($B$5:$B$216=B177)*($M$5:$M$216&lt;M177))+SUMPRODUCT(($B$5:$B$216=B177)*($M$5:$M$216=M177)*(ROW($M$5:$M$216)&lt;ROW(M177)))+1</f>
        <v/>
      </c>
      <c r="AE177" s="13">
        <f>COUNTIF($B$5:$B$216,B177)</f>
        <v/>
      </c>
      <c r="AF177" s="13">
        <f>SUMPRODUCT(($B$5:$B$216=B177)*($C$5:$C$216=C177)*($M$5:$M$216&lt;M177))+SUMPRODUCT(($B$5:$B$216=B177)*($C$5:$C$216=C177)*($M$5:$M$216=M177)*(ROW($M$5:$M$216)&lt;ROW(M177)))+1</f>
        <v/>
      </c>
      <c r="AG177" s="13">
        <f>COUNTIFS($B$5:$B$216,B177,$C$5:$C$216,C177)</f>
        <v/>
      </c>
    </row>
    <row r="178">
      <c r="A178" s="9" t="inlineStr">
        <is>
          <t>E174</t>
        </is>
      </c>
      <c r="B178" s="9" t="inlineStr">
        <is>
          <t>Customer Support</t>
        </is>
      </c>
      <c r="C178" s="9" t="inlineStr">
        <is>
          <t>F</t>
        </is>
      </c>
      <c r="D178" s="10" t="n">
        <v>30009.58</v>
      </c>
      <c r="E178" s="10" t="n">
        <v>1786.97</v>
      </c>
      <c r="F178" s="9" t="n">
        <v>6.2</v>
      </c>
      <c r="G178" s="9" t="n">
        <v>1</v>
      </c>
      <c r="H178" s="9" t="n">
        <v>1</v>
      </c>
      <c r="I178" s="9" t="n">
        <v>12</v>
      </c>
      <c r="J178" s="11">
        <f>H178*(I178/12)</f>
        <v/>
      </c>
      <c r="K178" s="12">
        <f>D178/J178</f>
        <v/>
      </c>
      <c r="L178" s="12">
        <f>E178/J178</f>
        <v/>
      </c>
      <c r="M178" s="12">
        <f>K178+L178</f>
        <v/>
      </c>
      <c r="N178" s="12">
        <f>D178+E178</f>
        <v/>
      </c>
      <c r="O178" s="12">
        <f>(SUMIFS($M$5:$M$216,$B$5:$B$216,B178,$AD$5:$AD$216,INT((AE178+1)/2))+SUMIFS($M$5:$M$216,$B$5:$B$216,B178,$AD$5:$AD$216,INT(AE178/2)+1))/2</f>
        <v/>
      </c>
      <c r="P178" s="13">
        <f>IF(AND(C178="F",M178&lt;O178,SUMIFS(Categories!$Z$5:$Z$11,Categories!$A$5:$A$11,B178)=1),1,0)</f>
        <v/>
      </c>
      <c r="Q178" s="12">
        <f>IF(P178=1,O178-M178,0)</f>
        <v/>
      </c>
      <c r="R178" s="11">
        <f>IF(AND(P178=1,SUMIFS(Categories!$AA$5:$AA$11,Categories!$A$5:$A$11,B178)&gt;0),Q178/SUMIFS(Categories!$AA$5:$AA$11,Categories!$A$5:$A$11,B178),0)</f>
        <v/>
      </c>
      <c r="S178" s="12">
        <f>R178*SUMIFS(Categories!$AB$5:$AB$11,Categories!$A$5:$A$11,B178)</f>
        <v/>
      </c>
      <c r="T178" s="12">
        <f>S178*J178</f>
        <v/>
      </c>
      <c r="U178" s="12">
        <f>IF(T178&lt;=0,0,(rate_below/100)*MIN(T178,MAX(0,ceiling-D178))+(rate_above/100)*(T178-MIN(T178,MAX(0,ceiling-D178))))</f>
        <v/>
      </c>
      <c r="V178" s="12">
        <f>T178+U178</f>
        <v/>
      </c>
      <c r="W178" s="13">
        <f>IF(AND(C178="F",M178&lt;O178,SUMIFS(Categories!$AH$5:$AH$11,Categories!$A$5:$A$11,B178)=1),1,0)</f>
        <v/>
      </c>
      <c r="X178" s="12">
        <f>IF(W178=1,O178-M178,0)</f>
        <v/>
      </c>
      <c r="Y178" s="11">
        <f>IF(AND(W178=1,SUMIFS(Categories!$AI$5:$AI$11,Categories!$A$5:$A$11,B178)&gt;0),X178/SUMIFS(Categories!$AI$5:$AI$11,Categories!$A$5:$A$11,B178),0)</f>
        <v/>
      </c>
      <c r="Z178" s="12">
        <f>Y178*SUMIFS(Categories!$AJ$5:$AJ$11,Categories!$A$5:$A$11,B178)</f>
        <v/>
      </c>
      <c r="AA178" s="12">
        <f>Z178*J178</f>
        <v/>
      </c>
      <c r="AB178" s="12">
        <f>IF(AA178&lt;=0,0,(rate_below/100)*MIN(AA178,MAX(0,ceiling-D178))+(rate_above/100)*(AA178-MIN(AA178,MAX(0,ceiling-D178))))</f>
        <v/>
      </c>
      <c r="AC178" s="12">
        <f>AA178+AB178</f>
        <v/>
      </c>
      <c r="AD178" s="13">
        <f>SUMPRODUCT(($B$5:$B$216=B178)*($M$5:$M$216&lt;M178))+SUMPRODUCT(($B$5:$B$216=B178)*($M$5:$M$216=M178)*(ROW($M$5:$M$216)&lt;ROW(M178)))+1</f>
        <v/>
      </c>
      <c r="AE178" s="13">
        <f>COUNTIF($B$5:$B$216,B178)</f>
        <v/>
      </c>
      <c r="AF178" s="13">
        <f>SUMPRODUCT(($B$5:$B$216=B178)*($C$5:$C$216=C178)*($M$5:$M$216&lt;M178))+SUMPRODUCT(($B$5:$B$216=B178)*($C$5:$C$216=C178)*($M$5:$M$216=M178)*(ROW($M$5:$M$216)&lt;ROW(M178)))+1</f>
        <v/>
      </c>
      <c r="AG178" s="13">
        <f>COUNTIFS($B$5:$B$216,B178,$C$5:$C$216,C178)</f>
        <v/>
      </c>
    </row>
    <row r="179">
      <c r="A179" s="9" t="inlineStr">
        <is>
          <t>E175</t>
        </is>
      </c>
      <c r="B179" s="9" t="inlineStr">
        <is>
          <t>Customer Support</t>
        </is>
      </c>
      <c r="C179" s="9" t="inlineStr">
        <is>
          <t>F</t>
        </is>
      </c>
      <c r="D179" s="10" t="n">
        <v>29153.92</v>
      </c>
      <c r="E179" s="10" t="n">
        <v>1736.83</v>
      </c>
      <c r="F179" s="9" t="n">
        <v>1.5</v>
      </c>
      <c r="G179" s="9" t="n">
        <v>1</v>
      </c>
      <c r="H179" s="9" t="n">
        <v>1</v>
      </c>
      <c r="I179" s="9" t="n">
        <v>12</v>
      </c>
      <c r="J179" s="11">
        <f>H179*(I179/12)</f>
        <v/>
      </c>
      <c r="K179" s="12">
        <f>D179/J179</f>
        <v/>
      </c>
      <c r="L179" s="12">
        <f>E179/J179</f>
        <v/>
      </c>
      <c r="M179" s="12">
        <f>K179+L179</f>
        <v/>
      </c>
      <c r="N179" s="12">
        <f>D179+E179</f>
        <v/>
      </c>
      <c r="O179" s="12">
        <f>(SUMIFS($M$5:$M$216,$B$5:$B$216,B179,$AD$5:$AD$216,INT((AE179+1)/2))+SUMIFS($M$5:$M$216,$B$5:$B$216,B179,$AD$5:$AD$216,INT(AE179/2)+1))/2</f>
        <v/>
      </c>
      <c r="P179" s="13">
        <f>IF(AND(C179="F",M179&lt;O179,SUMIFS(Categories!$Z$5:$Z$11,Categories!$A$5:$A$11,B179)=1),1,0)</f>
        <v/>
      </c>
      <c r="Q179" s="12">
        <f>IF(P179=1,O179-M179,0)</f>
        <v/>
      </c>
      <c r="R179" s="11">
        <f>IF(AND(P179=1,SUMIFS(Categories!$AA$5:$AA$11,Categories!$A$5:$A$11,B179)&gt;0),Q179/SUMIFS(Categories!$AA$5:$AA$11,Categories!$A$5:$A$11,B179),0)</f>
        <v/>
      </c>
      <c r="S179" s="12">
        <f>R179*SUMIFS(Categories!$AB$5:$AB$11,Categories!$A$5:$A$11,B179)</f>
        <v/>
      </c>
      <c r="T179" s="12">
        <f>S179*J179</f>
        <v/>
      </c>
      <c r="U179" s="12">
        <f>IF(T179&lt;=0,0,(rate_below/100)*MIN(T179,MAX(0,ceiling-D179))+(rate_above/100)*(T179-MIN(T179,MAX(0,ceiling-D179))))</f>
        <v/>
      </c>
      <c r="V179" s="12">
        <f>T179+U179</f>
        <v/>
      </c>
      <c r="W179" s="13">
        <f>IF(AND(C179="F",M179&lt;O179,SUMIFS(Categories!$AH$5:$AH$11,Categories!$A$5:$A$11,B179)=1),1,0)</f>
        <v/>
      </c>
      <c r="X179" s="12">
        <f>IF(W179=1,O179-M179,0)</f>
        <v/>
      </c>
      <c r="Y179" s="11">
        <f>IF(AND(W179=1,SUMIFS(Categories!$AI$5:$AI$11,Categories!$A$5:$A$11,B179)&gt;0),X179/SUMIFS(Categories!$AI$5:$AI$11,Categories!$A$5:$A$11,B179),0)</f>
        <v/>
      </c>
      <c r="Z179" s="12">
        <f>Y179*SUMIFS(Categories!$AJ$5:$AJ$11,Categories!$A$5:$A$11,B179)</f>
        <v/>
      </c>
      <c r="AA179" s="12">
        <f>Z179*J179</f>
        <v/>
      </c>
      <c r="AB179" s="12">
        <f>IF(AA179&lt;=0,0,(rate_below/100)*MIN(AA179,MAX(0,ceiling-D179))+(rate_above/100)*(AA179-MIN(AA179,MAX(0,ceiling-D179))))</f>
        <v/>
      </c>
      <c r="AC179" s="12">
        <f>AA179+AB179</f>
        <v/>
      </c>
      <c r="AD179" s="13">
        <f>SUMPRODUCT(($B$5:$B$216=B179)*($M$5:$M$216&lt;M179))+SUMPRODUCT(($B$5:$B$216=B179)*($M$5:$M$216=M179)*(ROW($M$5:$M$216)&lt;ROW(M179)))+1</f>
        <v/>
      </c>
      <c r="AE179" s="13">
        <f>COUNTIF($B$5:$B$216,B179)</f>
        <v/>
      </c>
      <c r="AF179" s="13">
        <f>SUMPRODUCT(($B$5:$B$216=B179)*($C$5:$C$216=C179)*($M$5:$M$216&lt;M179))+SUMPRODUCT(($B$5:$B$216=B179)*($C$5:$C$216=C179)*($M$5:$M$216=M179)*(ROW($M$5:$M$216)&lt;ROW(M179)))+1</f>
        <v/>
      </c>
      <c r="AG179" s="13">
        <f>COUNTIFS($B$5:$B$216,B179,$C$5:$C$216,C179)</f>
        <v/>
      </c>
    </row>
    <row r="180">
      <c r="A180" s="9" t="inlineStr">
        <is>
          <t>E176</t>
        </is>
      </c>
      <c r="B180" s="9" t="inlineStr">
        <is>
          <t>Customer Support</t>
        </is>
      </c>
      <c r="C180" s="9" t="inlineStr">
        <is>
          <t>F</t>
        </is>
      </c>
      <c r="D180" s="10" t="n">
        <v>23860.26</v>
      </c>
      <c r="E180" s="10" t="n">
        <v>1304.29</v>
      </c>
      <c r="F180" s="9" t="n">
        <v>5.7</v>
      </c>
      <c r="G180" s="9" t="n">
        <v>1</v>
      </c>
      <c r="H180" s="9" t="n">
        <v>1</v>
      </c>
      <c r="I180" s="9" t="n">
        <v>9</v>
      </c>
      <c r="J180" s="11">
        <f>H180*(I180/12)</f>
        <v/>
      </c>
      <c r="K180" s="12">
        <f>D180/J180</f>
        <v/>
      </c>
      <c r="L180" s="12">
        <f>E180/J180</f>
        <v/>
      </c>
      <c r="M180" s="12">
        <f>K180+L180</f>
        <v/>
      </c>
      <c r="N180" s="12">
        <f>D180+E180</f>
        <v/>
      </c>
      <c r="O180" s="12">
        <f>(SUMIFS($M$5:$M$216,$B$5:$B$216,B180,$AD$5:$AD$216,INT((AE180+1)/2))+SUMIFS($M$5:$M$216,$B$5:$B$216,B180,$AD$5:$AD$216,INT(AE180/2)+1))/2</f>
        <v/>
      </c>
      <c r="P180" s="13">
        <f>IF(AND(C180="F",M180&lt;O180,SUMIFS(Categories!$Z$5:$Z$11,Categories!$A$5:$A$11,B180)=1),1,0)</f>
        <v/>
      </c>
      <c r="Q180" s="12">
        <f>IF(P180=1,O180-M180,0)</f>
        <v/>
      </c>
      <c r="R180" s="11">
        <f>IF(AND(P180=1,SUMIFS(Categories!$AA$5:$AA$11,Categories!$A$5:$A$11,B180)&gt;0),Q180/SUMIFS(Categories!$AA$5:$AA$11,Categories!$A$5:$A$11,B180),0)</f>
        <v/>
      </c>
      <c r="S180" s="12">
        <f>R180*SUMIFS(Categories!$AB$5:$AB$11,Categories!$A$5:$A$11,B180)</f>
        <v/>
      </c>
      <c r="T180" s="12">
        <f>S180*J180</f>
        <v/>
      </c>
      <c r="U180" s="12">
        <f>IF(T180&lt;=0,0,(rate_below/100)*MIN(T180,MAX(0,ceiling-D180))+(rate_above/100)*(T180-MIN(T180,MAX(0,ceiling-D180))))</f>
        <v/>
      </c>
      <c r="V180" s="12">
        <f>T180+U180</f>
        <v/>
      </c>
      <c r="W180" s="13">
        <f>IF(AND(C180="F",M180&lt;O180,SUMIFS(Categories!$AH$5:$AH$11,Categories!$A$5:$A$11,B180)=1),1,0)</f>
        <v/>
      </c>
      <c r="X180" s="12">
        <f>IF(W180=1,O180-M180,0)</f>
        <v/>
      </c>
      <c r="Y180" s="11">
        <f>IF(AND(W180=1,SUMIFS(Categories!$AI$5:$AI$11,Categories!$A$5:$A$11,B180)&gt;0),X180/SUMIFS(Categories!$AI$5:$AI$11,Categories!$A$5:$A$11,B180),0)</f>
        <v/>
      </c>
      <c r="Z180" s="12">
        <f>Y180*SUMIFS(Categories!$AJ$5:$AJ$11,Categories!$A$5:$A$11,B180)</f>
        <v/>
      </c>
      <c r="AA180" s="12">
        <f>Z180*J180</f>
        <v/>
      </c>
      <c r="AB180" s="12">
        <f>IF(AA180&lt;=0,0,(rate_below/100)*MIN(AA180,MAX(0,ceiling-D180))+(rate_above/100)*(AA180-MIN(AA180,MAX(0,ceiling-D180))))</f>
        <v/>
      </c>
      <c r="AC180" s="12">
        <f>AA180+AB180</f>
        <v/>
      </c>
      <c r="AD180" s="13">
        <f>SUMPRODUCT(($B$5:$B$216=B180)*($M$5:$M$216&lt;M180))+SUMPRODUCT(($B$5:$B$216=B180)*($M$5:$M$216=M180)*(ROW($M$5:$M$216)&lt;ROW(M180)))+1</f>
        <v/>
      </c>
      <c r="AE180" s="13">
        <f>COUNTIF($B$5:$B$216,B180)</f>
        <v/>
      </c>
      <c r="AF180" s="13">
        <f>SUMPRODUCT(($B$5:$B$216=B180)*($C$5:$C$216=C180)*($M$5:$M$216&lt;M180))+SUMPRODUCT(($B$5:$B$216=B180)*($C$5:$C$216=C180)*($M$5:$M$216=M180)*(ROW($M$5:$M$216)&lt;ROW(M180)))+1</f>
        <v/>
      </c>
      <c r="AG180" s="13">
        <f>COUNTIFS($B$5:$B$216,B180,$C$5:$C$216,C180)</f>
        <v/>
      </c>
    </row>
    <row r="181">
      <c r="A181" s="9" t="inlineStr">
        <is>
          <t>E177</t>
        </is>
      </c>
      <c r="B181" s="9" t="inlineStr">
        <is>
          <t>Customer Support</t>
        </is>
      </c>
      <c r="C181" s="9" t="inlineStr">
        <is>
          <t>M</t>
        </is>
      </c>
      <c r="D181" s="10" t="n">
        <v>46145.18</v>
      </c>
      <c r="E181" s="10" t="n">
        <v>2449.55</v>
      </c>
      <c r="F181" s="9" t="n">
        <v>9.9</v>
      </c>
      <c r="G181" s="9" t="n">
        <v>4</v>
      </c>
      <c r="H181" s="9" t="n">
        <v>1</v>
      </c>
      <c r="I181" s="9" t="n">
        <v>12</v>
      </c>
      <c r="J181" s="11">
        <f>H181*(I181/12)</f>
        <v/>
      </c>
      <c r="K181" s="12">
        <f>D181/J181</f>
        <v/>
      </c>
      <c r="L181" s="12">
        <f>E181/J181</f>
        <v/>
      </c>
      <c r="M181" s="12">
        <f>K181+L181</f>
        <v/>
      </c>
      <c r="N181" s="12">
        <f>D181+E181</f>
        <v/>
      </c>
      <c r="O181" s="12">
        <f>(SUMIFS($M$5:$M$216,$B$5:$B$216,B181,$AD$5:$AD$216,INT((AE181+1)/2))+SUMIFS($M$5:$M$216,$B$5:$B$216,B181,$AD$5:$AD$216,INT(AE181/2)+1))/2</f>
        <v/>
      </c>
      <c r="P181" s="13">
        <f>IF(AND(C181="F",M181&lt;O181,SUMIFS(Categories!$Z$5:$Z$11,Categories!$A$5:$A$11,B181)=1),1,0)</f>
        <v/>
      </c>
      <c r="Q181" s="12">
        <f>IF(P181=1,O181-M181,0)</f>
        <v/>
      </c>
      <c r="R181" s="11">
        <f>IF(AND(P181=1,SUMIFS(Categories!$AA$5:$AA$11,Categories!$A$5:$A$11,B181)&gt;0),Q181/SUMIFS(Categories!$AA$5:$AA$11,Categories!$A$5:$A$11,B181),0)</f>
        <v/>
      </c>
      <c r="S181" s="12">
        <f>R181*SUMIFS(Categories!$AB$5:$AB$11,Categories!$A$5:$A$11,B181)</f>
        <v/>
      </c>
      <c r="T181" s="12">
        <f>S181*J181</f>
        <v/>
      </c>
      <c r="U181" s="12">
        <f>IF(T181&lt;=0,0,(rate_below/100)*MIN(T181,MAX(0,ceiling-D181))+(rate_above/100)*(T181-MIN(T181,MAX(0,ceiling-D181))))</f>
        <v/>
      </c>
      <c r="V181" s="12">
        <f>T181+U181</f>
        <v/>
      </c>
      <c r="W181" s="13">
        <f>IF(AND(C181="F",M181&lt;O181,SUMIFS(Categories!$AH$5:$AH$11,Categories!$A$5:$A$11,B181)=1),1,0)</f>
        <v/>
      </c>
      <c r="X181" s="12">
        <f>IF(W181=1,O181-M181,0)</f>
        <v/>
      </c>
      <c r="Y181" s="11">
        <f>IF(AND(W181=1,SUMIFS(Categories!$AI$5:$AI$11,Categories!$A$5:$A$11,B181)&gt;0),X181/SUMIFS(Categories!$AI$5:$AI$11,Categories!$A$5:$A$11,B181),0)</f>
        <v/>
      </c>
      <c r="Z181" s="12">
        <f>Y181*SUMIFS(Categories!$AJ$5:$AJ$11,Categories!$A$5:$A$11,B181)</f>
        <v/>
      </c>
      <c r="AA181" s="12">
        <f>Z181*J181</f>
        <v/>
      </c>
      <c r="AB181" s="12">
        <f>IF(AA181&lt;=0,0,(rate_below/100)*MIN(AA181,MAX(0,ceiling-D181))+(rate_above/100)*(AA181-MIN(AA181,MAX(0,ceiling-D181))))</f>
        <v/>
      </c>
      <c r="AC181" s="12">
        <f>AA181+AB181</f>
        <v/>
      </c>
      <c r="AD181" s="13">
        <f>SUMPRODUCT(($B$5:$B$216=B181)*($M$5:$M$216&lt;M181))+SUMPRODUCT(($B$5:$B$216=B181)*($M$5:$M$216=M181)*(ROW($M$5:$M$216)&lt;ROW(M181)))+1</f>
        <v/>
      </c>
      <c r="AE181" s="13">
        <f>COUNTIF($B$5:$B$216,B181)</f>
        <v/>
      </c>
      <c r="AF181" s="13">
        <f>SUMPRODUCT(($B$5:$B$216=B181)*($C$5:$C$216=C181)*($M$5:$M$216&lt;M181))+SUMPRODUCT(($B$5:$B$216=B181)*($C$5:$C$216=C181)*($M$5:$M$216=M181)*(ROW($M$5:$M$216)&lt;ROW(M181)))+1</f>
        <v/>
      </c>
      <c r="AG181" s="13">
        <f>COUNTIFS($B$5:$B$216,B181,$C$5:$C$216,C181)</f>
        <v/>
      </c>
    </row>
    <row r="182">
      <c r="A182" s="9" t="inlineStr">
        <is>
          <t>E178</t>
        </is>
      </c>
      <c r="B182" s="9" t="inlineStr">
        <is>
          <t>Customer Support</t>
        </is>
      </c>
      <c r="C182" s="9" t="inlineStr">
        <is>
          <t>M</t>
        </is>
      </c>
      <c r="D182" s="10" t="n">
        <v>37896.58</v>
      </c>
      <c r="E182" s="10" t="n">
        <v>2025.55</v>
      </c>
      <c r="F182" s="9" t="n">
        <v>5.2</v>
      </c>
      <c r="G182" s="9" t="n">
        <v>2</v>
      </c>
      <c r="H182" s="9" t="n">
        <v>1</v>
      </c>
      <c r="I182" s="9" t="n">
        <v>12</v>
      </c>
      <c r="J182" s="11">
        <f>H182*(I182/12)</f>
        <v/>
      </c>
      <c r="K182" s="12">
        <f>D182/J182</f>
        <v/>
      </c>
      <c r="L182" s="12">
        <f>E182/J182</f>
        <v/>
      </c>
      <c r="M182" s="12">
        <f>K182+L182</f>
        <v/>
      </c>
      <c r="N182" s="12">
        <f>D182+E182</f>
        <v/>
      </c>
      <c r="O182" s="12">
        <f>(SUMIFS($M$5:$M$216,$B$5:$B$216,B182,$AD$5:$AD$216,INT((AE182+1)/2))+SUMIFS($M$5:$M$216,$B$5:$B$216,B182,$AD$5:$AD$216,INT(AE182/2)+1))/2</f>
        <v/>
      </c>
      <c r="P182" s="13">
        <f>IF(AND(C182="F",M182&lt;O182,SUMIFS(Categories!$Z$5:$Z$11,Categories!$A$5:$A$11,B182)=1),1,0)</f>
        <v/>
      </c>
      <c r="Q182" s="12">
        <f>IF(P182=1,O182-M182,0)</f>
        <v/>
      </c>
      <c r="R182" s="11">
        <f>IF(AND(P182=1,SUMIFS(Categories!$AA$5:$AA$11,Categories!$A$5:$A$11,B182)&gt;0),Q182/SUMIFS(Categories!$AA$5:$AA$11,Categories!$A$5:$A$11,B182),0)</f>
        <v/>
      </c>
      <c r="S182" s="12">
        <f>R182*SUMIFS(Categories!$AB$5:$AB$11,Categories!$A$5:$A$11,B182)</f>
        <v/>
      </c>
      <c r="T182" s="12">
        <f>S182*J182</f>
        <v/>
      </c>
      <c r="U182" s="12">
        <f>IF(T182&lt;=0,0,(rate_below/100)*MIN(T182,MAX(0,ceiling-D182))+(rate_above/100)*(T182-MIN(T182,MAX(0,ceiling-D182))))</f>
        <v/>
      </c>
      <c r="V182" s="12">
        <f>T182+U182</f>
        <v/>
      </c>
      <c r="W182" s="13">
        <f>IF(AND(C182="F",M182&lt;O182,SUMIFS(Categories!$AH$5:$AH$11,Categories!$A$5:$A$11,B182)=1),1,0)</f>
        <v/>
      </c>
      <c r="X182" s="12">
        <f>IF(W182=1,O182-M182,0)</f>
        <v/>
      </c>
      <c r="Y182" s="11">
        <f>IF(AND(W182=1,SUMIFS(Categories!$AI$5:$AI$11,Categories!$A$5:$A$11,B182)&gt;0),X182/SUMIFS(Categories!$AI$5:$AI$11,Categories!$A$5:$A$11,B182),0)</f>
        <v/>
      </c>
      <c r="Z182" s="12">
        <f>Y182*SUMIFS(Categories!$AJ$5:$AJ$11,Categories!$A$5:$A$11,B182)</f>
        <v/>
      </c>
      <c r="AA182" s="12">
        <f>Z182*J182</f>
        <v/>
      </c>
      <c r="AB182" s="12">
        <f>IF(AA182&lt;=0,0,(rate_below/100)*MIN(AA182,MAX(0,ceiling-D182))+(rate_above/100)*(AA182-MIN(AA182,MAX(0,ceiling-D182))))</f>
        <v/>
      </c>
      <c r="AC182" s="12">
        <f>AA182+AB182</f>
        <v/>
      </c>
      <c r="AD182" s="13">
        <f>SUMPRODUCT(($B$5:$B$216=B182)*($M$5:$M$216&lt;M182))+SUMPRODUCT(($B$5:$B$216=B182)*($M$5:$M$216=M182)*(ROW($M$5:$M$216)&lt;ROW(M182)))+1</f>
        <v/>
      </c>
      <c r="AE182" s="13">
        <f>COUNTIF($B$5:$B$216,B182)</f>
        <v/>
      </c>
      <c r="AF182" s="13">
        <f>SUMPRODUCT(($B$5:$B$216=B182)*($C$5:$C$216=C182)*($M$5:$M$216&lt;M182))+SUMPRODUCT(($B$5:$B$216=B182)*($C$5:$C$216=C182)*($M$5:$M$216=M182)*(ROW($M$5:$M$216)&lt;ROW(M182)))+1</f>
        <v/>
      </c>
      <c r="AG182" s="13">
        <f>COUNTIFS($B$5:$B$216,B182,$C$5:$C$216,C182)</f>
        <v/>
      </c>
    </row>
    <row r="183">
      <c r="A183" s="9" t="inlineStr">
        <is>
          <t>E179</t>
        </is>
      </c>
      <c r="B183" s="9" t="inlineStr">
        <is>
          <t>Customer Support</t>
        </is>
      </c>
      <c r="C183" s="9" t="inlineStr">
        <is>
          <t>M</t>
        </is>
      </c>
      <c r="D183" s="10" t="n">
        <v>43405.73</v>
      </c>
      <c r="E183" s="10" t="n">
        <v>2361.25</v>
      </c>
      <c r="F183" s="9" t="n">
        <v>9.199999999999999</v>
      </c>
      <c r="G183" s="9" t="n">
        <v>3</v>
      </c>
      <c r="H183" s="9" t="n">
        <v>1</v>
      </c>
      <c r="I183" s="9" t="n">
        <v>12</v>
      </c>
      <c r="J183" s="11">
        <f>H183*(I183/12)</f>
        <v/>
      </c>
      <c r="K183" s="12">
        <f>D183/J183</f>
        <v/>
      </c>
      <c r="L183" s="12">
        <f>E183/J183</f>
        <v/>
      </c>
      <c r="M183" s="12">
        <f>K183+L183</f>
        <v/>
      </c>
      <c r="N183" s="12">
        <f>D183+E183</f>
        <v/>
      </c>
      <c r="O183" s="12">
        <f>(SUMIFS($M$5:$M$216,$B$5:$B$216,B183,$AD$5:$AD$216,INT((AE183+1)/2))+SUMIFS($M$5:$M$216,$B$5:$B$216,B183,$AD$5:$AD$216,INT(AE183/2)+1))/2</f>
        <v/>
      </c>
      <c r="P183" s="13">
        <f>IF(AND(C183="F",M183&lt;O183,SUMIFS(Categories!$Z$5:$Z$11,Categories!$A$5:$A$11,B183)=1),1,0)</f>
        <v/>
      </c>
      <c r="Q183" s="12">
        <f>IF(P183=1,O183-M183,0)</f>
        <v/>
      </c>
      <c r="R183" s="11">
        <f>IF(AND(P183=1,SUMIFS(Categories!$AA$5:$AA$11,Categories!$A$5:$A$11,B183)&gt;0),Q183/SUMIFS(Categories!$AA$5:$AA$11,Categories!$A$5:$A$11,B183),0)</f>
        <v/>
      </c>
      <c r="S183" s="12">
        <f>R183*SUMIFS(Categories!$AB$5:$AB$11,Categories!$A$5:$A$11,B183)</f>
        <v/>
      </c>
      <c r="T183" s="12">
        <f>S183*J183</f>
        <v/>
      </c>
      <c r="U183" s="12">
        <f>IF(T183&lt;=0,0,(rate_below/100)*MIN(T183,MAX(0,ceiling-D183))+(rate_above/100)*(T183-MIN(T183,MAX(0,ceiling-D183))))</f>
        <v/>
      </c>
      <c r="V183" s="12">
        <f>T183+U183</f>
        <v/>
      </c>
      <c r="W183" s="13">
        <f>IF(AND(C183="F",M183&lt;O183,SUMIFS(Categories!$AH$5:$AH$11,Categories!$A$5:$A$11,B183)=1),1,0)</f>
        <v/>
      </c>
      <c r="X183" s="12">
        <f>IF(W183=1,O183-M183,0)</f>
        <v/>
      </c>
      <c r="Y183" s="11">
        <f>IF(AND(W183=1,SUMIFS(Categories!$AI$5:$AI$11,Categories!$A$5:$A$11,B183)&gt;0),X183/SUMIFS(Categories!$AI$5:$AI$11,Categories!$A$5:$A$11,B183),0)</f>
        <v/>
      </c>
      <c r="Z183" s="12">
        <f>Y183*SUMIFS(Categories!$AJ$5:$AJ$11,Categories!$A$5:$A$11,B183)</f>
        <v/>
      </c>
      <c r="AA183" s="12">
        <f>Z183*J183</f>
        <v/>
      </c>
      <c r="AB183" s="12">
        <f>IF(AA183&lt;=0,0,(rate_below/100)*MIN(AA183,MAX(0,ceiling-D183))+(rate_above/100)*(AA183-MIN(AA183,MAX(0,ceiling-D183))))</f>
        <v/>
      </c>
      <c r="AC183" s="12">
        <f>AA183+AB183</f>
        <v/>
      </c>
      <c r="AD183" s="13">
        <f>SUMPRODUCT(($B$5:$B$216=B183)*($M$5:$M$216&lt;M183))+SUMPRODUCT(($B$5:$B$216=B183)*($M$5:$M$216=M183)*(ROW($M$5:$M$216)&lt;ROW(M183)))+1</f>
        <v/>
      </c>
      <c r="AE183" s="13">
        <f>COUNTIF($B$5:$B$216,B183)</f>
        <v/>
      </c>
      <c r="AF183" s="13">
        <f>SUMPRODUCT(($B$5:$B$216=B183)*($C$5:$C$216=C183)*($M$5:$M$216&lt;M183))+SUMPRODUCT(($B$5:$B$216=B183)*($C$5:$C$216=C183)*($M$5:$M$216=M183)*(ROW($M$5:$M$216)&lt;ROW(M183)))+1</f>
        <v/>
      </c>
      <c r="AG183" s="13">
        <f>COUNTIFS($B$5:$B$216,B183,$C$5:$C$216,C183)</f>
        <v/>
      </c>
    </row>
    <row r="184">
      <c r="A184" s="9" t="inlineStr">
        <is>
          <t>E180</t>
        </is>
      </c>
      <c r="B184" s="9" t="inlineStr">
        <is>
          <t>Customer Support</t>
        </is>
      </c>
      <c r="C184" s="9" t="inlineStr">
        <is>
          <t>M</t>
        </is>
      </c>
      <c r="D184" s="10" t="n">
        <v>35045.81</v>
      </c>
      <c r="E184" s="10" t="n">
        <v>1825</v>
      </c>
      <c r="F184" s="9" t="n">
        <v>2.7</v>
      </c>
      <c r="G184" s="9" t="n">
        <v>2</v>
      </c>
      <c r="H184" s="9" t="n">
        <v>1</v>
      </c>
      <c r="I184" s="9" t="n">
        <v>12</v>
      </c>
      <c r="J184" s="11">
        <f>H184*(I184/12)</f>
        <v/>
      </c>
      <c r="K184" s="12">
        <f>D184/J184</f>
        <v/>
      </c>
      <c r="L184" s="12">
        <f>E184/J184</f>
        <v/>
      </c>
      <c r="M184" s="12">
        <f>K184+L184</f>
        <v/>
      </c>
      <c r="N184" s="12">
        <f>D184+E184</f>
        <v/>
      </c>
      <c r="O184" s="12">
        <f>(SUMIFS($M$5:$M$216,$B$5:$B$216,B184,$AD$5:$AD$216,INT((AE184+1)/2))+SUMIFS($M$5:$M$216,$B$5:$B$216,B184,$AD$5:$AD$216,INT(AE184/2)+1))/2</f>
        <v/>
      </c>
      <c r="P184" s="13">
        <f>IF(AND(C184="F",M184&lt;O184,SUMIFS(Categories!$Z$5:$Z$11,Categories!$A$5:$A$11,B184)=1),1,0)</f>
        <v/>
      </c>
      <c r="Q184" s="12">
        <f>IF(P184=1,O184-M184,0)</f>
        <v/>
      </c>
      <c r="R184" s="11">
        <f>IF(AND(P184=1,SUMIFS(Categories!$AA$5:$AA$11,Categories!$A$5:$A$11,B184)&gt;0),Q184/SUMIFS(Categories!$AA$5:$AA$11,Categories!$A$5:$A$11,B184),0)</f>
        <v/>
      </c>
      <c r="S184" s="12">
        <f>R184*SUMIFS(Categories!$AB$5:$AB$11,Categories!$A$5:$A$11,B184)</f>
        <v/>
      </c>
      <c r="T184" s="12">
        <f>S184*J184</f>
        <v/>
      </c>
      <c r="U184" s="12">
        <f>IF(T184&lt;=0,0,(rate_below/100)*MIN(T184,MAX(0,ceiling-D184))+(rate_above/100)*(T184-MIN(T184,MAX(0,ceiling-D184))))</f>
        <v/>
      </c>
      <c r="V184" s="12">
        <f>T184+U184</f>
        <v/>
      </c>
      <c r="W184" s="13">
        <f>IF(AND(C184="F",M184&lt;O184,SUMIFS(Categories!$AH$5:$AH$11,Categories!$A$5:$A$11,B184)=1),1,0)</f>
        <v/>
      </c>
      <c r="X184" s="12">
        <f>IF(W184=1,O184-M184,0)</f>
        <v/>
      </c>
      <c r="Y184" s="11">
        <f>IF(AND(W184=1,SUMIFS(Categories!$AI$5:$AI$11,Categories!$A$5:$A$11,B184)&gt;0),X184/SUMIFS(Categories!$AI$5:$AI$11,Categories!$A$5:$A$11,B184),0)</f>
        <v/>
      </c>
      <c r="Z184" s="12">
        <f>Y184*SUMIFS(Categories!$AJ$5:$AJ$11,Categories!$A$5:$A$11,B184)</f>
        <v/>
      </c>
      <c r="AA184" s="12">
        <f>Z184*J184</f>
        <v/>
      </c>
      <c r="AB184" s="12">
        <f>IF(AA184&lt;=0,0,(rate_below/100)*MIN(AA184,MAX(0,ceiling-D184))+(rate_above/100)*(AA184-MIN(AA184,MAX(0,ceiling-D184))))</f>
        <v/>
      </c>
      <c r="AC184" s="12">
        <f>AA184+AB184</f>
        <v/>
      </c>
      <c r="AD184" s="13">
        <f>SUMPRODUCT(($B$5:$B$216=B184)*($M$5:$M$216&lt;M184))+SUMPRODUCT(($B$5:$B$216=B184)*($M$5:$M$216=M184)*(ROW($M$5:$M$216)&lt;ROW(M184)))+1</f>
        <v/>
      </c>
      <c r="AE184" s="13">
        <f>COUNTIF($B$5:$B$216,B184)</f>
        <v/>
      </c>
      <c r="AF184" s="13">
        <f>SUMPRODUCT(($B$5:$B$216=B184)*($C$5:$C$216=C184)*($M$5:$M$216&lt;M184))+SUMPRODUCT(($B$5:$B$216=B184)*($C$5:$C$216=C184)*($M$5:$M$216=M184)*(ROW($M$5:$M$216)&lt;ROW(M184)))+1</f>
        <v/>
      </c>
      <c r="AG184" s="13">
        <f>COUNTIFS($B$5:$B$216,B184,$C$5:$C$216,C184)</f>
        <v/>
      </c>
    </row>
    <row r="185">
      <c r="A185" s="9" t="inlineStr">
        <is>
          <t>E181</t>
        </is>
      </c>
      <c r="B185" s="9" t="inlineStr">
        <is>
          <t>Customer Support</t>
        </is>
      </c>
      <c r="C185" s="9" t="inlineStr">
        <is>
          <t>M</t>
        </is>
      </c>
      <c r="D185" s="10" t="n">
        <v>41657.29</v>
      </c>
      <c r="E185" s="10" t="n">
        <v>1870.49</v>
      </c>
      <c r="F185" s="9" t="n">
        <v>6.3</v>
      </c>
      <c r="G185" s="9" t="n">
        <v>3</v>
      </c>
      <c r="H185" s="9" t="n">
        <v>1</v>
      </c>
      <c r="I185" s="9" t="n">
        <v>12</v>
      </c>
      <c r="J185" s="11">
        <f>H185*(I185/12)</f>
        <v/>
      </c>
      <c r="K185" s="12">
        <f>D185/J185</f>
        <v/>
      </c>
      <c r="L185" s="12">
        <f>E185/J185</f>
        <v/>
      </c>
      <c r="M185" s="12">
        <f>K185+L185</f>
        <v/>
      </c>
      <c r="N185" s="12">
        <f>D185+E185</f>
        <v/>
      </c>
      <c r="O185" s="12">
        <f>(SUMIFS($M$5:$M$216,$B$5:$B$216,B185,$AD$5:$AD$216,INT((AE185+1)/2))+SUMIFS($M$5:$M$216,$B$5:$B$216,B185,$AD$5:$AD$216,INT(AE185/2)+1))/2</f>
        <v/>
      </c>
      <c r="P185" s="13">
        <f>IF(AND(C185="F",M185&lt;O185,SUMIFS(Categories!$Z$5:$Z$11,Categories!$A$5:$A$11,B185)=1),1,0)</f>
        <v/>
      </c>
      <c r="Q185" s="12">
        <f>IF(P185=1,O185-M185,0)</f>
        <v/>
      </c>
      <c r="R185" s="11">
        <f>IF(AND(P185=1,SUMIFS(Categories!$AA$5:$AA$11,Categories!$A$5:$A$11,B185)&gt;0),Q185/SUMIFS(Categories!$AA$5:$AA$11,Categories!$A$5:$A$11,B185),0)</f>
        <v/>
      </c>
      <c r="S185" s="12">
        <f>R185*SUMIFS(Categories!$AB$5:$AB$11,Categories!$A$5:$A$11,B185)</f>
        <v/>
      </c>
      <c r="T185" s="12">
        <f>S185*J185</f>
        <v/>
      </c>
      <c r="U185" s="12">
        <f>IF(T185&lt;=0,0,(rate_below/100)*MIN(T185,MAX(0,ceiling-D185))+(rate_above/100)*(T185-MIN(T185,MAX(0,ceiling-D185))))</f>
        <v/>
      </c>
      <c r="V185" s="12">
        <f>T185+U185</f>
        <v/>
      </c>
      <c r="W185" s="13">
        <f>IF(AND(C185="F",M185&lt;O185,SUMIFS(Categories!$AH$5:$AH$11,Categories!$A$5:$A$11,B185)=1),1,0)</f>
        <v/>
      </c>
      <c r="X185" s="12">
        <f>IF(W185=1,O185-M185,0)</f>
        <v/>
      </c>
      <c r="Y185" s="11">
        <f>IF(AND(W185=1,SUMIFS(Categories!$AI$5:$AI$11,Categories!$A$5:$A$11,B185)&gt;0),X185/SUMIFS(Categories!$AI$5:$AI$11,Categories!$A$5:$A$11,B185),0)</f>
        <v/>
      </c>
      <c r="Z185" s="12">
        <f>Y185*SUMIFS(Categories!$AJ$5:$AJ$11,Categories!$A$5:$A$11,B185)</f>
        <v/>
      </c>
      <c r="AA185" s="12">
        <f>Z185*J185</f>
        <v/>
      </c>
      <c r="AB185" s="12">
        <f>IF(AA185&lt;=0,0,(rate_below/100)*MIN(AA185,MAX(0,ceiling-D185))+(rate_above/100)*(AA185-MIN(AA185,MAX(0,ceiling-D185))))</f>
        <v/>
      </c>
      <c r="AC185" s="12">
        <f>AA185+AB185</f>
        <v/>
      </c>
      <c r="AD185" s="13">
        <f>SUMPRODUCT(($B$5:$B$216=B185)*($M$5:$M$216&lt;M185))+SUMPRODUCT(($B$5:$B$216=B185)*($M$5:$M$216=M185)*(ROW($M$5:$M$216)&lt;ROW(M185)))+1</f>
        <v/>
      </c>
      <c r="AE185" s="13">
        <f>COUNTIF($B$5:$B$216,B185)</f>
        <v/>
      </c>
      <c r="AF185" s="13">
        <f>SUMPRODUCT(($B$5:$B$216=B185)*($C$5:$C$216=C185)*($M$5:$M$216&lt;M185))+SUMPRODUCT(($B$5:$B$216=B185)*($C$5:$C$216=C185)*($M$5:$M$216=M185)*(ROW($M$5:$M$216)&lt;ROW(M185)))+1</f>
        <v/>
      </c>
      <c r="AG185" s="13">
        <f>COUNTIFS($B$5:$B$216,B185,$C$5:$C$216,C185)</f>
        <v/>
      </c>
    </row>
    <row r="186">
      <c r="A186" s="9" t="inlineStr">
        <is>
          <t>E182</t>
        </is>
      </c>
      <c r="B186" s="9" t="inlineStr">
        <is>
          <t>Customer Support</t>
        </is>
      </c>
      <c r="C186" s="9" t="inlineStr">
        <is>
          <t>M</t>
        </is>
      </c>
      <c r="D186" s="10" t="n">
        <v>36329.9</v>
      </c>
      <c r="E186" s="10" t="n">
        <v>1711.26</v>
      </c>
      <c r="F186" s="9" t="n">
        <v>7.4</v>
      </c>
      <c r="G186" s="9" t="n">
        <v>2</v>
      </c>
      <c r="H186" s="9" t="n">
        <v>1</v>
      </c>
      <c r="I186" s="9" t="n">
        <v>12</v>
      </c>
      <c r="J186" s="11">
        <f>H186*(I186/12)</f>
        <v/>
      </c>
      <c r="K186" s="12">
        <f>D186/J186</f>
        <v/>
      </c>
      <c r="L186" s="12">
        <f>E186/J186</f>
        <v/>
      </c>
      <c r="M186" s="12">
        <f>K186+L186</f>
        <v/>
      </c>
      <c r="N186" s="12">
        <f>D186+E186</f>
        <v/>
      </c>
      <c r="O186" s="12">
        <f>(SUMIFS($M$5:$M$216,$B$5:$B$216,B186,$AD$5:$AD$216,INT((AE186+1)/2))+SUMIFS($M$5:$M$216,$B$5:$B$216,B186,$AD$5:$AD$216,INT(AE186/2)+1))/2</f>
        <v/>
      </c>
      <c r="P186" s="13">
        <f>IF(AND(C186="F",M186&lt;O186,SUMIFS(Categories!$Z$5:$Z$11,Categories!$A$5:$A$11,B186)=1),1,0)</f>
        <v/>
      </c>
      <c r="Q186" s="12">
        <f>IF(P186=1,O186-M186,0)</f>
        <v/>
      </c>
      <c r="R186" s="11">
        <f>IF(AND(P186=1,SUMIFS(Categories!$AA$5:$AA$11,Categories!$A$5:$A$11,B186)&gt;0),Q186/SUMIFS(Categories!$AA$5:$AA$11,Categories!$A$5:$A$11,B186),0)</f>
        <v/>
      </c>
      <c r="S186" s="12">
        <f>R186*SUMIFS(Categories!$AB$5:$AB$11,Categories!$A$5:$A$11,B186)</f>
        <v/>
      </c>
      <c r="T186" s="12">
        <f>S186*J186</f>
        <v/>
      </c>
      <c r="U186" s="12">
        <f>IF(T186&lt;=0,0,(rate_below/100)*MIN(T186,MAX(0,ceiling-D186))+(rate_above/100)*(T186-MIN(T186,MAX(0,ceiling-D186))))</f>
        <v/>
      </c>
      <c r="V186" s="12">
        <f>T186+U186</f>
        <v/>
      </c>
      <c r="W186" s="13">
        <f>IF(AND(C186="F",M186&lt;O186,SUMIFS(Categories!$AH$5:$AH$11,Categories!$A$5:$A$11,B186)=1),1,0)</f>
        <v/>
      </c>
      <c r="X186" s="12">
        <f>IF(W186=1,O186-M186,0)</f>
        <v/>
      </c>
      <c r="Y186" s="11">
        <f>IF(AND(W186=1,SUMIFS(Categories!$AI$5:$AI$11,Categories!$A$5:$A$11,B186)&gt;0),X186/SUMIFS(Categories!$AI$5:$AI$11,Categories!$A$5:$A$11,B186),0)</f>
        <v/>
      </c>
      <c r="Z186" s="12">
        <f>Y186*SUMIFS(Categories!$AJ$5:$AJ$11,Categories!$A$5:$A$11,B186)</f>
        <v/>
      </c>
      <c r="AA186" s="12">
        <f>Z186*J186</f>
        <v/>
      </c>
      <c r="AB186" s="12">
        <f>IF(AA186&lt;=0,0,(rate_below/100)*MIN(AA186,MAX(0,ceiling-D186))+(rate_above/100)*(AA186-MIN(AA186,MAX(0,ceiling-D186))))</f>
        <v/>
      </c>
      <c r="AC186" s="12">
        <f>AA186+AB186</f>
        <v/>
      </c>
      <c r="AD186" s="13">
        <f>SUMPRODUCT(($B$5:$B$216=B186)*($M$5:$M$216&lt;M186))+SUMPRODUCT(($B$5:$B$216=B186)*($M$5:$M$216=M186)*(ROW($M$5:$M$216)&lt;ROW(M186)))+1</f>
        <v/>
      </c>
      <c r="AE186" s="13">
        <f>COUNTIF($B$5:$B$216,B186)</f>
        <v/>
      </c>
      <c r="AF186" s="13">
        <f>SUMPRODUCT(($B$5:$B$216=B186)*($C$5:$C$216=C186)*($M$5:$M$216&lt;M186))+SUMPRODUCT(($B$5:$B$216=B186)*($C$5:$C$216=C186)*($M$5:$M$216=M186)*(ROW($M$5:$M$216)&lt;ROW(M186)))+1</f>
        <v/>
      </c>
      <c r="AG186" s="13">
        <f>COUNTIFS($B$5:$B$216,B186,$C$5:$C$216,C186)</f>
        <v/>
      </c>
    </row>
    <row r="187">
      <c r="A187" s="9" t="inlineStr">
        <is>
          <t>E183</t>
        </is>
      </c>
      <c r="B187" s="9" t="inlineStr">
        <is>
          <t>Customer Support</t>
        </is>
      </c>
      <c r="C187" s="9" t="inlineStr">
        <is>
          <t>M</t>
        </is>
      </c>
      <c r="D187" s="10" t="n">
        <v>34672.81</v>
      </c>
      <c r="E187" s="10" t="n">
        <v>1870.03</v>
      </c>
      <c r="F187" s="9" t="n">
        <v>3.7</v>
      </c>
      <c r="G187" s="9" t="n">
        <v>2</v>
      </c>
      <c r="H187" s="9" t="n">
        <v>1</v>
      </c>
      <c r="I187" s="9" t="n">
        <v>12</v>
      </c>
      <c r="J187" s="11">
        <f>H187*(I187/12)</f>
        <v/>
      </c>
      <c r="K187" s="12">
        <f>D187/J187</f>
        <v/>
      </c>
      <c r="L187" s="12">
        <f>E187/J187</f>
        <v/>
      </c>
      <c r="M187" s="12">
        <f>K187+L187</f>
        <v/>
      </c>
      <c r="N187" s="12">
        <f>D187+E187</f>
        <v/>
      </c>
      <c r="O187" s="12">
        <f>(SUMIFS($M$5:$M$216,$B$5:$B$216,B187,$AD$5:$AD$216,INT((AE187+1)/2))+SUMIFS($M$5:$M$216,$B$5:$B$216,B187,$AD$5:$AD$216,INT(AE187/2)+1))/2</f>
        <v/>
      </c>
      <c r="P187" s="13">
        <f>IF(AND(C187="F",M187&lt;O187,SUMIFS(Categories!$Z$5:$Z$11,Categories!$A$5:$A$11,B187)=1),1,0)</f>
        <v/>
      </c>
      <c r="Q187" s="12">
        <f>IF(P187=1,O187-M187,0)</f>
        <v/>
      </c>
      <c r="R187" s="11">
        <f>IF(AND(P187=1,SUMIFS(Categories!$AA$5:$AA$11,Categories!$A$5:$A$11,B187)&gt;0),Q187/SUMIFS(Categories!$AA$5:$AA$11,Categories!$A$5:$A$11,B187),0)</f>
        <v/>
      </c>
      <c r="S187" s="12">
        <f>R187*SUMIFS(Categories!$AB$5:$AB$11,Categories!$A$5:$A$11,B187)</f>
        <v/>
      </c>
      <c r="T187" s="12">
        <f>S187*J187</f>
        <v/>
      </c>
      <c r="U187" s="12">
        <f>IF(T187&lt;=0,0,(rate_below/100)*MIN(T187,MAX(0,ceiling-D187))+(rate_above/100)*(T187-MIN(T187,MAX(0,ceiling-D187))))</f>
        <v/>
      </c>
      <c r="V187" s="12">
        <f>T187+U187</f>
        <v/>
      </c>
      <c r="W187" s="13">
        <f>IF(AND(C187="F",M187&lt;O187,SUMIFS(Categories!$AH$5:$AH$11,Categories!$A$5:$A$11,B187)=1),1,0)</f>
        <v/>
      </c>
      <c r="X187" s="12">
        <f>IF(W187=1,O187-M187,0)</f>
        <v/>
      </c>
      <c r="Y187" s="11">
        <f>IF(AND(W187=1,SUMIFS(Categories!$AI$5:$AI$11,Categories!$A$5:$A$11,B187)&gt;0),X187/SUMIFS(Categories!$AI$5:$AI$11,Categories!$A$5:$A$11,B187),0)</f>
        <v/>
      </c>
      <c r="Z187" s="12">
        <f>Y187*SUMIFS(Categories!$AJ$5:$AJ$11,Categories!$A$5:$A$11,B187)</f>
        <v/>
      </c>
      <c r="AA187" s="12">
        <f>Z187*J187</f>
        <v/>
      </c>
      <c r="AB187" s="12">
        <f>IF(AA187&lt;=0,0,(rate_below/100)*MIN(AA187,MAX(0,ceiling-D187))+(rate_above/100)*(AA187-MIN(AA187,MAX(0,ceiling-D187))))</f>
        <v/>
      </c>
      <c r="AC187" s="12">
        <f>AA187+AB187</f>
        <v/>
      </c>
      <c r="AD187" s="13">
        <f>SUMPRODUCT(($B$5:$B$216=B187)*($M$5:$M$216&lt;M187))+SUMPRODUCT(($B$5:$B$216=B187)*($M$5:$M$216=M187)*(ROW($M$5:$M$216)&lt;ROW(M187)))+1</f>
        <v/>
      </c>
      <c r="AE187" s="13">
        <f>COUNTIF($B$5:$B$216,B187)</f>
        <v/>
      </c>
      <c r="AF187" s="13">
        <f>SUMPRODUCT(($B$5:$B$216=B187)*($C$5:$C$216=C187)*($M$5:$M$216&lt;M187))+SUMPRODUCT(($B$5:$B$216=B187)*($C$5:$C$216=C187)*($M$5:$M$216=M187)*(ROW($M$5:$M$216)&lt;ROW(M187)))+1</f>
        <v/>
      </c>
      <c r="AG187" s="13">
        <f>COUNTIFS($B$5:$B$216,B187,$C$5:$C$216,C187)</f>
        <v/>
      </c>
    </row>
    <row r="188">
      <c r="A188" s="9" t="inlineStr">
        <is>
          <t>E184</t>
        </is>
      </c>
      <c r="B188" s="9" t="inlineStr">
        <is>
          <t>Customer Support</t>
        </is>
      </c>
      <c r="C188" s="9" t="inlineStr">
        <is>
          <t>M</t>
        </is>
      </c>
      <c r="D188" s="10" t="n">
        <v>35357.69</v>
      </c>
      <c r="E188" s="10" t="n">
        <v>2155.23</v>
      </c>
      <c r="F188" s="9" t="n">
        <v>3.8</v>
      </c>
      <c r="G188" s="9" t="n">
        <v>2</v>
      </c>
      <c r="H188" s="9" t="n">
        <v>1</v>
      </c>
      <c r="I188" s="9" t="n">
        <v>12</v>
      </c>
      <c r="J188" s="11">
        <f>H188*(I188/12)</f>
        <v/>
      </c>
      <c r="K188" s="12">
        <f>D188/J188</f>
        <v/>
      </c>
      <c r="L188" s="12">
        <f>E188/J188</f>
        <v/>
      </c>
      <c r="M188" s="12">
        <f>K188+L188</f>
        <v/>
      </c>
      <c r="N188" s="12">
        <f>D188+E188</f>
        <v/>
      </c>
      <c r="O188" s="12">
        <f>(SUMIFS($M$5:$M$216,$B$5:$B$216,B188,$AD$5:$AD$216,INT((AE188+1)/2))+SUMIFS($M$5:$M$216,$B$5:$B$216,B188,$AD$5:$AD$216,INT(AE188/2)+1))/2</f>
        <v/>
      </c>
      <c r="P188" s="13">
        <f>IF(AND(C188="F",M188&lt;O188,SUMIFS(Categories!$Z$5:$Z$11,Categories!$A$5:$A$11,B188)=1),1,0)</f>
        <v/>
      </c>
      <c r="Q188" s="12">
        <f>IF(P188=1,O188-M188,0)</f>
        <v/>
      </c>
      <c r="R188" s="11">
        <f>IF(AND(P188=1,SUMIFS(Categories!$AA$5:$AA$11,Categories!$A$5:$A$11,B188)&gt;0),Q188/SUMIFS(Categories!$AA$5:$AA$11,Categories!$A$5:$A$11,B188),0)</f>
        <v/>
      </c>
      <c r="S188" s="12">
        <f>R188*SUMIFS(Categories!$AB$5:$AB$11,Categories!$A$5:$A$11,B188)</f>
        <v/>
      </c>
      <c r="T188" s="12">
        <f>S188*J188</f>
        <v/>
      </c>
      <c r="U188" s="12">
        <f>IF(T188&lt;=0,0,(rate_below/100)*MIN(T188,MAX(0,ceiling-D188))+(rate_above/100)*(T188-MIN(T188,MAX(0,ceiling-D188))))</f>
        <v/>
      </c>
      <c r="V188" s="12">
        <f>T188+U188</f>
        <v/>
      </c>
      <c r="W188" s="13">
        <f>IF(AND(C188="F",M188&lt;O188,SUMIFS(Categories!$AH$5:$AH$11,Categories!$A$5:$A$11,B188)=1),1,0)</f>
        <v/>
      </c>
      <c r="X188" s="12">
        <f>IF(W188=1,O188-M188,0)</f>
        <v/>
      </c>
      <c r="Y188" s="11">
        <f>IF(AND(W188=1,SUMIFS(Categories!$AI$5:$AI$11,Categories!$A$5:$A$11,B188)&gt;0),X188/SUMIFS(Categories!$AI$5:$AI$11,Categories!$A$5:$A$11,B188),0)</f>
        <v/>
      </c>
      <c r="Z188" s="12">
        <f>Y188*SUMIFS(Categories!$AJ$5:$AJ$11,Categories!$A$5:$A$11,B188)</f>
        <v/>
      </c>
      <c r="AA188" s="12">
        <f>Z188*J188</f>
        <v/>
      </c>
      <c r="AB188" s="12">
        <f>IF(AA188&lt;=0,0,(rate_below/100)*MIN(AA188,MAX(0,ceiling-D188))+(rate_above/100)*(AA188-MIN(AA188,MAX(0,ceiling-D188))))</f>
        <v/>
      </c>
      <c r="AC188" s="12">
        <f>AA188+AB188</f>
        <v/>
      </c>
      <c r="AD188" s="13">
        <f>SUMPRODUCT(($B$5:$B$216=B188)*($M$5:$M$216&lt;M188))+SUMPRODUCT(($B$5:$B$216=B188)*($M$5:$M$216=M188)*(ROW($M$5:$M$216)&lt;ROW(M188)))+1</f>
        <v/>
      </c>
      <c r="AE188" s="13">
        <f>COUNTIF($B$5:$B$216,B188)</f>
        <v/>
      </c>
      <c r="AF188" s="13">
        <f>SUMPRODUCT(($B$5:$B$216=B188)*($C$5:$C$216=C188)*($M$5:$M$216&lt;M188))+SUMPRODUCT(($B$5:$B$216=B188)*($C$5:$C$216=C188)*($M$5:$M$216=M188)*(ROW($M$5:$M$216)&lt;ROW(M188)))+1</f>
        <v/>
      </c>
      <c r="AG188" s="13">
        <f>COUNTIFS($B$5:$B$216,B188,$C$5:$C$216,C188)</f>
        <v/>
      </c>
    </row>
    <row r="189">
      <c r="A189" s="9" t="inlineStr">
        <is>
          <t>E185</t>
        </is>
      </c>
      <c r="B189" s="9" t="inlineStr">
        <is>
          <t>Customer Support</t>
        </is>
      </c>
      <c r="C189" s="9" t="inlineStr">
        <is>
          <t>M</t>
        </is>
      </c>
      <c r="D189" s="10" t="n">
        <v>38844.18</v>
      </c>
      <c r="E189" s="10" t="n">
        <v>2198.15</v>
      </c>
      <c r="F189" s="9" t="n">
        <v>7.2</v>
      </c>
      <c r="G189" s="9" t="n">
        <v>2</v>
      </c>
      <c r="H189" s="9" t="n">
        <v>1</v>
      </c>
      <c r="I189" s="9" t="n">
        <v>12</v>
      </c>
      <c r="J189" s="11">
        <f>H189*(I189/12)</f>
        <v/>
      </c>
      <c r="K189" s="12">
        <f>D189/J189</f>
        <v/>
      </c>
      <c r="L189" s="12">
        <f>E189/J189</f>
        <v/>
      </c>
      <c r="M189" s="12">
        <f>K189+L189</f>
        <v/>
      </c>
      <c r="N189" s="12">
        <f>D189+E189</f>
        <v/>
      </c>
      <c r="O189" s="12">
        <f>(SUMIFS($M$5:$M$216,$B$5:$B$216,B189,$AD$5:$AD$216,INT((AE189+1)/2))+SUMIFS($M$5:$M$216,$B$5:$B$216,B189,$AD$5:$AD$216,INT(AE189/2)+1))/2</f>
        <v/>
      </c>
      <c r="P189" s="13">
        <f>IF(AND(C189="F",M189&lt;O189,SUMIFS(Categories!$Z$5:$Z$11,Categories!$A$5:$A$11,B189)=1),1,0)</f>
        <v/>
      </c>
      <c r="Q189" s="12">
        <f>IF(P189=1,O189-M189,0)</f>
        <v/>
      </c>
      <c r="R189" s="11">
        <f>IF(AND(P189=1,SUMIFS(Categories!$AA$5:$AA$11,Categories!$A$5:$A$11,B189)&gt;0),Q189/SUMIFS(Categories!$AA$5:$AA$11,Categories!$A$5:$A$11,B189),0)</f>
        <v/>
      </c>
      <c r="S189" s="12">
        <f>R189*SUMIFS(Categories!$AB$5:$AB$11,Categories!$A$5:$A$11,B189)</f>
        <v/>
      </c>
      <c r="T189" s="12">
        <f>S189*J189</f>
        <v/>
      </c>
      <c r="U189" s="12">
        <f>IF(T189&lt;=0,0,(rate_below/100)*MIN(T189,MAX(0,ceiling-D189))+(rate_above/100)*(T189-MIN(T189,MAX(0,ceiling-D189))))</f>
        <v/>
      </c>
      <c r="V189" s="12">
        <f>T189+U189</f>
        <v/>
      </c>
      <c r="W189" s="13">
        <f>IF(AND(C189="F",M189&lt;O189,SUMIFS(Categories!$AH$5:$AH$11,Categories!$A$5:$A$11,B189)=1),1,0)</f>
        <v/>
      </c>
      <c r="X189" s="12">
        <f>IF(W189=1,O189-M189,0)</f>
        <v/>
      </c>
      <c r="Y189" s="11">
        <f>IF(AND(W189=1,SUMIFS(Categories!$AI$5:$AI$11,Categories!$A$5:$A$11,B189)&gt;0),X189/SUMIFS(Categories!$AI$5:$AI$11,Categories!$A$5:$A$11,B189),0)</f>
        <v/>
      </c>
      <c r="Z189" s="12">
        <f>Y189*SUMIFS(Categories!$AJ$5:$AJ$11,Categories!$A$5:$A$11,B189)</f>
        <v/>
      </c>
      <c r="AA189" s="12">
        <f>Z189*J189</f>
        <v/>
      </c>
      <c r="AB189" s="12">
        <f>IF(AA189&lt;=0,0,(rate_below/100)*MIN(AA189,MAX(0,ceiling-D189))+(rate_above/100)*(AA189-MIN(AA189,MAX(0,ceiling-D189))))</f>
        <v/>
      </c>
      <c r="AC189" s="12">
        <f>AA189+AB189</f>
        <v/>
      </c>
      <c r="AD189" s="13">
        <f>SUMPRODUCT(($B$5:$B$216=B189)*($M$5:$M$216&lt;M189))+SUMPRODUCT(($B$5:$B$216=B189)*($M$5:$M$216=M189)*(ROW($M$5:$M$216)&lt;ROW(M189)))+1</f>
        <v/>
      </c>
      <c r="AE189" s="13">
        <f>COUNTIF($B$5:$B$216,B189)</f>
        <v/>
      </c>
      <c r="AF189" s="13">
        <f>SUMPRODUCT(($B$5:$B$216=B189)*($C$5:$C$216=C189)*($M$5:$M$216&lt;M189))+SUMPRODUCT(($B$5:$B$216=B189)*($C$5:$C$216=C189)*($M$5:$M$216=M189)*(ROW($M$5:$M$216)&lt;ROW(M189)))+1</f>
        <v/>
      </c>
      <c r="AG189" s="13">
        <f>COUNTIFS($B$5:$B$216,B189,$C$5:$C$216,C189)</f>
        <v/>
      </c>
    </row>
    <row r="190">
      <c r="A190" s="9" t="inlineStr">
        <is>
          <t>E186</t>
        </is>
      </c>
      <c r="B190" s="9" t="inlineStr">
        <is>
          <t>Customer Support</t>
        </is>
      </c>
      <c r="C190" s="9" t="inlineStr">
        <is>
          <t>F</t>
        </is>
      </c>
      <c r="D190" s="10" t="n">
        <v>35685.33</v>
      </c>
      <c r="E190" s="10" t="n">
        <v>1981.3</v>
      </c>
      <c r="F190" s="9" t="n">
        <v>9.699999999999999</v>
      </c>
      <c r="G190" s="9" t="n">
        <v>3</v>
      </c>
      <c r="H190" s="9" t="n">
        <v>1</v>
      </c>
      <c r="I190" s="9" t="n">
        <v>12</v>
      </c>
      <c r="J190" s="11">
        <f>H190*(I190/12)</f>
        <v/>
      </c>
      <c r="K190" s="12">
        <f>D190/J190</f>
        <v/>
      </c>
      <c r="L190" s="12">
        <f>E190/J190</f>
        <v/>
      </c>
      <c r="M190" s="12">
        <f>K190+L190</f>
        <v/>
      </c>
      <c r="N190" s="12">
        <f>D190+E190</f>
        <v/>
      </c>
      <c r="O190" s="12">
        <f>(SUMIFS($M$5:$M$216,$B$5:$B$216,B190,$AD$5:$AD$216,INT((AE190+1)/2))+SUMIFS($M$5:$M$216,$B$5:$B$216,B190,$AD$5:$AD$216,INT(AE190/2)+1))/2</f>
        <v/>
      </c>
      <c r="P190" s="13">
        <f>IF(AND(C190="F",M190&lt;O190,SUMIFS(Categories!$Z$5:$Z$11,Categories!$A$5:$A$11,B190)=1),1,0)</f>
        <v/>
      </c>
      <c r="Q190" s="12">
        <f>IF(P190=1,O190-M190,0)</f>
        <v/>
      </c>
      <c r="R190" s="11">
        <f>IF(AND(P190=1,SUMIFS(Categories!$AA$5:$AA$11,Categories!$A$5:$A$11,B190)&gt;0),Q190/SUMIFS(Categories!$AA$5:$AA$11,Categories!$A$5:$A$11,B190),0)</f>
        <v/>
      </c>
      <c r="S190" s="12">
        <f>R190*SUMIFS(Categories!$AB$5:$AB$11,Categories!$A$5:$A$11,B190)</f>
        <v/>
      </c>
      <c r="T190" s="12">
        <f>S190*J190</f>
        <v/>
      </c>
      <c r="U190" s="12">
        <f>IF(T190&lt;=0,0,(rate_below/100)*MIN(T190,MAX(0,ceiling-D190))+(rate_above/100)*(T190-MIN(T190,MAX(0,ceiling-D190))))</f>
        <v/>
      </c>
      <c r="V190" s="12">
        <f>T190+U190</f>
        <v/>
      </c>
      <c r="W190" s="13">
        <f>IF(AND(C190="F",M190&lt;O190,SUMIFS(Categories!$AH$5:$AH$11,Categories!$A$5:$A$11,B190)=1),1,0)</f>
        <v/>
      </c>
      <c r="X190" s="12">
        <f>IF(W190=1,O190-M190,0)</f>
        <v/>
      </c>
      <c r="Y190" s="11">
        <f>IF(AND(W190=1,SUMIFS(Categories!$AI$5:$AI$11,Categories!$A$5:$A$11,B190)&gt;0),X190/SUMIFS(Categories!$AI$5:$AI$11,Categories!$A$5:$A$11,B190),0)</f>
        <v/>
      </c>
      <c r="Z190" s="12">
        <f>Y190*SUMIFS(Categories!$AJ$5:$AJ$11,Categories!$A$5:$A$11,B190)</f>
        <v/>
      </c>
      <c r="AA190" s="12">
        <f>Z190*J190</f>
        <v/>
      </c>
      <c r="AB190" s="12">
        <f>IF(AA190&lt;=0,0,(rate_below/100)*MIN(AA190,MAX(0,ceiling-D190))+(rate_above/100)*(AA190-MIN(AA190,MAX(0,ceiling-D190))))</f>
        <v/>
      </c>
      <c r="AC190" s="12">
        <f>AA190+AB190</f>
        <v/>
      </c>
      <c r="AD190" s="13">
        <f>SUMPRODUCT(($B$5:$B$216=B190)*($M$5:$M$216&lt;M190))+SUMPRODUCT(($B$5:$B$216=B190)*($M$5:$M$216=M190)*(ROW($M$5:$M$216)&lt;ROW(M190)))+1</f>
        <v/>
      </c>
      <c r="AE190" s="13">
        <f>COUNTIF($B$5:$B$216,B190)</f>
        <v/>
      </c>
      <c r="AF190" s="13">
        <f>SUMPRODUCT(($B$5:$B$216=B190)*($C$5:$C$216=C190)*($M$5:$M$216&lt;M190))+SUMPRODUCT(($B$5:$B$216=B190)*($C$5:$C$216=C190)*($M$5:$M$216=M190)*(ROW($M$5:$M$216)&lt;ROW(M190)))+1</f>
        <v/>
      </c>
      <c r="AG190" s="13">
        <f>COUNTIFS($B$5:$B$216,B190,$C$5:$C$216,C190)</f>
        <v/>
      </c>
    </row>
    <row r="191">
      <c r="A191" s="9" t="inlineStr">
        <is>
          <t>E187</t>
        </is>
      </c>
      <c r="B191" s="9" t="inlineStr">
        <is>
          <t>Sales</t>
        </is>
      </c>
      <c r="C191" s="9" t="inlineStr">
        <is>
          <t>F</t>
        </is>
      </c>
      <c r="D191" s="10" t="n">
        <v>65665.60000000001</v>
      </c>
      <c r="E191" s="10" t="n">
        <v>8536.530000000001</v>
      </c>
      <c r="F191" s="9" t="n">
        <v>4.4</v>
      </c>
      <c r="G191" s="9" t="n">
        <v>3</v>
      </c>
      <c r="H191" s="9" t="n">
        <v>1</v>
      </c>
      <c r="I191" s="9" t="n">
        <v>12</v>
      </c>
      <c r="J191" s="11">
        <f>H191*(I191/12)</f>
        <v/>
      </c>
      <c r="K191" s="12">
        <f>D191/J191</f>
        <v/>
      </c>
      <c r="L191" s="12">
        <f>E191/J191</f>
        <v/>
      </c>
      <c r="M191" s="12">
        <f>K191+L191</f>
        <v/>
      </c>
      <c r="N191" s="12">
        <f>D191+E191</f>
        <v/>
      </c>
      <c r="O191" s="12">
        <f>(SUMIFS($M$5:$M$216,$B$5:$B$216,B191,$AD$5:$AD$216,INT((AE191+1)/2))+SUMIFS($M$5:$M$216,$B$5:$B$216,B191,$AD$5:$AD$216,INT(AE191/2)+1))/2</f>
        <v/>
      </c>
      <c r="P191" s="13">
        <f>IF(AND(C191="F",M191&lt;O191,SUMIFS(Categories!$Z$5:$Z$11,Categories!$A$5:$A$11,B191)=1),1,0)</f>
        <v/>
      </c>
      <c r="Q191" s="12">
        <f>IF(P191=1,O191-M191,0)</f>
        <v/>
      </c>
      <c r="R191" s="11">
        <f>IF(AND(P191=1,SUMIFS(Categories!$AA$5:$AA$11,Categories!$A$5:$A$11,B191)&gt;0),Q191/SUMIFS(Categories!$AA$5:$AA$11,Categories!$A$5:$A$11,B191),0)</f>
        <v/>
      </c>
      <c r="S191" s="12">
        <f>R191*SUMIFS(Categories!$AB$5:$AB$11,Categories!$A$5:$A$11,B191)</f>
        <v/>
      </c>
      <c r="T191" s="12">
        <f>S191*J191</f>
        <v/>
      </c>
      <c r="U191" s="12">
        <f>IF(T191&lt;=0,0,(rate_below/100)*MIN(T191,MAX(0,ceiling-D191))+(rate_above/100)*(T191-MIN(T191,MAX(0,ceiling-D191))))</f>
        <v/>
      </c>
      <c r="V191" s="12">
        <f>T191+U191</f>
        <v/>
      </c>
      <c r="W191" s="13">
        <f>IF(AND(C191="F",M191&lt;O191,SUMIFS(Categories!$AH$5:$AH$11,Categories!$A$5:$A$11,B191)=1),1,0)</f>
        <v/>
      </c>
      <c r="X191" s="12">
        <f>IF(W191=1,O191-M191,0)</f>
        <v/>
      </c>
      <c r="Y191" s="11">
        <f>IF(AND(W191=1,SUMIFS(Categories!$AI$5:$AI$11,Categories!$A$5:$A$11,B191)&gt;0),X191/SUMIFS(Categories!$AI$5:$AI$11,Categories!$A$5:$A$11,B191),0)</f>
        <v/>
      </c>
      <c r="Z191" s="12">
        <f>Y191*SUMIFS(Categories!$AJ$5:$AJ$11,Categories!$A$5:$A$11,B191)</f>
        <v/>
      </c>
      <c r="AA191" s="12">
        <f>Z191*J191</f>
        <v/>
      </c>
      <c r="AB191" s="12">
        <f>IF(AA191&lt;=0,0,(rate_below/100)*MIN(AA191,MAX(0,ceiling-D191))+(rate_above/100)*(AA191-MIN(AA191,MAX(0,ceiling-D191))))</f>
        <v/>
      </c>
      <c r="AC191" s="12">
        <f>AA191+AB191</f>
        <v/>
      </c>
      <c r="AD191" s="13">
        <f>SUMPRODUCT(($B$5:$B$216=B191)*($M$5:$M$216&lt;M191))+SUMPRODUCT(($B$5:$B$216=B191)*($M$5:$M$216=M191)*(ROW($M$5:$M$216)&lt;ROW(M191)))+1</f>
        <v/>
      </c>
      <c r="AE191" s="13">
        <f>COUNTIF($B$5:$B$216,B191)</f>
        <v/>
      </c>
      <c r="AF191" s="13">
        <f>SUMPRODUCT(($B$5:$B$216=B191)*($C$5:$C$216=C191)*($M$5:$M$216&lt;M191))+SUMPRODUCT(($B$5:$B$216=B191)*($C$5:$C$216=C191)*($M$5:$M$216=M191)*(ROW($M$5:$M$216)&lt;ROW(M191)))+1</f>
        <v/>
      </c>
      <c r="AG191" s="13">
        <f>COUNTIFS($B$5:$B$216,B191,$C$5:$C$216,C191)</f>
        <v/>
      </c>
    </row>
    <row r="192">
      <c r="A192" s="9" t="inlineStr">
        <is>
          <t>E188</t>
        </is>
      </c>
      <c r="B192" s="9" t="inlineStr">
        <is>
          <t>Sales</t>
        </is>
      </c>
      <c r="C192" s="9" t="inlineStr">
        <is>
          <t>M</t>
        </is>
      </c>
      <c r="D192" s="10" t="n">
        <v>65665.60000000001</v>
      </c>
      <c r="E192" s="10" t="n">
        <v>17073.06</v>
      </c>
      <c r="F192" s="9" t="n">
        <v>4.4</v>
      </c>
      <c r="G192" s="9" t="n">
        <v>3</v>
      </c>
      <c r="H192" s="9" t="n">
        <v>1</v>
      </c>
      <c r="I192" s="9" t="n">
        <v>12</v>
      </c>
      <c r="J192" s="11">
        <f>H192*(I192/12)</f>
        <v/>
      </c>
      <c r="K192" s="12">
        <f>D192/J192</f>
        <v/>
      </c>
      <c r="L192" s="12">
        <f>E192/J192</f>
        <v/>
      </c>
      <c r="M192" s="12">
        <f>K192+L192</f>
        <v/>
      </c>
      <c r="N192" s="12">
        <f>D192+E192</f>
        <v/>
      </c>
      <c r="O192" s="12">
        <f>(SUMIFS($M$5:$M$216,$B$5:$B$216,B192,$AD$5:$AD$216,INT((AE192+1)/2))+SUMIFS($M$5:$M$216,$B$5:$B$216,B192,$AD$5:$AD$216,INT(AE192/2)+1))/2</f>
        <v/>
      </c>
      <c r="P192" s="13">
        <f>IF(AND(C192="F",M192&lt;O192,SUMIFS(Categories!$Z$5:$Z$11,Categories!$A$5:$A$11,B192)=1),1,0)</f>
        <v/>
      </c>
      <c r="Q192" s="12">
        <f>IF(P192=1,O192-M192,0)</f>
        <v/>
      </c>
      <c r="R192" s="11">
        <f>IF(AND(P192=1,SUMIFS(Categories!$AA$5:$AA$11,Categories!$A$5:$A$11,B192)&gt;0),Q192/SUMIFS(Categories!$AA$5:$AA$11,Categories!$A$5:$A$11,B192),0)</f>
        <v/>
      </c>
      <c r="S192" s="12">
        <f>R192*SUMIFS(Categories!$AB$5:$AB$11,Categories!$A$5:$A$11,B192)</f>
        <v/>
      </c>
      <c r="T192" s="12">
        <f>S192*J192</f>
        <v/>
      </c>
      <c r="U192" s="12">
        <f>IF(T192&lt;=0,0,(rate_below/100)*MIN(T192,MAX(0,ceiling-D192))+(rate_above/100)*(T192-MIN(T192,MAX(0,ceiling-D192))))</f>
        <v/>
      </c>
      <c r="V192" s="12">
        <f>T192+U192</f>
        <v/>
      </c>
      <c r="W192" s="13">
        <f>IF(AND(C192="F",M192&lt;O192,SUMIFS(Categories!$AH$5:$AH$11,Categories!$A$5:$A$11,B192)=1),1,0)</f>
        <v/>
      </c>
      <c r="X192" s="12">
        <f>IF(W192=1,O192-M192,0)</f>
        <v/>
      </c>
      <c r="Y192" s="11">
        <f>IF(AND(W192=1,SUMIFS(Categories!$AI$5:$AI$11,Categories!$A$5:$A$11,B192)&gt;0),X192/SUMIFS(Categories!$AI$5:$AI$11,Categories!$A$5:$A$11,B192),0)</f>
        <v/>
      </c>
      <c r="Z192" s="12">
        <f>Y192*SUMIFS(Categories!$AJ$5:$AJ$11,Categories!$A$5:$A$11,B192)</f>
        <v/>
      </c>
      <c r="AA192" s="12">
        <f>Z192*J192</f>
        <v/>
      </c>
      <c r="AB192" s="12">
        <f>IF(AA192&lt;=0,0,(rate_below/100)*MIN(AA192,MAX(0,ceiling-D192))+(rate_above/100)*(AA192-MIN(AA192,MAX(0,ceiling-D192))))</f>
        <v/>
      </c>
      <c r="AC192" s="12">
        <f>AA192+AB192</f>
        <v/>
      </c>
      <c r="AD192" s="13">
        <f>SUMPRODUCT(($B$5:$B$216=B192)*($M$5:$M$216&lt;M192))+SUMPRODUCT(($B$5:$B$216=B192)*($M$5:$M$216=M192)*(ROW($M$5:$M$216)&lt;ROW(M192)))+1</f>
        <v/>
      </c>
      <c r="AE192" s="13">
        <f>COUNTIF($B$5:$B$216,B192)</f>
        <v/>
      </c>
      <c r="AF192" s="13">
        <f>SUMPRODUCT(($B$5:$B$216=B192)*($C$5:$C$216=C192)*($M$5:$M$216&lt;M192))+SUMPRODUCT(($B$5:$B$216=B192)*($C$5:$C$216=C192)*($M$5:$M$216=M192)*(ROW($M$5:$M$216)&lt;ROW(M192)))+1</f>
        <v/>
      </c>
      <c r="AG192" s="13">
        <f>COUNTIFS($B$5:$B$216,B192,$C$5:$C$216,C192)</f>
        <v/>
      </c>
    </row>
    <row r="193">
      <c r="A193" s="9" t="inlineStr">
        <is>
          <t>E189</t>
        </is>
      </c>
      <c r="B193" s="9" t="inlineStr">
        <is>
          <t>Sales</t>
        </is>
      </c>
      <c r="C193" s="9" t="inlineStr">
        <is>
          <t>F</t>
        </is>
      </c>
      <c r="D193" s="10" t="n">
        <v>58300</v>
      </c>
      <c r="E193" s="10" t="n">
        <v>7579</v>
      </c>
      <c r="F193" s="9" t="n">
        <v>4</v>
      </c>
      <c r="G193" s="9" t="n">
        <v>2</v>
      </c>
      <c r="H193" s="9" t="n">
        <v>1</v>
      </c>
      <c r="I193" s="9" t="n">
        <v>12</v>
      </c>
      <c r="J193" s="11">
        <f>H193*(I193/12)</f>
        <v/>
      </c>
      <c r="K193" s="12">
        <f>D193/J193</f>
        <v/>
      </c>
      <c r="L193" s="12">
        <f>E193/J193</f>
        <v/>
      </c>
      <c r="M193" s="12">
        <f>K193+L193</f>
        <v/>
      </c>
      <c r="N193" s="12">
        <f>D193+E193</f>
        <v/>
      </c>
      <c r="O193" s="12">
        <f>(SUMIFS($M$5:$M$216,$B$5:$B$216,B193,$AD$5:$AD$216,INT((AE193+1)/2))+SUMIFS($M$5:$M$216,$B$5:$B$216,B193,$AD$5:$AD$216,INT(AE193/2)+1))/2</f>
        <v/>
      </c>
      <c r="P193" s="13">
        <f>IF(AND(C193="F",M193&lt;O193,SUMIFS(Categories!$Z$5:$Z$11,Categories!$A$5:$A$11,B193)=1),1,0)</f>
        <v/>
      </c>
      <c r="Q193" s="12">
        <f>IF(P193=1,O193-M193,0)</f>
        <v/>
      </c>
      <c r="R193" s="11">
        <f>IF(AND(P193=1,SUMIFS(Categories!$AA$5:$AA$11,Categories!$A$5:$A$11,B193)&gt;0),Q193/SUMIFS(Categories!$AA$5:$AA$11,Categories!$A$5:$A$11,B193),0)</f>
        <v/>
      </c>
      <c r="S193" s="12">
        <f>R193*SUMIFS(Categories!$AB$5:$AB$11,Categories!$A$5:$A$11,B193)</f>
        <v/>
      </c>
      <c r="T193" s="12">
        <f>S193*J193</f>
        <v/>
      </c>
      <c r="U193" s="12">
        <f>IF(T193&lt;=0,0,(rate_below/100)*MIN(T193,MAX(0,ceiling-D193))+(rate_above/100)*(T193-MIN(T193,MAX(0,ceiling-D193))))</f>
        <v/>
      </c>
      <c r="V193" s="12">
        <f>T193+U193</f>
        <v/>
      </c>
      <c r="W193" s="13">
        <f>IF(AND(C193="F",M193&lt;O193,SUMIFS(Categories!$AH$5:$AH$11,Categories!$A$5:$A$11,B193)=1),1,0)</f>
        <v/>
      </c>
      <c r="X193" s="12">
        <f>IF(W193=1,O193-M193,0)</f>
        <v/>
      </c>
      <c r="Y193" s="11">
        <f>IF(AND(W193=1,SUMIFS(Categories!$AI$5:$AI$11,Categories!$A$5:$A$11,B193)&gt;0),X193/SUMIFS(Categories!$AI$5:$AI$11,Categories!$A$5:$A$11,B193),0)</f>
        <v/>
      </c>
      <c r="Z193" s="12">
        <f>Y193*SUMIFS(Categories!$AJ$5:$AJ$11,Categories!$A$5:$A$11,B193)</f>
        <v/>
      </c>
      <c r="AA193" s="12">
        <f>Z193*J193</f>
        <v/>
      </c>
      <c r="AB193" s="12">
        <f>IF(AA193&lt;=0,0,(rate_below/100)*MIN(AA193,MAX(0,ceiling-D193))+(rate_above/100)*(AA193-MIN(AA193,MAX(0,ceiling-D193))))</f>
        <v/>
      </c>
      <c r="AC193" s="12">
        <f>AA193+AB193</f>
        <v/>
      </c>
      <c r="AD193" s="13">
        <f>SUMPRODUCT(($B$5:$B$216=B193)*($M$5:$M$216&lt;M193))+SUMPRODUCT(($B$5:$B$216=B193)*($M$5:$M$216=M193)*(ROW($M$5:$M$216)&lt;ROW(M193)))+1</f>
        <v/>
      </c>
      <c r="AE193" s="13">
        <f>COUNTIF($B$5:$B$216,B193)</f>
        <v/>
      </c>
      <c r="AF193" s="13">
        <f>SUMPRODUCT(($B$5:$B$216=B193)*($C$5:$C$216=C193)*($M$5:$M$216&lt;M193))+SUMPRODUCT(($B$5:$B$216=B193)*($C$5:$C$216=C193)*($M$5:$M$216=M193)*(ROW($M$5:$M$216)&lt;ROW(M193)))+1</f>
        <v/>
      </c>
      <c r="AG193" s="13">
        <f>COUNTIFS($B$5:$B$216,B193,$C$5:$C$216,C193)</f>
        <v/>
      </c>
    </row>
    <row r="194">
      <c r="A194" s="9" t="inlineStr">
        <is>
          <t>E190</t>
        </is>
      </c>
      <c r="B194" s="9" t="inlineStr">
        <is>
          <t>Sales</t>
        </is>
      </c>
      <c r="C194" s="9" t="inlineStr">
        <is>
          <t>M</t>
        </is>
      </c>
      <c r="D194" s="10" t="n">
        <v>58300</v>
      </c>
      <c r="E194" s="10" t="n">
        <v>15158</v>
      </c>
      <c r="F194" s="9" t="n">
        <v>4</v>
      </c>
      <c r="G194" s="9" t="n">
        <v>2</v>
      </c>
      <c r="H194" s="9" t="n">
        <v>1</v>
      </c>
      <c r="I194" s="9" t="n">
        <v>12</v>
      </c>
      <c r="J194" s="11">
        <f>H194*(I194/12)</f>
        <v/>
      </c>
      <c r="K194" s="12">
        <f>D194/J194</f>
        <v/>
      </c>
      <c r="L194" s="12">
        <f>E194/J194</f>
        <v/>
      </c>
      <c r="M194" s="12">
        <f>K194+L194</f>
        <v/>
      </c>
      <c r="N194" s="12">
        <f>D194+E194</f>
        <v/>
      </c>
      <c r="O194" s="12">
        <f>(SUMIFS($M$5:$M$216,$B$5:$B$216,B194,$AD$5:$AD$216,INT((AE194+1)/2))+SUMIFS($M$5:$M$216,$B$5:$B$216,B194,$AD$5:$AD$216,INT(AE194/2)+1))/2</f>
        <v/>
      </c>
      <c r="P194" s="13">
        <f>IF(AND(C194="F",M194&lt;O194,SUMIFS(Categories!$Z$5:$Z$11,Categories!$A$5:$A$11,B194)=1),1,0)</f>
        <v/>
      </c>
      <c r="Q194" s="12">
        <f>IF(P194=1,O194-M194,0)</f>
        <v/>
      </c>
      <c r="R194" s="11">
        <f>IF(AND(P194=1,SUMIFS(Categories!$AA$5:$AA$11,Categories!$A$5:$A$11,B194)&gt;0),Q194/SUMIFS(Categories!$AA$5:$AA$11,Categories!$A$5:$A$11,B194),0)</f>
        <v/>
      </c>
      <c r="S194" s="12">
        <f>R194*SUMIFS(Categories!$AB$5:$AB$11,Categories!$A$5:$A$11,B194)</f>
        <v/>
      </c>
      <c r="T194" s="12">
        <f>S194*J194</f>
        <v/>
      </c>
      <c r="U194" s="12">
        <f>IF(T194&lt;=0,0,(rate_below/100)*MIN(T194,MAX(0,ceiling-D194))+(rate_above/100)*(T194-MIN(T194,MAX(0,ceiling-D194))))</f>
        <v/>
      </c>
      <c r="V194" s="12">
        <f>T194+U194</f>
        <v/>
      </c>
      <c r="W194" s="13">
        <f>IF(AND(C194="F",M194&lt;O194,SUMIFS(Categories!$AH$5:$AH$11,Categories!$A$5:$A$11,B194)=1),1,0)</f>
        <v/>
      </c>
      <c r="X194" s="12">
        <f>IF(W194=1,O194-M194,0)</f>
        <v/>
      </c>
      <c r="Y194" s="11">
        <f>IF(AND(W194=1,SUMIFS(Categories!$AI$5:$AI$11,Categories!$A$5:$A$11,B194)&gt;0),X194/SUMIFS(Categories!$AI$5:$AI$11,Categories!$A$5:$A$11,B194),0)</f>
        <v/>
      </c>
      <c r="Z194" s="12">
        <f>Y194*SUMIFS(Categories!$AJ$5:$AJ$11,Categories!$A$5:$A$11,B194)</f>
        <v/>
      </c>
      <c r="AA194" s="12">
        <f>Z194*J194</f>
        <v/>
      </c>
      <c r="AB194" s="12">
        <f>IF(AA194&lt;=0,0,(rate_below/100)*MIN(AA194,MAX(0,ceiling-D194))+(rate_above/100)*(AA194-MIN(AA194,MAX(0,ceiling-D194))))</f>
        <v/>
      </c>
      <c r="AC194" s="12">
        <f>AA194+AB194</f>
        <v/>
      </c>
      <c r="AD194" s="13">
        <f>SUMPRODUCT(($B$5:$B$216=B194)*($M$5:$M$216&lt;M194))+SUMPRODUCT(($B$5:$B$216=B194)*($M$5:$M$216=M194)*(ROW($M$5:$M$216)&lt;ROW(M194)))+1</f>
        <v/>
      </c>
      <c r="AE194" s="13">
        <f>COUNTIF($B$5:$B$216,B194)</f>
        <v/>
      </c>
      <c r="AF194" s="13">
        <f>SUMPRODUCT(($B$5:$B$216=B194)*($C$5:$C$216=C194)*($M$5:$M$216&lt;M194))+SUMPRODUCT(($B$5:$B$216=B194)*($C$5:$C$216=C194)*($M$5:$M$216=M194)*(ROW($M$5:$M$216)&lt;ROW(M194)))+1</f>
        <v/>
      </c>
      <c r="AG194" s="13">
        <f>COUNTIFS($B$5:$B$216,B194,$C$5:$C$216,C194)</f>
        <v/>
      </c>
    </row>
    <row r="195">
      <c r="A195" s="9" t="inlineStr">
        <is>
          <t>E191</t>
        </is>
      </c>
      <c r="B195" s="9" t="inlineStr">
        <is>
          <t>Sales</t>
        </is>
      </c>
      <c r="C195" s="9" t="inlineStr">
        <is>
          <t>F</t>
        </is>
      </c>
      <c r="D195" s="10" t="n">
        <v>57640</v>
      </c>
      <c r="E195" s="10" t="n">
        <v>7493.2</v>
      </c>
      <c r="F195" s="9" t="n">
        <v>3.2</v>
      </c>
      <c r="G195" s="9" t="n">
        <v>2</v>
      </c>
      <c r="H195" s="9" t="n">
        <v>1</v>
      </c>
      <c r="I195" s="9" t="n">
        <v>12</v>
      </c>
      <c r="J195" s="11">
        <f>H195*(I195/12)</f>
        <v/>
      </c>
      <c r="K195" s="12">
        <f>D195/J195</f>
        <v/>
      </c>
      <c r="L195" s="12">
        <f>E195/J195</f>
        <v/>
      </c>
      <c r="M195" s="12">
        <f>K195+L195</f>
        <v/>
      </c>
      <c r="N195" s="12">
        <f>D195+E195</f>
        <v/>
      </c>
      <c r="O195" s="12">
        <f>(SUMIFS($M$5:$M$216,$B$5:$B$216,B195,$AD$5:$AD$216,INT((AE195+1)/2))+SUMIFS($M$5:$M$216,$B$5:$B$216,B195,$AD$5:$AD$216,INT(AE195/2)+1))/2</f>
        <v/>
      </c>
      <c r="P195" s="13">
        <f>IF(AND(C195="F",M195&lt;O195,SUMIFS(Categories!$Z$5:$Z$11,Categories!$A$5:$A$11,B195)=1),1,0)</f>
        <v/>
      </c>
      <c r="Q195" s="12">
        <f>IF(P195=1,O195-M195,0)</f>
        <v/>
      </c>
      <c r="R195" s="11">
        <f>IF(AND(P195=1,SUMIFS(Categories!$AA$5:$AA$11,Categories!$A$5:$A$11,B195)&gt;0),Q195/SUMIFS(Categories!$AA$5:$AA$11,Categories!$A$5:$A$11,B195),0)</f>
        <v/>
      </c>
      <c r="S195" s="12">
        <f>R195*SUMIFS(Categories!$AB$5:$AB$11,Categories!$A$5:$A$11,B195)</f>
        <v/>
      </c>
      <c r="T195" s="12">
        <f>S195*J195</f>
        <v/>
      </c>
      <c r="U195" s="12">
        <f>IF(T195&lt;=0,0,(rate_below/100)*MIN(T195,MAX(0,ceiling-D195))+(rate_above/100)*(T195-MIN(T195,MAX(0,ceiling-D195))))</f>
        <v/>
      </c>
      <c r="V195" s="12">
        <f>T195+U195</f>
        <v/>
      </c>
      <c r="W195" s="13">
        <f>IF(AND(C195="F",M195&lt;O195,SUMIFS(Categories!$AH$5:$AH$11,Categories!$A$5:$A$11,B195)=1),1,0)</f>
        <v/>
      </c>
      <c r="X195" s="12">
        <f>IF(W195=1,O195-M195,0)</f>
        <v/>
      </c>
      <c r="Y195" s="11">
        <f>IF(AND(W195=1,SUMIFS(Categories!$AI$5:$AI$11,Categories!$A$5:$A$11,B195)&gt;0),X195/SUMIFS(Categories!$AI$5:$AI$11,Categories!$A$5:$A$11,B195),0)</f>
        <v/>
      </c>
      <c r="Z195" s="12">
        <f>Y195*SUMIFS(Categories!$AJ$5:$AJ$11,Categories!$A$5:$A$11,B195)</f>
        <v/>
      </c>
      <c r="AA195" s="12">
        <f>Z195*J195</f>
        <v/>
      </c>
      <c r="AB195" s="12">
        <f>IF(AA195&lt;=0,0,(rate_below/100)*MIN(AA195,MAX(0,ceiling-D195))+(rate_above/100)*(AA195-MIN(AA195,MAX(0,ceiling-D195))))</f>
        <v/>
      </c>
      <c r="AC195" s="12">
        <f>AA195+AB195</f>
        <v/>
      </c>
      <c r="AD195" s="13">
        <f>SUMPRODUCT(($B$5:$B$216=B195)*($M$5:$M$216&lt;M195))+SUMPRODUCT(($B$5:$B$216=B195)*($M$5:$M$216=M195)*(ROW($M$5:$M$216)&lt;ROW(M195)))+1</f>
        <v/>
      </c>
      <c r="AE195" s="13">
        <f>COUNTIF($B$5:$B$216,B195)</f>
        <v/>
      </c>
      <c r="AF195" s="13">
        <f>SUMPRODUCT(($B$5:$B$216=B195)*($C$5:$C$216=C195)*($M$5:$M$216&lt;M195))+SUMPRODUCT(($B$5:$B$216=B195)*($C$5:$C$216=C195)*($M$5:$M$216=M195)*(ROW($M$5:$M$216)&lt;ROW(M195)))+1</f>
        <v/>
      </c>
      <c r="AG195" s="13">
        <f>COUNTIFS($B$5:$B$216,B195,$C$5:$C$216,C195)</f>
        <v/>
      </c>
    </row>
    <row r="196">
      <c r="A196" s="9" t="inlineStr">
        <is>
          <t>E192</t>
        </is>
      </c>
      <c r="B196" s="9" t="inlineStr">
        <is>
          <t>Sales</t>
        </is>
      </c>
      <c r="C196" s="9" t="inlineStr">
        <is>
          <t>M</t>
        </is>
      </c>
      <c r="D196" s="10" t="n">
        <v>57640</v>
      </c>
      <c r="E196" s="10" t="n">
        <v>14986.4</v>
      </c>
      <c r="F196" s="9" t="n">
        <v>3.2</v>
      </c>
      <c r="G196" s="9" t="n">
        <v>2</v>
      </c>
      <c r="H196" s="9" t="n">
        <v>1</v>
      </c>
      <c r="I196" s="9" t="n">
        <v>12</v>
      </c>
      <c r="J196" s="11">
        <f>H196*(I196/12)</f>
        <v/>
      </c>
      <c r="K196" s="12">
        <f>D196/J196</f>
        <v/>
      </c>
      <c r="L196" s="12">
        <f>E196/J196</f>
        <v/>
      </c>
      <c r="M196" s="12">
        <f>K196+L196</f>
        <v/>
      </c>
      <c r="N196" s="12">
        <f>D196+E196</f>
        <v/>
      </c>
      <c r="O196" s="12">
        <f>(SUMIFS($M$5:$M$216,$B$5:$B$216,B196,$AD$5:$AD$216,INT((AE196+1)/2))+SUMIFS($M$5:$M$216,$B$5:$B$216,B196,$AD$5:$AD$216,INT(AE196/2)+1))/2</f>
        <v/>
      </c>
      <c r="P196" s="13">
        <f>IF(AND(C196="F",M196&lt;O196,SUMIFS(Categories!$Z$5:$Z$11,Categories!$A$5:$A$11,B196)=1),1,0)</f>
        <v/>
      </c>
      <c r="Q196" s="12">
        <f>IF(P196=1,O196-M196,0)</f>
        <v/>
      </c>
      <c r="R196" s="11">
        <f>IF(AND(P196=1,SUMIFS(Categories!$AA$5:$AA$11,Categories!$A$5:$A$11,B196)&gt;0),Q196/SUMIFS(Categories!$AA$5:$AA$11,Categories!$A$5:$A$11,B196),0)</f>
        <v/>
      </c>
      <c r="S196" s="12">
        <f>R196*SUMIFS(Categories!$AB$5:$AB$11,Categories!$A$5:$A$11,B196)</f>
        <v/>
      </c>
      <c r="T196" s="12">
        <f>S196*J196</f>
        <v/>
      </c>
      <c r="U196" s="12">
        <f>IF(T196&lt;=0,0,(rate_below/100)*MIN(T196,MAX(0,ceiling-D196))+(rate_above/100)*(T196-MIN(T196,MAX(0,ceiling-D196))))</f>
        <v/>
      </c>
      <c r="V196" s="12">
        <f>T196+U196</f>
        <v/>
      </c>
      <c r="W196" s="13">
        <f>IF(AND(C196="F",M196&lt;O196,SUMIFS(Categories!$AH$5:$AH$11,Categories!$A$5:$A$11,B196)=1),1,0)</f>
        <v/>
      </c>
      <c r="X196" s="12">
        <f>IF(W196=1,O196-M196,0)</f>
        <v/>
      </c>
      <c r="Y196" s="11">
        <f>IF(AND(W196=1,SUMIFS(Categories!$AI$5:$AI$11,Categories!$A$5:$A$11,B196)&gt;0),X196/SUMIFS(Categories!$AI$5:$AI$11,Categories!$A$5:$A$11,B196),0)</f>
        <v/>
      </c>
      <c r="Z196" s="12">
        <f>Y196*SUMIFS(Categories!$AJ$5:$AJ$11,Categories!$A$5:$A$11,B196)</f>
        <v/>
      </c>
      <c r="AA196" s="12">
        <f>Z196*J196</f>
        <v/>
      </c>
      <c r="AB196" s="12">
        <f>IF(AA196&lt;=0,0,(rate_below/100)*MIN(AA196,MAX(0,ceiling-D196))+(rate_above/100)*(AA196-MIN(AA196,MAX(0,ceiling-D196))))</f>
        <v/>
      </c>
      <c r="AC196" s="12">
        <f>AA196+AB196</f>
        <v/>
      </c>
      <c r="AD196" s="13">
        <f>SUMPRODUCT(($B$5:$B$216=B196)*($M$5:$M$216&lt;M196))+SUMPRODUCT(($B$5:$B$216=B196)*($M$5:$M$216=M196)*(ROW($M$5:$M$216)&lt;ROW(M196)))+1</f>
        <v/>
      </c>
      <c r="AE196" s="13">
        <f>COUNTIF($B$5:$B$216,B196)</f>
        <v/>
      </c>
      <c r="AF196" s="13">
        <f>SUMPRODUCT(($B$5:$B$216=B196)*($C$5:$C$216=C196)*($M$5:$M$216&lt;M196))+SUMPRODUCT(($B$5:$B$216=B196)*($C$5:$C$216=C196)*($M$5:$M$216=M196)*(ROW($M$5:$M$216)&lt;ROW(M196)))+1</f>
        <v/>
      </c>
      <c r="AG196" s="13">
        <f>COUNTIFS($B$5:$B$216,B196,$C$5:$C$216,C196)</f>
        <v/>
      </c>
    </row>
    <row r="197">
      <c r="A197" s="9" t="inlineStr">
        <is>
          <t>E193</t>
        </is>
      </c>
      <c r="B197" s="9" t="inlineStr">
        <is>
          <t>Sales</t>
        </is>
      </c>
      <c r="C197" s="9" t="inlineStr">
        <is>
          <t>F</t>
        </is>
      </c>
      <c r="D197" s="10" t="n">
        <v>76339.64999999999</v>
      </c>
      <c r="E197" s="10" t="n">
        <v>9924.15</v>
      </c>
      <c r="F197" s="9" t="n">
        <v>7.1</v>
      </c>
      <c r="G197" s="9" t="n">
        <v>4</v>
      </c>
      <c r="H197" s="9" t="n">
        <v>1</v>
      </c>
      <c r="I197" s="9" t="n">
        <v>12</v>
      </c>
      <c r="J197" s="11">
        <f>H197*(I197/12)</f>
        <v/>
      </c>
      <c r="K197" s="12">
        <f>D197/J197</f>
        <v/>
      </c>
      <c r="L197" s="12">
        <f>E197/J197</f>
        <v/>
      </c>
      <c r="M197" s="12">
        <f>K197+L197</f>
        <v/>
      </c>
      <c r="N197" s="12">
        <f>D197+E197</f>
        <v/>
      </c>
      <c r="O197" s="12">
        <f>(SUMIFS($M$5:$M$216,$B$5:$B$216,B197,$AD$5:$AD$216,INT((AE197+1)/2))+SUMIFS($M$5:$M$216,$B$5:$B$216,B197,$AD$5:$AD$216,INT(AE197/2)+1))/2</f>
        <v/>
      </c>
      <c r="P197" s="13">
        <f>IF(AND(C197="F",M197&lt;O197,SUMIFS(Categories!$Z$5:$Z$11,Categories!$A$5:$A$11,B197)=1),1,0)</f>
        <v/>
      </c>
      <c r="Q197" s="12">
        <f>IF(P197=1,O197-M197,0)</f>
        <v/>
      </c>
      <c r="R197" s="11">
        <f>IF(AND(P197=1,SUMIFS(Categories!$AA$5:$AA$11,Categories!$A$5:$A$11,B197)&gt;0),Q197/SUMIFS(Categories!$AA$5:$AA$11,Categories!$A$5:$A$11,B197),0)</f>
        <v/>
      </c>
      <c r="S197" s="12">
        <f>R197*SUMIFS(Categories!$AB$5:$AB$11,Categories!$A$5:$A$11,B197)</f>
        <v/>
      </c>
      <c r="T197" s="12">
        <f>S197*J197</f>
        <v/>
      </c>
      <c r="U197" s="12">
        <f>IF(T197&lt;=0,0,(rate_below/100)*MIN(T197,MAX(0,ceiling-D197))+(rate_above/100)*(T197-MIN(T197,MAX(0,ceiling-D197))))</f>
        <v/>
      </c>
      <c r="V197" s="12">
        <f>T197+U197</f>
        <v/>
      </c>
      <c r="W197" s="13">
        <f>IF(AND(C197="F",M197&lt;O197,SUMIFS(Categories!$AH$5:$AH$11,Categories!$A$5:$A$11,B197)=1),1,0)</f>
        <v/>
      </c>
      <c r="X197" s="12">
        <f>IF(W197=1,O197-M197,0)</f>
        <v/>
      </c>
      <c r="Y197" s="11">
        <f>IF(AND(W197=1,SUMIFS(Categories!$AI$5:$AI$11,Categories!$A$5:$A$11,B197)&gt;0),X197/SUMIFS(Categories!$AI$5:$AI$11,Categories!$A$5:$A$11,B197),0)</f>
        <v/>
      </c>
      <c r="Z197" s="12">
        <f>Y197*SUMIFS(Categories!$AJ$5:$AJ$11,Categories!$A$5:$A$11,B197)</f>
        <v/>
      </c>
      <c r="AA197" s="12">
        <f>Z197*J197</f>
        <v/>
      </c>
      <c r="AB197" s="12">
        <f>IF(AA197&lt;=0,0,(rate_below/100)*MIN(AA197,MAX(0,ceiling-D197))+(rate_above/100)*(AA197-MIN(AA197,MAX(0,ceiling-D197))))</f>
        <v/>
      </c>
      <c r="AC197" s="12">
        <f>AA197+AB197</f>
        <v/>
      </c>
      <c r="AD197" s="13">
        <f>SUMPRODUCT(($B$5:$B$216=B197)*($M$5:$M$216&lt;M197))+SUMPRODUCT(($B$5:$B$216=B197)*($M$5:$M$216=M197)*(ROW($M$5:$M$216)&lt;ROW(M197)))+1</f>
        <v/>
      </c>
      <c r="AE197" s="13">
        <f>COUNTIF($B$5:$B$216,B197)</f>
        <v/>
      </c>
      <c r="AF197" s="13">
        <f>SUMPRODUCT(($B$5:$B$216=B197)*($C$5:$C$216=C197)*($M$5:$M$216&lt;M197))+SUMPRODUCT(($B$5:$B$216=B197)*($C$5:$C$216=C197)*($M$5:$M$216=M197)*(ROW($M$5:$M$216)&lt;ROW(M197)))+1</f>
        <v/>
      </c>
      <c r="AG197" s="13">
        <f>COUNTIFS($B$5:$B$216,B197,$C$5:$C$216,C197)</f>
        <v/>
      </c>
    </row>
    <row r="198">
      <c r="A198" s="9" t="inlineStr">
        <is>
          <t>E194</t>
        </is>
      </c>
      <c r="B198" s="9" t="inlineStr">
        <is>
          <t>Sales</t>
        </is>
      </c>
      <c r="C198" s="9" t="inlineStr">
        <is>
          <t>M</t>
        </is>
      </c>
      <c r="D198" s="10" t="n">
        <v>76339.64999999999</v>
      </c>
      <c r="E198" s="10" t="n">
        <v>19848.31</v>
      </c>
      <c r="F198" s="9" t="n">
        <v>7.1</v>
      </c>
      <c r="G198" s="9" t="n">
        <v>4</v>
      </c>
      <c r="H198" s="9" t="n">
        <v>1</v>
      </c>
      <c r="I198" s="9" t="n">
        <v>12</v>
      </c>
      <c r="J198" s="11">
        <f>H198*(I198/12)</f>
        <v/>
      </c>
      <c r="K198" s="12">
        <f>D198/J198</f>
        <v/>
      </c>
      <c r="L198" s="12">
        <f>E198/J198</f>
        <v/>
      </c>
      <c r="M198" s="12">
        <f>K198+L198</f>
        <v/>
      </c>
      <c r="N198" s="12">
        <f>D198+E198</f>
        <v/>
      </c>
      <c r="O198" s="12">
        <f>(SUMIFS($M$5:$M$216,$B$5:$B$216,B198,$AD$5:$AD$216,INT((AE198+1)/2))+SUMIFS($M$5:$M$216,$B$5:$B$216,B198,$AD$5:$AD$216,INT(AE198/2)+1))/2</f>
        <v/>
      </c>
      <c r="P198" s="13">
        <f>IF(AND(C198="F",M198&lt;O198,SUMIFS(Categories!$Z$5:$Z$11,Categories!$A$5:$A$11,B198)=1),1,0)</f>
        <v/>
      </c>
      <c r="Q198" s="12">
        <f>IF(P198=1,O198-M198,0)</f>
        <v/>
      </c>
      <c r="R198" s="11">
        <f>IF(AND(P198=1,SUMIFS(Categories!$AA$5:$AA$11,Categories!$A$5:$A$11,B198)&gt;0),Q198/SUMIFS(Categories!$AA$5:$AA$11,Categories!$A$5:$A$11,B198),0)</f>
        <v/>
      </c>
      <c r="S198" s="12">
        <f>R198*SUMIFS(Categories!$AB$5:$AB$11,Categories!$A$5:$A$11,B198)</f>
        <v/>
      </c>
      <c r="T198" s="12">
        <f>S198*J198</f>
        <v/>
      </c>
      <c r="U198" s="12">
        <f>IF(T198&lt;=0,0,(rate_below/100)*MIN(T198,MAX(0,ceiling-D198))+(rate_above/100)*(T198-MIN(T198,MAX(0,ceiling-D198))))</f>
        <v/>
      </c>
      <c r="V198" s="12">
        <f>T198+U198</f>
        <v/>
      </c>
      <c r="W198" s="13">
        <f>IF(AND(C198="F",M198&lt;O198,SUMIFS(Categories!$AH$5:$AH$11,Categories!$A$5:$A$11,B198)=1),1,0)</f>
        <v/>
      </c>
      <c r="X198" s="12">
        <f>IF(W198=1,O198-M198,0)</f>
        <v/>
      </c>
      <c r="Y198" s="11">
        <f>IF(AND(W198=1,SUMIFS(Categories!$AI$5:$AI$11,Categories!$A$5:$A$11,B198)&gt;0),X198/SUMIFS(Categories!$AI$5:$AI$11,Categories!$A$5:$A$11,B198),0)</f>
        <v/>
      </c>
      <c r="Z198" s="12">
        <f>Y198*SUMIFS(Categories!$AJ$5:$AJ$11,Categories!$A$5:$A$11,B198)</f>
        <v/>
      </c>
      <c r="AA198" s="12">
        <f>Z198*J198</f>
        <v/>
      </c>
      <c r="AB198" s="12">
        <f>IF(AA198&lt;=0,0,(rate_below/100)*MIN(AA198,MAX(0,ceiling-D198))+(rate_above/100)*(AA198-MIN(AA198,MAX(0,ceiling-D198))))</f>
        <v/>
      </c>
      <c r="AC198" s="12">
        <f>AA198+AB198</f>
        <v/>
      </c>
      <c r="AD198" s="13">
        <f>SUMPRODUCT(($B$5:$B$216=B198)*($M$5:$M$216&lt;M198))+SUMPRODUCT(($B$5:$B$216=B198)*($M$5:$M$216=M198)*(ROW($M$5:$M$216)&lt;ROW(M198)))+1</f>
        <v/>
      </c>
      <c r="AE198" s="13">
        <f>COUNTIF($B$5:$B$216,B198)</f>
        <v/>
      </c>
      <c r="AF198" s="13">
        <f>SUMPRODUCT(($B$5:$B$216=B198)*($C$5:$C$216=C198)*($M$5:$M$216&lt;M198))+SUMPRODUCT(($B$5:$B$216=B198)*($C$5:$C$216=C198)*($M$5:$M$216=M198)*(ROW($M$5:$M$216)&lt;ROW(M198)))+1</f>
        <v/>
      </c>
      <c r="AG198" s="13">
        <f>COUNTIFS($B$5:$B$216,B198,$C$5:$C$216,C198)</f>
        <v/>
      </c>
    </row>
    <row r="199">
      <c r="A199" s="9" t="inlineStr">
        <is>
          <t>E195</t>
        </is>
      </c>
      <c r="B199" s="9" t="inlineStr">
        <is>
          <t>Sales</t>
        </is>
      </c>
      <c r="C199" s="9" t="inlineStr">
        <is>
          <t>F</t>
        </is>
      </c>
      <c r="D199" s="10" t="n">
        <v>91063.92</v>
      </c>
      <c r="E199" s="10" t="n">
        <v>11838.31</v>
      </c>
      <c r="F199" s="9" t="n">
        <v>11.9</v>
      </c>
      <c r="G199" s="9" t="n">
        <v>5</v>
      </c>
      <c r="H199" s="9" t="n">
        <v>1</v>
      </c>
      <c r="I199" s="9" t="n">
        <v>12</v>
      </c>
      <c r="J199" s="11">
        <f>H199*(I199/12)</f>
        <v/>
      </c>
      <c r="K199" s="12">
        <f>D199/J199</f>
        <v/>
      </c>
      <c r="L199" s="12">
        <f>E199/J199</f>
        <v/>
      </c>
      <c r="M199" s="12">
        <f>K199+L199</f>
        <v/>
      </c>
      <c r="N199" s="12">
        <f>D199+E199</f>
        <v/>
      </c>
      <c r="O199" s="12">
        <f>(SUMIFS($M$5:$M$216,$B$5:$B$216,B199,$AD$5:$AD$216,INT((AE199+1)/2))+SUMIFS($M$5:$M$216,$B$5:$B$216,B199,$AD$5:$AD$216,INT(AE199/2)+1))/2</f>
        <v/>
      </c>
      <c r="P199" s="13">
        <f>IF(AND(C199="F",M199&lt;O199,SUMIFS(Categories!$Z$5:$Z$11,Categories!$A$5:$A$11,B199)=1),1,0)</f>
        <v/>
      </c>
      <c r="Q199" s="12">
        <f>IF(P199=1,O199-M199,0)</f>
        <v/>
      </c>
      <c r="R199" s="11">
        <f>IF(AND(P199=1,SUMIFS(Categories!$AA$5:$AA$11,Categories!$A$5:$A$11,B199)&gt;0),Q199/SUMIFS(Categories!$AA$5:$AA$11,Categories!$A$5:$A$11,B199),0)</f>
        <v/>
      </c>
      <c r="S199" s="12">
        <f>R199*SUMIFS(Categories!$AB$5:$AB$11,Categories!$A$5:$A$11,B199)</f>
        <v/>
      </c>
      <c r="T199" s="12">
        <f>S199*J199</f>
        <v/>
      </c>
      <c r="U199" s="12">
        <f>IF(T199&lt;=0,0,(rate_below/100)*MIN(T199,MAX(0,ceiling-D199))+(rate_above/100)*(T199-MIN(T199,MAX(0,ceiling-D199))))</f>
        <v/>
      </c>
      <c r="V199" s="12">
        <f>T199+U199</f>
        <v/>
      </c>
      <c r="W199" s="13">
        <f>IF(AND(C199="F",M199&lt;O199,SUMIFS(Categories!$AH$5:$AH$11,Categories!$A$5:$A$11,B199)=1),1,0)</f>
        <v/>
      </c>
      <c r="X199" s="12">
        <f>IF(W199=1,O199-M199,0)</f>
        <v/>
      </c>
      <c r="Y199" s="11">
        <f>IF(AND(W199=1,SUMIFS(Categories!$AI$5:$AI$11,Categories!$A$5:$A$11,B199)&gt;0),X199/SUMIFS(Categories!$AI$5:$AI$11,Categories!$A$5:$A$11,B199),0)</f>
        <v/>
      </c>
      <c r="Z199" s="12">
        <f>Y199*SUMIFS(Categories!$AJ$5:$AJ$11,Categories!$A$5:$A$11,B199)</f>
        <v/>
      </c>
      <c r="AA199" s="12">
        <f>Z199*J199</f>
        <v/>
      </c>
      <c r="AB199" s="12">
        <f>IF(AA199&lt;=0,0,(rate_below/100)*MIN(AA199,MAX(0,ceiling-D199))+(rate_above/100)*(AA199-MIN(AA199,MAX(0,ceiling-D199))))</f>
        <v/>
      </c>
      <c r="AC199" s="12">
        <f>AA199+AB199</f>
        <v/>
      </c>
      <c r="AD199" s="13">
        <f>SUMPRODUCT(($B$5:$B$216=B199)*($M$5:$M$216&lt;M199))+SUMPRODUCT(($B$5:$B$216=B199)*($M$5:$M$216=M199)*(ROW($M$5:$M$216)&lt;ROW(M199)))+1</f>
        <v/>
      </c>
      <c r="AE199" s="13">
        <f>COUNTIF($B$5:$B$216,B199)</f>
        <v/>
      </c>
      <c r="AF199" s="13">
        <f>SUMPRODUCT(($B$5:$B$216=B199)*($C$5:$C$216=C199)*($M$5:$M$216&lt;M199))+SUMPRODUCT(($B$5:$B$216=B199)*($C$5:$C$216=C199)*($M$5:$M$216=M199)*(ROW($M$5:$M$216)&lt;ROW(M199)))+1</f>
        <v/>
      </c>
      <c r="AG199" s="13">
        <f>COUNTIFS($B$5:$B$216,B199,$C$5:$C$216,C199)</f>
        <v/>
      </c>
    </row>
    <row r="200">
      <c r="A200" s="9" t="inlineStr">
        <is>
          <t>E196</t>
        </is>
      </c>
      <c r="B200" s="9" t="inlineStr">
        <is>
          <t>Sales</t>
        </is>
      </c>
      <c r="C200" s="9" t="inlineStr">
        <is>
          <t>M</t>
        </is>
      </c>
      <c r="D200" s="10" t="n">
        <v>91063.92</v>
      </c>
      <c r="E200" s="10" t="n">
        <v>23676.62</v>
      </c>
      <c r="F200" s="9" t="n">
        <v>11.9</v>
      </c>
      <c r="G200" s="9" t="n">
        <v>5</v>
      </c>
      <c r="H200" s="9" t="n">
        <v>1</v>
      </c>
      <c r="I200" s="9" t="n">
        <v>12</v>
      </c>
      <c r="J200" s="11">
        <f>H200*(I200/12)</f>
        <v/>
      </c>
      <c r="K200" s="12">
        <f>D200/J200</f>
        <v/>
      </c>
      <c r="L200" s="12">
        <f>E200/J200</f>
        <v/>
      </c>
      <c r="M200" s="12">
        <f>K200+L200</f>
        <v/>
      </c>
      <c r="N200" s="12">
        <f>D200+E200</f>
        <v/>
      </c>
      <c r="O200" s="12">
        <f>(SUMIFS($M$5:$M$216,$B$5:$B$216,B200,$AD$5:$AD$216,INT((AE200+1)/2))+SUMIFS($M$5:$M$216,$B$5:$B$216,B200,$AD$5:$AD$216,INT(AE200/2)+1))/2</f>
        <v/>
      </c>
      <c r="P200" s="13">
        <f>IF(AND(C200="F",M200&lt;O200,SUMIFS(Categories!$Z$5:$Z$11,Categories!$A$5:$A$11,B200)=1),1,0)</f>
        <v/>
      </c>
      <c r="Q200" s="12">
        <f>IF(P200=1,O200-M200,0)</f>
        <v/>
      </c>
      <c r="R200" s="11">
        <f>IF(AND(P200=1,SUMIFS(Categories!$AA$5:$AA$11,Categories!$A$5:$A$11,B200)&gt;0),Q200/SUMIFS(Categories!$AA$5:$AA$11,Categories!$A$5:$A$11,B200),0)</f>
        <v/>
      </c>
      <c r="S200" s="12">
        <f>R200*SUMIFS(Categories!$AB$5:$AB$11,Categories!$A$5:$A$11,B200)</f>
        <v/>
      </c>
      <c r="T200" s="12">
        <f>S200*J200</f>
        <v/>
      </c>
      <c r="U200" s="12">
        <f>IF(T200&lt;=0,0,(rate_below/100)*MIN(T200,MAX(0,ceiling-D200))+(rate_above/100)*(T200-MIN(T200,MAX(0,ceiling-D200))))</f>
        <v/>
      </c>
      <c r="V200" s="12">
        <f>T200+U200</f>
        <v/>
      </c>
      <c r="W200" s="13">
        <f>IF(AND(C200="F",M200&lt;O200,SUMIFS(Categories!$AH$5:$AH$11,Categories!$A$5:$A$11,B200)=1),1,0)</f>
        <v/>
      </c>
      <c r="X200" s="12">
        <f>IF(W200=1,O200-M200,0)</f>
        <v/>
      </c>
      <c r="Y200" s="11">
        <f>IF(AND(W200=1,SUMIFS(Categories!$AI$5:$AI$11,Categories!$A$5:$A$11,B200)&gt;0),X200/SUMIFS(Categories!$AI$5:$AI$11,Categories!$A$5:$A$11,B200),0)</f>
        <v/>
      </c>
      <c r="Z200" s="12">
        <f>Y200*SUMIFS(Categories!$AJ$5:$AJ$11,Categories!$A$5:$A$11,B200)</f>
        <v/>
      </c>
      <c r="AA200" s="12">
        <f>Z200*J200</f>
        <v/>
      </c>
      <c r="AB200" s="12">
        <f>IF(AA200&lt;=0,0,(rate_below/100)*MIN(AA200,MAX(0,ceiling-D200))+(rate_above/100)*(AA200-MIN(AA200,MAX(0,ceiling-D200))))</f>
        <v/>
      </c>
      <c r="AC200" s="12">
        <f>AA200+AB200</f>
        <v/>
      </c>
      <c r="AD200" s="13">
        <f>SUMPRODUCT(($B$5:$B$216=B200)*($M$5:$M$216&lt;M200))+SUMPRODUCT(($B$5:$B$216=B200)*($M$5:$M$216=M200)*(ROW($M$5:$M$216)&lt;ROW(M200)))+1</f>
        <v/>
      </c>
      <c r="AE200" s="13">
        <f>COUNTIF($B$5:$B$216,B200)</f>
        <v/>
      </c>
      <c r="AF200" s="13">
        <f>SUMPRODUCT(($B$5:$B$216=B200)*($C$5:$C$216=C200)*($M$5:$M$216&lt;M200))+SUMPRODUCT(($B$5:$B$216=B200)*($C$5:$C$216=C200)*($M$5:$M$216=M200)*(ROW($M$5:$M$216)&lt;ROW(M200)))+1</f>
        <v/>
      </c>
      <c r="AG200" s="13">
        <f>COUNTIFS($B$5:$B$216,B200,$C$5:$C$216,C200)</f>
        <v/>
      </c>
    </row>
    <row r="201">
      <c r="A201" s="9" t="inlineStr">
        <is>
          <t>E197</t>
        </is>
      </c>
      <c r="B201" s="9" t="inlineStr">
        <is>
          <t>Sales</t>
        </is>
      </c>
      <c r="C201" s="9" t="inlineStr">
        <is>
          <t>F</t>
        </is>
      </c>
      <c r="D201" s="10" t="n">
        <v>63817.6</v>
      </c>
      <c r="E201" s="10" t="n">
        <v>8296.290000000001</v>
      </c>
      <c r="F201" s="9" t="n">
        <v>2.4</v>
      </c>
      <c r="G201" s="9" t="n">
        <v>3</v>
      </c>
      <c r="H201" s="9" t="n">
        <v>1</v>
      </c>
      <c r="I201" s="9" t="n">
        <v>12</v>
      </c>
      <c r="J201" s="11">
        <f>H201*(I201/12)</f>
        <v/>
      </c>
      <c r="K201" s="12">
        <f>D201/J201</f>
        <v/>
      </c>
      <c r="L201" s="12">
        <f>E201/J201</f>
        <v/>
      </c>
      <c r="M201" s="12">
        <f>K201+L201</f>
        <v/>
      </c>
      <c r="N201" s="12">
        <f>D201+E201</f>
        <v/>
      </c>
      <c r="O201" s="12">
        <f>(SUMIFS($M$5:$M$216,$B$5:$B$216,B201,$AD$5:$AD$216,INT((AE201+1)/2))+SUMIFS($M$5:$M$216,$B$5:$B$216,B201,$AD$5:$AD$216,INT(AE201/2)+1))/2</f>
        <v/>
      </c>
      <c r="P201" s="13">
        <f>IF(AND(C201="F",M201&lt;O201,SUMIFS(Categories!$Z$5:$Z$11,Categories!$A$5:$A$11,B201)=1),1,0)</f>
        <v/>
      </c>
      <c r="Q201" s="12">
        <f>IF(P201=1,O201-M201,0)</f>
        <v/>
      </c>
      <c r="R201" s="11">
        <f>IF(AND(P201=1,SUMIFS(Categories!$AA$5:$AA$11,Categories!$A$5:$A$11,B201)&gt;0),Q201/SUMIFS(Categories!$AA$5:$AA$11,Categories!$A$5:$A$11,B201),0)</f>
        <v/>
      </c>
      <c r="S201" s="12">
        <f>R201*SUMIFS(Categories!$AB$5:$AB$11,Categories!$A$5:$A$11,B201)</f>
        <v/>
      </c>
      <c r="T201" s="12">
        <f>S201*J201</f>
        <v/>
      </c>
      <c r="U201" s="12">
        <f>IF(T201&lt;=0,0,(rate_below/100)*MIN(T201,MAX(0,ceiling-D201))+(rate_above/100)*(T201-MIN(T201,MAX(0,ceiling-D201))))</f>
        <v/>
      </c>
      <c r="V201" s="12">
        <f>T201+U201</f>
        <v/>
      </c>
      <c r="W201" s="13">
        <f>IF(AND(C201="F",M201&lt;O201,SUMIFS(Categories!$AH$5:$AH$11,Categories!$A$5:$A$11,B201)=1),1,0)</f>
        <v/>
      </c>
      <c r="X201" s="12">
        <f>IF(W201=1,O201-M201,0)</f>
        <v/>
      </c>
      <c r="Y201" s="11">
        <f>IF(AND(W201=1,SUMIFS(Categories!$AI$5:$AI$11,Categories!$A$5:$A$11,B201)&gt;0),X201/SUMIFS(Categories!$AI$5:$AI$11,Categories!$A$5:$A$11,B201),0)</f>
        <v/>
      </c>
      <c r="Z201" s="12">
        <f>Y201*SUMIFS(Categories!$AJ$5:$AJ$11,Categories!$A$5:$A$11,B201)</f>
        <v/>
      </c>
      <c r="AA201" s="12">
        <f>Z201*J201</f>
        <v/>
      </c>
      <c r="AB201" s="12">
        <f>IF(AA201&lt;=0,0,(rate_below/100)*MIN(AA201,MAX(0,ceiling-D201))+(rate_above/100)*(AA201-MIN(AA201,MAX(0,ceiling-D201))))</f>
        <v/>
      </c>
      <c r="AC201" s="12">
        <f>AA201+AB201</f>
        <v/>
      </c>
      <c r="AD201" s="13">
        <f>SUMPRODUCT(($B$5:$B$216=B201)*($M$5:$M$216&lt;M201))+SUMPRODUCT(($B$5:$B$216=B201)*($M$5:$M$216=M201)*(ROW($M$5:$M$216)&lt;ROW(M201)))+1</f>
        <v/>
      </c>
      <c r="AE201" s="13">
        <f>COUNTIF($B$5:$B$216,B201)</f>
        <v/>
      </c>
      <c r="AF201" s="13">
        <f>SUMPRODUCT(($B$5:$B$216=B201)*($C$5:$C$216=C201)*($M$5:$M$216&lt;M201))+SUMPRODUCT(($B$5:$B$216=B201)*($C$5:$C$216=C201)*($M$5:$M$216=M201)*(ROW($M$5:$M$216)&lt;ROW(M201)))+1</f>
        <v/>
      </c>
      <c r="AG201" s="13">
        <f>COUNTIFS($B$5:$B$216,B201,$C$5:$C$216,C201)</f>
        <v/>
      </c>
    </row>
    <row r="202">
      <c r="A202" s="9" t="inlineStr">
        <is>
          <t>E198</t>
        </is>
      </c>
      <c r="B202" s="9" t="inlineStr">
        <is>
          <t>Sales</t>
        </is>
      </c>
      <c r="C202" s="9" t="inlineStr">
        <is>
          <t>M</t>
        </is>
      </c>
      <c r="D202" s="10" t="n">
        <v>63817.6</v>
      </c>
      <c r="E202" s="10" t="n">
        <v>16592.58</v>
      </c>
      <c r="F202" s="9" t="n">
        <v>2.4</v>
      </c>
      <c r="G202" s="9" t="n">
        <v>3</v>
      </c>
      <c r="H202" s="9" t="n">
        <v>1</v>
      </c>
      <c r="I202" s="9" t="n">
        <v>12</v>
      </c>
      <c r="J202" s="11">
        <f>H202*(I202/12)</f>
        <v/>
      </c>
      <c r="K202" s="12">
        <f>D202/J202</f>
        <v/>
      </c>
      <c r="L202" s="12">
        <f>E202/J202</f>
        <v/>
      </c>
      <c r="M202" s="12">
        <f>K202+L202</f>
        <v/>
      </c>
      <c r="N202" s="12">
        <f>D202+E202</f>
        <v/>
      </c>
      <c r="O202" s="12">
        <f>(SUMIFS($M$5:$M$216,$B$5:$B$216,B202,$AD$5:$AD$216,INT((AE202+1)/2))+SUMIFS($M$5:$M$216,$B$5:$B$216,B202,$AD$5:$AD$216,INT(AE202/2)+1))/2</f>
        <v/>
      </c>
      <c r="P202" s="13">
        <f>IF(AND(C202="F",M202&lt;O202,SUMIFS(Categories!$Z$5:$Z$11,Categories!$A$5:$A$11,B202)=1),1,0)</f>
        <v/>
      </c>
      <c r="Q202" s="12">
        <f>IF(P202=1,O202-M202,0)</f>
        <v/>
      </c>
      <c r="R202" s="11">
        <f>IF(AND(P202=1,SUMIFS(Categories!$AA$5:$AA$11,Categories!$A$5:$A$11,B202)&gt;0),Q202/SUMIFS(Categories!$AA$5:$AA$11,Categories!$A$5:$A$11,B202),0)</f>
        <v/>
      </c>
      <c r="S202" s="12">
        <f>R202*SUMIFS(Categories!$AB$5:$AB$11,Categories!$A$5:$A$11,B202)</f>
        <v/>
      </c>
      <c r="T202" s="12">
        <f>S202*J202</f>
        <v/>
      </c>
      <c r="U202" s="12">
        <f>IF(T202&lt;=0,0,(rate_below/100)*MIN(T202,MAX(0,ceiling-D202))+(rate_above/100)*(T202-MIN(T202,MAX(0,ceiling-D202))))</f>
        <v/>
      </c>
      <c r="V202" s="12">
        <f>T202+U202</f>
        <v/>
      </c>
      <c r="W202" s="13">
        <f>IF(AND(C202="F",M202&lt;O202,SUMIFS(Categories!$AH$5:$AH$11,Categories!$A$5:$A$11,B202)=1),1,0)</f>
        <v/>
      </c>
      <c r="X202" s="12">
        <f>IF(W202=1,O202-M202,0)</f>
        <v/>
      </c>
      <c r="Y202" s="11">
        <f>IF(AND(W202=1,SUMIFS(Categories!$AI$5:$AI$11,Categories!$A$5:$A$11,B202)&gt;0),X202/SUMIFS(Categories!$AI$5:$AI$11,Categories!$A$5:$A$11,B202),0)</f>
        <v/>
      </c>
      <c r="Z202" s="12">
        <f>Y202*SUMIFS(Categories!$AJ$5:$AJ$11,Categories!$A$5:$A$11,B202)</f>
        <v/>
      </c>
      <c r="AA202" s="12">
        <f>Z202*J202</f>
        <v/>
      </c>
      <c r="AB202" s="12">
        <f>IF(AA202&lt;=0,0,(rate_below/100)*MIN(AA202,MAX(0,ceiling-D202))+(rate_above/100)*(AA202-MIN(AA202,MAX(0,ceiling-D202))))</f>
        <v/>
      </c>
      <c r="AC202" s="12">
        <f>AA202+AB202</f>
        <v/>
      </c>
      <c r="AD202" s="13">
        <f>SUMPRODUCT(($B$5:$B$216=B202)*($M$5:$M$216&lt;M202))+SUMPRODUCT(($B$5:$B$216=B202)*($M$5:$M$216=M202)*(ROW($M$5:$M$216)&lt;ROW(M202)))+1</f>
        <v/>
      </c>
      <c r="AE202" s="13">
        <f>COUNTIF($B$5:$B$216,B202)</f>
        <v/>
      </c>
      <c r="AF202" s="13">
        <f>SUMPRODUCT(($B$5:$B$216=B202)*($C$5:$C$216=C202)*($M$5:$M$216&lt;M202))+SUMPRODUCT(($B$5:$B$216=B202)*($C$5:$C$216=C202)*($M$5:$M$216=M202)*(ROW($M$5:$M$216)&lt;ROW(M202)))+1</f>
        <v/>
      </c>
      <c r="AG202" s="13">
        <f>COUNTIFS($B$5:$B$216,B202,$C$5:$C$216,C202)</f>
        <v/>
      </c>
    </row>
    <row r="203">
      <c r="A203" s="9" t="inlineStr">
        <is>
          <t>E199</t>
        </is>
      </c>
      <c r="B203" s="9" t="inlineStr">
        <is>
          <t>Sales</t>
        </is>
      </c>
      <c r="C203" s="9" t="inlineStr">
        <is>
          <t>F</t>
        </is>
      </c>
      <c r="D203" s="10" t="n">
        <v>56402.5</v>
      </c>
      <c r="E203" s="10" t="n">
        <v>7332.33</v>
      </c>
      <c r="F203" s="9" t="n">
        <v>1.7</v>
      </c>
      <c r="G203" s="9" t="n">
        <v>2</v>
      </c>
      <c r="H203" s="9" t="n">
        <v>1</v>
      </c>
      <c r="I203" s="9" t="n">
        <v>12</v>
      </c>
      <c r="J203" s="11">
        <f>H203*(I203/12)</f>
        <v/>
      </c>
      <c r="K203" s="12">
        <f>D203/J203</f>
        <v/>
      </c>
      <c r="L203" s="12">
        <f>E203/J203</f>
        <v/>
      </c>
      <c r="M203" s="12">
        <f>K203+L203</f>
        <v/>
      </c>
      <c r="N203" s="12">
        <f>D203+E203</f>
        <v/>
      </c>
      <c r="O203" s="12">
        <f>(SUMIFS($M$5:$M$216,$B$5:$B$216,B203,$AD$5:$AD$216,INT((AE203+1)/2))+SUMIFS($M$5:$M$216,$B$5:$B$216,B203,$AD$5:$AD$216,INT(AE203/2)+1))/2</f>
        <v/>
      </c>
      <c r="P203" s="13">
        <f>IF(AND(C203="F",M203&lt;O203,SUMIFS(Categories!$Z$5:$Z$11,Categories!$A$5:$A$11,B203)=1),1,0)</f>
        <v/>
      </c>
      <c r="Q203" s="12">
        <f>IF(P203=1,O203-M203,0)</f>
        <v/>
      </c>
      <c r="R203" s="11">
        <f>IF(AND(P203=1,SUMIFS(Categories!$AA$5:$AA$11,Categories!$A$5:$A$11,B203)&gt;0),Q203/SUMIFS(Categories!$AA$5:$AA$11,Categories!$A$5:$A$11,B203),0)</f>
        <v/>
      </c>
      <c r="S203" s="12">
        <f>R203*SUMIFS(Categories!$AB$5:$AB$11,Categories!$A$5:$A$11,B203)</f>
        <v/>
      </c>
      <c r="T203" s="12">
        <f>S203*J203</f>
        <v/>
      </c>
      <c r="U203" s="12">
        <f>IF(T203&lt;=0,0,(rate_below/100)*MIN(T203,MAX(0,ceiling-D203))+(rate_above/100)*(T203-MIN(T203,MAX(0,ceiling-D203))))</f>
        <v/>
      </c>
      <c r="V203" s="12">
        <f>T203+U203</f>
        <v/>
      </c>
      <c r="W203" s="13">
        <f>IF(AND(C203="F",M203&lt;O203,SUMIFS(Categories!$AH$5:$AH$11,Categories!$A$5:$A$11,B203)=1),1,0)</f>
        <v/>
      </c>
      <c r="X203" s="12">
        <f>IF(W203=1,O203-M203,0)</f>
        <v/>
      </c>
      <c r="Y203" s="11">
        <f>IF(AND(W203=1,SUMIFS(Categories!$AI$5:$AI$11,Categories!$A$5:$A$11,B203)&gt;0),X203/SUMIFS(Categories!$AI$5:$AI$11,Categories!$A$5:$A$11,B203),0)</f>
        <v/>
      </c>
      <c r="Z203" s="12">
        <f>Y203*SUMIFS(Categories!$AJ$5:$AJ$11,Categories!$A$5:$A$11,B203)</f>
        <v/>
      </c>
      <c r="AA203" s="12">
        <f>Z203*J203</f>
        <v/>
      </c>
      <c r="AB203" s="12">
        <f>IF(AA203&lt;=0,0,(rate_below/100)*MIN(AA203,MAX(0,ceiling-D203))+(rate_above/100)*(AA203-MIN(AA203,MAX(0,ceiling-D203))))</f>
        <v/>
      </c>
      <c r="AC203" s="12">
        <f>AA203+AB203</f>
        <v/>
      </c>
      <c r="AD203" s="13">
        <f>SUMPRODUCT(($B$5:$B$216=B203)*($M$5:$M$216&lt;M203))+SUMPRODUCT(($B$5:$B$216=B203)*($M$5:$M$216=M203)*(ROW($M$5:$M$216)&lt;ROW(M203)))+1</f>
        <v/>
      </c>
      <c r="AE203" s="13">
        <f>COUNTIF($B$5:$B$216,B203)</f>
        <v/>
      </c>
      <c r="AF203" s="13">
        <f>SUMPRODUCT(($B$5:$B$216=B203)*($C$5:$C$216=C203)*($M$5:$M$216&lt;M203))+SUMPRODUCT(($B$5:$B$216=B203)*($C$5:$C$216=C203)*($M$5:$M$216=M203)*(ROW($M$5:$M$216)&lt;ROW(M203)))+1</f>
        <v/>
      </c>
      <c r="AG203" s="13">
        <f>COUNTIFS($B$5:$B$216,B203,$C$5:$C$216,C203)</f>
        <v/>
      </c>
    </row>
    <row r="204">
      <c r="A204" s="9" t="inlineStr">
        <is>
          <t>E200</t>
        </is>
      </c>
      <c r="B204" s="9" t="inlineStr">
        <is>
          <t>Sales</t>
        </is>
      </c>
      <c r="C204" s="9" t="inlineStr">
        <is>
          <t>M</t>
        </is>
      </c>
      <c r="D204" s="10" t="n">
        <v>56402.5</v>
      </c>
      <c r="E204" s="10" t="n">
        <v>14664.65</v>
      </c>
      <c r="F204" s="9" t="n">
        <v>1.7</v>
      </c>
      <c r="G204" s="9" t="n">
        <v>2</v>
      </c>
      <c r="H204" s="9" t="n">
        <v>1</v>
      </c>
      <c r="I204" s="9" t="n">
        <v>12</v>
      </c>
      <c r="J204" s="11">
        <f>H204*(I204/12)</f>
        <v/>
      </c>
      <c r="K204" s="12">
        <f>D204/J204</f>
        <v/>
      </c>
      <c r="L204" s="12">
        <f>E204/J204</f>
        <v/>
      </c>
      <c r="M204" s="12">
        <f>K204+L204</f>
        <v/>
      </c>
      <c r="N204" s="12">
        <f>D204+E204</f>
        <v/>
      </c>
      <c r="O204" s="12">
        <f>(SUMIFS($M$5:$M$216,$B$5:$B$216,B204,$AD$5:$AD$216,INT((AE204+1)/2))+SUMIFS($M$5:$M$216,$B$5:$B$216,B204,$AD$5:$AD$216,INT(AE204/2)+1))/2</f>
        <v/>
      </c>
      <c r="P204" s="13">
        <f>IF(AND(C204="F",M204&lt;O204,SUMIFS(Categories!$Z$5:$Z$11,Categories!$A$5:$A$11,B204)=1),1,0)</f>
        <v/>
      </c>
      <c r="Q204" s="12">
        <f>IF(P204=1,O204-M204,0)</f>
        <v/>
      </c>
      <c r="R204" s="11">
        <f>IF(AND(P204=1,SUMIFS(Categories!$AA$5:$AA$11,Categories!$A$5:$A$11,B204)&gt;0),Q204/SUMIFS(Categories!$AA$5:$AA$11,Categories!$A$5:$A$11,B204),0)</f>
        <v/>
      </c>
      <c r="S204" s="12">
        <f>R204*SUMIFS(Categories!$AB$5:$AB$11,Categories!$A$5:$A$11,B204)</f>
        <v/>
      </c>
      <c r="T204" s="12">
        <f>S204*J204</f>
        <v/>
      </c>
      <c r="U204" s="12">
        <f>IF(T204&lt;=0,0,(rate_below/100)*MIN(T204,MAX(0,ceiling-D204))+(rate_above/100)*(T204-MIN(T204,MAX(0,ceiling-D204))))</f>
        <v/>
      </c>
      <c r="V204" s="12">
        <f>T204+U204</f>
        <v/>
      </c>
      <c r="W204" s="13">
        <f>IF(AND(C204="F",M204&lt;O204,SUMIFS(Categories!$AH$5:$AH$11,Categories!$A$5:$A$11,B204)=1),1,0)</f>
        <v/>
      </c>
      <c r="X204" s="12">
        <f>IF(W204=1,O204-M204,0)</f>
        <v/>
      </c>
      <c r="Y204" s="11">
        <f>IF(AND(W204=1,SUMIFS(Categories!$AI$5:$AI$11,Categories!$A$5:$A$11,B204)&gt;0),X204/SUMIFS(Categories!$AI$5:$AI$11,Categories!$A$5:$A$11,B204),0)</f>
        <v/>
      </c>
      <c r="Z204" s="12">
        <f>Y204*SUMIFS(Categories!$AJ$5:$AJ$11,Categories!$A$5:$A$11,B204)</f>
        <v/>
      </c>
      <c r="AA204" s="12">
        <f>Z204*J204</f>
        <v/>
      </c>
      <c r="AB204" s="12">
        <f>IF(AA204&lt;=0,0,(rate_below/100)*MIN(AA204,MAX(0,ceiling-D204))+(rate_above/100)*(AA204-MIN(AA204,MAX(0,ceiling-D204))))</f>
        <v/>
      </c>
      <c r="AC204" s="12">
        <f>AA204+AB204</f>
        <v/>
      </c>
      <c r="AD204" s="13">
        <f>SUMPRODUCT(($B$5:$B$216=B204)*($M$5:$M$216&lt;M204))+SUMPRODUCT(($B$5:$B$216=B204)*($M$5:$M$216=M204)*(ROW($M$5:$M$216)&lt;ROW(M204)))+1</f>
        <v/>
      </c>
      <c r="AE204" s="13">
        <f>COUNTIF($B$5:$B$216,B204)</f>
        <v/>
      </c>
      <c r="AF204" s="13">
        <f>SUMPRODUCT(($B$5:$B$216=B204)*($C$5:$C$216=C204)*($M$5:$M$216&lt;M204))+SUMPRODUCT(($B$5:$B$216=B204)*($C$5:$C$216=C204)*($M$5:$M$216=M204)*(ROW($M$5:$M$216)&lt;ROW(M204)))+1</f>
        <v/>
      </c>
      <c r="AG204" s="13">
        <f>COUNTIFS($B$5:$B$216,B204,$C$5:$C$216,C204)</f>
        <v/>
      </c>
    </row>
    <row r="205">
      <c r="A205" s="9" t="inlineStr">
        <is>
          <t>E201</t>
        </is>
      </c>
      <c r="B205" s="9" t="inlineStr">
        <is>
          <t>Sales</t>
        </is>
      </c>
      <c r="C205" s="9" t="inlineStr">
        <is>
          <t>F</t>
        </is>
      </c>
      <c r="D205" s="10" t="n">
        <v>76546.62</v>
      </c>
      <c r="E205" s="10" t="n">
        <v>9951.059999999999</v>
      </c>
      <c r="F205" s="9" t="n">
        <v>7.3</v>
      </c>
      <c r="G205" s="9" t="n">
        <v>4</v>
      </c>
      <c r="H205" s="9" t="n">
        <v>1</v>
      </c>
      <c r="I205" s="9" t="n">
        <v>12</v>
      </c>
      <c r="J205" s="11">
        <f>H205*(I205/12)</f>
        <v/>
      </c>
      <c r="K205" s="12">
        <f>D205/J205</f>
        <v/>
      </c>
      <c r="L205" s="12">
        <f>E205/J205</f>
        <v/>
      </c>
      <c r="M205" s="12">
        <f>K205+L205</f>
        <v/>
      </c>
      <c r="N205" s="12">
        <f>D205+E205</f>
        <v/>
      </c>
      <c r="O205" s="12">
        <f>(SUMIFS($M$5:$M$216,$B$5:$B$216,B205,$AD$5:$AD$216,INT((AE205+1)/2))+SUMIFS($M$5:$M$216,$B$5:$B$216,B205,$AD$5:$AD$216,INT(AE205/2)+1))/2</f>
        <v/>
      </c>
      <c r="P205" s="13">
        <f>IF(AND(C205="F",M205&lt;O205,SUMIFS(Categories!$Z$5:$Z$11,Categories!$A$5:$A$11,B205)=1),1,0)</f>
        <v/>
      </c>
      <c r="Q205" s="12">
        <f>IF(P205=1,O205-M205,0)</f>
        <v/>
      </c>
      <c r="R205" s="11">
        <f>IF(AND(P205=1,SUMIFS(Categories!$AA$5:$AA$11,Categories!$A$5:$A$11,B205)&gt;0),Q205/SUMIFS(Categories!$AA$5:$AA$11,Categories!$A$5:$A$11,B205),0)</f>
        <v/>
      </c>
      <c r="S205" s="12">
        <f>R205*SUMIFS(Categories!$AB$5:$AB$11,Categories!$A$5:$A$11,B205)</f>
        <v/>
      </c>
      <c r="T205" s="12">
        <f>S205*J205</f>
        <v/>
      </c>
      <c r="U205" s="12">
        <f>IF(T205&lt;=0,0,(rate_below/100)*MIN(T205,MAX(0,ceiling-D205))+(rate_above/100)*(T205-MIN(T205,MAX(0,ceiling-D205))))</f>
        <v/>
      </c>
      <c r="V205" s="12">
        <f>T205+U205</f>
        <v/>
      </c>
      <c r="W205" s="13">
        <f>IF(AND(C205="F",M205&lt;O205,SUMIFS(Categories!$AH$5:$AH$11,Categories!$A$5:$A$11,B205)=1),1,0)</f>
        <v/>
      </c>
      <c r="X205" s="12">
        <f>IF(W205=1,O205-M205,0)</f>
        <v/>
      </c>
      <c r="Y205" s="11">
        <f>IF(AND(W205=1,SUMIFS(Categories!$AI$5:$AI$11,Categories!$A$5:$A$11,B205)&gt;0),X205/SUMIFS(Categories!$AI$5:$AI$11,Categories!$A$5:$A$11,B205),0)</f>
        <v/>
      </c>
      <c r="Z205" s="12">
        <f>Y205*SUMIFS(Categories!$AJ$5:$AJ$11,Categories!$A$5:$A$11,B205)</f>
        <v/>
      </c>
      <c r="AA205" s="12">
        <f>Z205*J205</f>
        <v/>
      </c>
      <c r="AB205" s="12">
        <f>IF(AA205&lt;=0,0,(rate_below/100)*MIN(AA205,MAX(0,ceiling-D205))+(rate_above/100)*(AA205-MIN(AA205,MAX(0,ceiling-D205))))</f>
        <v/>
      </c>
      <c r="AC205" s="12">
        <f>AA205+AB205</f>
        <v/>
      </c>
      <c r="AD205" s="13">
        <f>SUMPRODUCT(($B$5:$B$216=B205)*($M$5:$M$216&lt;M205))+SUMPRODUCT(($B$5:$B$216=B205)*($M$5:$M$216=M205)*(ROW($M$5:$M$216)&lt;ROW(M205)))+1</f>
        <v/>
      </c>
      <c r="AE205" s="13">
        <f>COUNTIF($B$5:$B$216,B205)</f>
        <v/>
      </c>
      <c r="AF205" s="13">
        <f>SUMPRODUCT(($B$5:$B$216=B205)*($C$5:$C$216=C205)*($M$5:$M$216&lt;M205))+SUMPRODUCT(($B$5:$B$216=B205)*($C$5:$C$216=C205)*($M$5:$M$216=M205)*(ROW($M$5:$M$216)&lt;ROW(M205)))+1</f>
        <v/>
      </c>
      <c r="AG205" s="13">
        <f>COUNTIFS($B$5:$B$216,B205,$C$5:$C$216,C205)</f>
        <v/>
      </c>
    </row>
    <row r="206">
      <c r="A206" s="9" t="inlineStr">
        <is>
          <t>E202</t>
        </is>
      </c>
      <c r="B206" s="9" t="inlineStr">
        <is>
          <t>Sales</t>
        </is>
      </c>
      <c r="C206" s="9" t="inlineStr">
        <is>
          <t>M</t>
        </is>
      </c>
      <c r="D206" s="10" t="n">
        <v>76546.62</v>
      </c>
      <c r="E206" s="10" t="n">
        <v>19902.12</v>
      </c>
      <c r="F206" s="9" t="n">
        <v>7.3</v>
      </c>
      <c r="G206" s="9" t="n">
        <v>4</v>
      </c>
      <c r="H206" s="9" t="n">
        <v>1</v>
      </c>
      <c r="I206" s="9" t="n">
        <v>12</v>
      </c>
      <c r="J206" s="11">
        <f>H206*(I206/12)</f>
        <v/>
      </c>
      <c r="K206" s="12">
        <f>D206/J206</f>
        <v/>
      </c>
      <c r="L206" s="12">
        <f>E206/J206</f>
        <v/>
      </c>
      <c r="M206" s="12">
        <f>K206+L206</f>
        <v/>
      </c>
      <c r="N206" s="12">
        <f>D206+E206</f>
        <v/>
      </c>
      <c r="O206" s="12">
        <f>(SUMIFS($M$5:$M$216,$B$5:$B$216,B206,$AD$5:$AD$216,INT((AE206+1)/2))+SUMIFS($M$5:$M$216,$B$5:$B$216,B206,$AD$5:$AD$216,INT(AE206/2)+1))/2</f>
        <v/>
      </c>
      <c r="P206" s="13">
        <f>IF(AND(C206="F",M206&lt;O206,SUMIFS(Categories!$Z$5:$Z$11,Categories!$A$5:$A$11,B206)=1),1,0)</f>
        <v/>
      </c>
      <c r="Q206" s="12">
        <f>IF(P206=1,O206-M206,0)</f>
        <v/>
      </c>
      <c r="R206" s="11">
        <f>IF(AND(P206=1,SUMIFS(Categories!$AA$5:$AA$11,Categories!$A$5:$A$11,B206)&gt;0),Q206/SUMIFS(Categories!$AA$5:$AA$11,Categories!$A$5:$A$11,B206),0)</f>
        <v/>
      </c>
      <c r="S206" s="12">
        <f>R206*SUMIFS(Categories!$AB$5:$AB$11,Categories!$A$5:$A$11,B206)</f>
        <v/>
      </c>
      <c r="T206" s="12">
        <f>S206*J206</f>
        <v/>
      </c>
      <c r="U206" s="12">
        <f>IF(T206&lt;=0,0,(rate_below/100)*MIN(T206,MAX(0,ceiling-D206))+(rate_above/100)*(T206-MIN(T206,MAX(0,ceiling-D206))))</f>
        <v/>
      </c>
      <c r="V206" s="12">
        <f>T206+U206</f>
        <v/>
      </c>
      <c r="W206" s="13">
        <f>IF(AND(C206="F",M206&lt;O206,SUMIFS(Categories!$AH$5:$AH$11,Categories!$A$5:$A$11,B206)=1),1,0)</f>
        <v/>
      </c>
      <c r="X206" s="12">
        <f>IF(W206=1,O206-M206,0)</f>
        <v/>
      </c>
      <c r="Y206" s="11">
        <f>IF(AND(W206=1,SUMIFS(Categories!$AI$5:$AI$11,Categories!$A$5:$A$11,B206)&gt;0),X206/SUMIFS(Categories!$AI$5:$AI$11,Categories!$A$5:$A$11,B206),0)</f>
        <v/>
      </c>
      <c r="Z206" s="12">
        <f>Y206*SUMIFS(Categories!$AJ$5:$AJ$11,Categories!$A$5:$A$11,B206)</f>
        <v/>
      </c>
      <c r="AA206" s="12">
        <f>Z206*J206</f>
        <v/>
      </c>
      <c r="AB206" s="12">
        <f>IF(AA206&lt;=0,0,(rate_below/100)*MIN(AA206,MAX(0,ceiling-D206))+(rate_above/100)*(AA206-MIN(AA206,MAX(0,ceiling-D206))))</f>
        <v/>
      </c>
      <c r="AC206" s="12">
        <f>AA206+AB206</f>
        <v/>
      </c>
      <c r="AD206" s="13">
        <f>SUMPRODUCT(($B$5:$B$216=B206)*($M$5:$M$216&lt;M206))+SUMPRODUCT(($B$5:$B$216=B206)*($M$5:$M$216=M206)*(ROW($M$5:$M$216)&lt;ROW(M206)))+1</f>
        <v/>
      </c>
      <c r="AE206" s="13">
        <f>COUNTIF($B$5:$B$216,B206)</f>
        <v/>
      </c>
      <c r="AF206" s="13">
        <f>SUMPRODUCT(($B$5:$B$216=B206)*($C$5:$C$216=C206)*($M$5:$M$216&lt;M206))+SUMPRODUCT(($B$5:$B$216=B206)*($C$5:$C$216=C206)*($M$5:$M$216=M206)*(ROW($M$5:$M$216)&lt;ROW(M206)))+1</f>
        <v/>
      </c>
      <c r="AG206" s="13">
        <f>COUNTIFS($B$5:$B$216,B206,$C$5:$C$216,C206)</f>
        <v/>
      </c>
    </row>
    <row r="207">
      <c r="A207" s="9" t="inlineStr">
        <is>
          <t>E203</t>
        </is>
      </c>
      <c r="B207" s="9" t="inlineStr">
        <is>
          <t>Sales</t>
        </is>
      </c>
      <c r="C207" s="9" t="inlineStr">
        <is>
          <t>F</t>
        </is>
      </c>
      <c r="D207" s="10" t="n">
        <v>99135.64999999999</v>
      </c>
      <c r="E207" s="10" t="n">
        <v>12887.63</v>
      </c>
      <c r="F207" s="9" t="n">
        <v>9.699999999999999</v>
      </c>
      <c r="G207" s="9" t="n">
        <v>6</v>
      </c>
      <c r="H207" s="9" t="n">
        <v>1</v>
      </c>
      <c r="I207" s="9" t="n">
        <v>12</v>
      </c>
      <c r="J207" s="11">
        <f>H207*(I207/12)</f>
        <v/>
      </c>
      <c r="K207" s="12">
        <f>D207/J207</f>
        <v/>
      </c>
      <c r="L207" s="12">
        <f>E207/J207</f>
        <v/>
      </c>
      <c r="M207" s="12">
        <f>K207+L207</f>
        <v/>
      </c>
      <c r="N207" s="12">
        <f>D207+E207</f>
        <v/>
      </c>
      <c r="O207" s="12">
        <f>(SUMIFS($M$5:$M$216,$B$5:$B$216,B207,$AD$5:$AD$216,INT((AE207+1)/2))+SUMIFS($M$5:$M$216,$B$5:$B$216,B207,$AD$5:$AD$216,INT(AE207/2)+1))/2</f>
        <v/>
      </c>
      <c r="P207" s="13">
        <f>IF(AND(C207="F",M207&lt;O207,SUMIFS(Categories!$Z$5:$Z$11,Categories!$A$5:$A$11,B207)=1),1,0)</f>
        <v/>
      </c>
      <c r="Q207" s="12">
        <f>IF(P207=1,O207-M207,0)</f>
        <v/>
      </c>
      <c r="R207" s="11">
        <f>IF(AND(P207=1,SUMIFS(Categories!$AA$5:$AA$11,Categories!$A$5:$A$11,B207)&gt;0),Q207/SUMIFS(Categories!$AA$5:$AA$11,Categories!$A$5:$A$11,B207),0)</f>
        <v/>
      </c>
      <c r="S207" s="12">
        <f>R207*SUMIFS(Categories!$AB$5:$AB$11,Categories!$A$5:$A$11,B207)</f>
        <v/>
      </c>
      <c r="T207" s="12">
        <f>S207*J207</f>
        <v/>
      </c>
      <c r="U207" s="12">
        <f>IF(T207&lt;=0,0,(rate_below/100)*MIN(T207,MAX(0,ceiling-D207))+(rate_above/100)*(T207-MIN(T207,MAX(0,ceiling-D207))))</f>
        <v/>
      </c>
      <c r="V207" s="12">
        <f>T207+U207</f>
        <v/>
      </c>
      <c r="W207" s="13">
        <f>IF(AND(C207="F",M207&lt;O207,SUMIFS(Categories!$AH$5:$AH$11,Categories!$A$5:$A$11,B207)=1),1,0)</f>
        <v/>
      </c>
      <c r="X207" s="12">
        <f>IF(W207=1,O207-M207,0)</f>
        <v/>
      </c>
      <c r="Y207" s="11">
        <f>IF(AND(W207=1,SUMIFS(Categories!$AI$5:$AI$11,Categories!$A$5:$A$11,B207)&gt;0),X207/SUMIFS(Categories!$AI$5:$AI$11,Categories!$A$5:$A$11,B207),0)</f>
        <v/>
      </c>
      <c r="Z207" s="12">
        <f>Y207*SUMIFS(Categories!$AJ$5:$AJ$11,Categories!$A$5:$A$11,B207)</f>
        <v/>
      </c>
      <c r="AA207" s="12">
        <f>Z207*J207</f>
        <v/>
      </c>
      <c r="AB207" s="12">
        <f>IF(AA207&lt;=0,0,(rate_below/100)*MIN(AA207,MAX(0,ceiling-D207))+(rate_above/100)*(AA207-MIN(AA207,MAX(0,ceiling-D207))))</f>
        <v/>
      </c>
      <c r="AC207" s="12">
        <f>AA207+AB207</f>
        <v/>
      </c>
      <c r="AD207" s="13">
        <f>SUMPRODUCT(($B$5:$B$216=B207)*($M$5:$M$216&lt;M207))+SUMPRODUCT(($B$5:$B$216=B207)*($M$5:$M$216=M207)*(ROW($M$5:$M$216)&lt;ROW(M207)))+1</f>
        <v/>
      </c>
      <c r="AE207" s="13">
        <f>COUNTIF($B$5:$B$216,B207)</f>
        <v/>
      </c>
      <c r="AF207" s="13">
        <f>SUMPRODUCT(($B$5:$B$216=B207)*($C$5:$C$216=C207)*($M$5:$M$216&lt;M207))+SUMPRODUCT(($B$5:$B$216=B207)*($C$5:$C$216=C207)*($M$5:$M$216=M207)*(ROW($M$5:$M$216)&lt;ROW(M207)))+1</f>
        <v/>
      </c>
      <c r="AG207" s="13">
        <f>COUNTIFS($B$5:$B$216,B207,$C$5:$C$216,C207)</f>
        <v/>
      </c>
    </row>
    <row r="208">
      <c r="A208" s="9" t="inlineStr">
        <is>
          <t>E204</t>
        </is>
      </c>
      <c r="B208" s="9" t="inlineStr">
        <is>
          <t>Sales</t>
        </is>
      </c>
      <c r="C208" s="9" t="inlineStr">
        <is>
          <t>M</t>
        </is>
      </c>
      <c r="D208" s="10" t="n">
        <v>99135.64999999999</v>
      </c>
      <c r="E208" s="10" t="n">
        <v>25775.27</v>
      </c>
      <c r="F208" s="9" t="n">
        <v>9.699999999999999</v>
      </c>
      <c r="G208" s="9" t="n">
        <v>6</v>
      </c>
      <c r="H208" s="9" t="n">
        <v>1</v>
      </c>
      <c r="I208" s="9" t="n">
        <v>12</v>
      </c>
      <c r="J208" s="11">
        <f>H208*(I208/12)</f>
        <v/>
      </c>
      <c r="K208" s="12">
        <f>D208/J208</f>
        <v/>
      </c>
      <c r="L208" s="12">
        <f>E208/J208</f>
        <v/>
      </c>
      <c r="M208" s="12">
        <f>K208+L208</f>
        <v/>
      </c>
      <c r="N208" s="12">
        <f>D208+E208</f>
        <v/>
      </c>
      <c r="O208" s="12">
        <f>(SUMIFS($M$5:$M$216,$B$5:$B$216,B208,$AD$5:$AD$216,INT((AE208+1)/2))+SUMIFS($M$5:$M$216,$B$5:$B$216,B208,$AD$5:$AD$216,INT(AE208/2)+1))/2</f>
        <v/>
      </c>
      <c r="P208" s="13">
        <f>IF(AND(C208="F",M208&lt;O208,SUMIFS(Categories!$Z$5:$Z$11,Categories!$A$5:$A$11,B208)=1),1,0)</f>
        <v/>
      </c>
      <c r="Q208" s="12">
        <f>IF(P208=1,O208-M208,0)</f>
        <v/>
      </c>
      <c r="R208" s="11">
        <f>IF(AND(P208=1,SUMIFS(Categories!$AA$5:$AA$11,Categories!$A$5:$A$11,B208)&gt;0),Q208/SUMIFS(Categories!$AA$5:$AA$11,Categories!$A$5:$A$11,B208),0)</f>
        <v/>
      </c>
      <c r="S208" s="12">
        <f>R208*SUMIFS(Categories!$AB$5:$AB$11,Categories!$A$5:$A$11,B208)</f>
        <v/>
      </c>
      <c r="T208" s="12">
        <f>S208*J208</f>
        <v/>
      </c>
      <c r="U208" s="12">
        <f>IF(T208&lt;=0,0,(rate_below/100)*MIN(T208,MAX(0,ceiling-D208))+(rate_above/100)*(T208-MIN(T208,MAX(0,ceiling-D208))))</f>
        <v/>
      </c>
      <c r="V208" s="12">
        <f>T208+U208</f>
        <v/>
      </c>
      <c r="W208" s="13">
        <f>IF(AND(C208="F",M208&lt;O208,SUMIFS(Categories!$AH$5:$AH$11,Categories!$A$5:$A$11,B208)=1),1,0)</f>
        <v/>
      </c>
      <c r="X208" s="12">
        <f>IF(W208=1,O208-M208,0)</f>
        <v/>
      </c>
      <c r="Y208" s="11">
        <f>IF(AND(W208=1,SUMIFS(Categories!$AI$5:$AI$11,Categories!$A$5:$A$11,B208)&gt;0),X208/SUMIFS(Categories!$AI$5:$AI$11,Categories!$A$5:$A$11,B208),0)</f>
        <v/>
      </c>
      <c r="Z208" s="12">
        <f>Y208*SUMIFS(Categories!$AJ$5:$AJ$11,Categories!$A$5:$A$11,B208)</f>
        <v/>
      </c>
      <c r="AA208" s="12">
        <f>Z208*J208</f>
        <v/>
      </c>
      <c r="AB208" s="12">
        <f>IF(AA208&lt;=0,0,(rate_below/100)*MIN(AA208,MAX(0,ceiling-D208))+(rate_above/100)*(AA208-MIN(AA208,MAX(0,ceiling-D208))))</f>
        <v/>
      </c>
      <c r="AC208" s="12">
        <f>AA208+AB208</f>
        <v/>
      </c>
      <c r="AD208" s="13">
        <f>SUMPRODUCT(($B$5:$B$216=B208)*($M$5:$M$216&lt;M208))+SUMPRODUCT(($B$5:$B$216=B208)*($M$5:$M$216=M208)*(ROW($M$5:$M$216)&lt;ROW(M208)))+1</f>
        <v/>
      </c>
      <c r="AE208" s="13">
        <f>COUNTIF($B$5:$B$216,B208)</f>
        <v/>
      </c>
      <c r="AF208" s="13">
        <f>SUMPRODUCT(($B$5:$B$216=B208)*($C$5:$C$216=C208)*($M$5:$M$216&lt;M208))+SUMPRODUCT(($B$5:$B$216=B208)*($C$5:$C$216=C208)*($M$5:$M$216=M208)*(ROW($M$5:$M$216)&lt;ROW(M208)))+1</f>
        <v/>
      </c>
      <c r="AG208" s="13">
        <f>COUNTIFS($B$5:$B$216,B208,$C$5:$C$216,C208)</f>
        <v/>
      </c>
    </row>
    <row r="209">
      <c r="A209" s="9" t="inlineStr">
        <is>
          <t>E205</t>
        </is>
      </c>
      <c r="B209" s="9" t="inlineStr">
        <is>
          <t>Sales</t>
        </is>
      </c>
      <c r="C209" s="9" t="inlineStr">
        <is>
          <t>F</t>
        </is>
      </c>
      <c r="D209" s="10" t="n">
        <v>86311.75</v>
      </c>
      <c r="E209" s="10" t="n">
        <v>11220.53</v>
      </c>
      <c r="F209" s="9" t="n">
        <v>7.8</v>
      </c>
      <c r="G209" s="9" t="n">
        <v>5</v>
      </c>
      <c r="H209" s="9" t="n">
        <v>1</v>
      </c>
      <c r="I209" s="9" t="n">
        <v>12</v>
      </c>
      <c r="J209" s="11">
        <f>H209*(I209/12)</f>
        <v/>
      </c>
      <c r="K209" s="12">
        <f>D209/J209</f>
        <v/>
      </c>
      <c r="L209" s="12">
        <f>E209/J209</f>
        <v/>
      </c>
      <c r="M209" s="12">
        <f>K209+L209</f>
        <v/>
      </c>
      <c r="N209" s="12">
        <f>D209+E209</f>
        <v/>
      </c>
      <c r="O209" s="12">
        <f>(SUMIFS($M$5:$M$216,$B$5:$B$216,B209,$AD$5:$AD$216,INT((AE209+1)/2))+SUMIFS($M$5:$M$216,$B$5:$B$216,B209,$AD$5:$AD$216,INT(AE209/2)+1))/2</f>
        <v/>
      </c>
      <c r="P209" s="13">
        <f>IF(AND(C209="F",M209&lt;O209,SUMIFS(Categories!$Z$5:$Z$11,Categories!$A$5:$A$11,B209)=1),1,0)</f>
        <v/>
      </c>
      <c r="Q209" s="12">
        <f>IF(P209=1,O209-M209,0)</f>
        <v/>
      </c>
      <c r="R209" s="11">
        <f>IF(AND(P209=1,SUMIFS(Categories!$AA$5:$AA$11,Categories!$A$5:$A$11,B209)&gt;0),Q209/SUMIFS(Categories!$AA$5:$AA$11,Categories!$A$5:$A$11,B209),0)</f>
        <v/>
      </c>
      <c r="S209" s="12">
        <f>R209*SUMIFS(Categories!$AB$5:$AB$11,Categories!$A$5:$A$11,B209)</f>
        <v/>
      </c>
      <c r="T209" s="12">
        <f>S209*J209</f>
        <v/>
      </c>
      <c r="U209" s="12">
        <f>IF(T209&lt;=0,0,(rate_below/100)*MIN(T209,MAX(0,ceiling-D209))+(rate_above/100)*(T209-MIN(T209,MAX(0,ceiling-D209))))</f>
        <v/>
      </c>
      <c r="V209" s="12">
        <f>T209+U209</f>
        <v/>
      </c>
      <c r="W209" s="13">
        <f>IF(AND(C209="F",M209&lt;O209,SUMIFS(Categories!$AH$5:$AH$11,Categories!$A$5:$A$11,B209)=1),1,0)</f>
        <v/>
      </c>
      <c r="X209" s="12">
        <f>IF(W209=1,O209-M209,0)</f>
        <v/>
      </c>
      <c r="Y209" s="11">
        <f>IF(AND(W209=1,SUMIFS(Categories!$AI$5:$AI$11,Categories!$A$5:$A$11,B209)&gt;0),X209/SUMIFS(Categories!$AI$5:$AI$11,Categories!$A$5:$A$11,B209),0)</f>
        <v/>
      </c>
      <c r="Z209" s="12">
        <f>Y209*SUMIFS(Categories!$AJ$5:$AJ$11,Categories!$A$5:$A$11,B209)</f>
        <v/>
      </c>
      <c r="AA209" s="12">
        <f>Z209*J209</f>
        <v/>
      </c>
      <c r="AB209" s="12">
        <f>IF(AA209&lt;=0,0,(rate_below/100)*MIN(AA209,MAX(0,ceiling-D209))+(rate_above/100)*(AA209-MIN(AA209,MAX(0,ceiling-D209))))</f>
        <v/>
      </c>
      <c r="AC209" s="12">
        <f>AA209+AB209</f>
        <v/>
      </c>
      <c r="AD209" s="13">
        <f>SUMPRODUCT(($B$5:$B$216=B209)*($M$5:$M$216&lt;M209))+SUMPRODUCT(($B$5:$B$216=B209)*($M$5:$M$216=M209)*(ROW($M$5:$M$216)&lt;ROW(M209)))+1</f>
        <v/>
      </c>
      <c r="AE209" s="13">
        <f>COUNTIF($B$5:$B$216,B209)</f>
        <v/>
      </c>
      <c r="AF209" s="13">
        <f>SUMPRODUCT(($B$5:$B$216=B209)*($C$5:$C$216=C209)*($M$5:$M$216&lt;M209))+SUMPRODUCT(($B$5:$B$216=B209)*($C$5:$C$216=C209)*($M$5:$M$216=M209)*(ROW($M$5:$M$216)&lt;ROW(M209)))+1</f>
        <v/>
      </c>
      <c r="AG209" s="13">
        <f>COUNTIFS($B$5:$B$216,B209,$C$5:$C$216,C209)</f>
        <v/>
      </c>
    </row>
    <row r="210">
      <c r="A210" s="9" t="inlineStr">
        <is>
          <t>E206</t>
        </is>
      </c>
      <c r="B210" s="9" t="inlineStr">
        <is>
          <t>Sales</t>
        </is>
      </c>
      <c r="C210" s="9" t="inlineStr">
        <is>
          <t>M</t>
        </is>
      </c>
      <c r="D210" s="10" t="n">
        <v>86311.75</v>
      </c>
      <c r="E210" s="10" t="n">
        <v>22441.06</v>
      </c>
      <c r="F210" s="9" t="n">
        <v>7.8</v>
      </c>
      <c r="G210" s="9" t="n">
        <v>5</v>
      </c>
      <c r="H210" s="9" t="n">
        <v>1</v>
      </c>
      <c r="I210" s="9" t="n">
        <v>12</v>
      </c>
      <c r="J210" s="11">
        <f>H210*(I210/12)</f>
        <v/>
      </c>
      <c r="K210" s="12">
        <f>D210/J210</f>
        <v/>
      </c>
      <c r="L210" s="12">
        <f>E210/J210</f>
        <v/>
      </c>
      <c r="M210" s="12">
        <f>K210+L210</f>
        <v/>
      </c>
      <c r="N210" s="12">
        <f>D210+E210</f>
        <v/>
      </c>
      <c r="O210" s="12">
        <f>(SUMIFS($M$5:$M$216,$B$5:$B$216,B210,$AD$5:$AD$216,INT((AE210+1)/2))+SUMIFS($M$5:$M$216,$B$5:$B$216,B210,$AD$5:$AD$216,INT(AE210/2)+1))/2</f>
        <v/>
      </c>
      <c r="P210" s="13">
        <f>IF(AND(C210="F",M210&lt;O210,SUMIFS(Categories!$Z$5:$Z$11,Categories!$A$5:$A$11,B210)=1),1,0)</f>
        <v/>
      </c>
      <c r="Q210" s="12">
        <f>IF(P210=1,O210-M210,0)</f>
        <v/>
      </c>
      <c r="R210" s="11">
        <f>IF(AND(P210=1,SUMIFS(Categories!$AA$5:$AA$11,Categories!$A$5:$A$11,B210)&gt;0),Q210/SUMIFS(Categories!$AA$5:$AA$11,Categories!$A$5:$A$11,B210),0)</f>
        <v/>
      </c>
      <c r="S210" s="12">
        <f>R210*SUMIFS(Categories!$AB$5:$AB$11,Categories!$A$5:$A$11,B210)</f>
        <v/>
      </c>
      <c r="T210" s="12">
        <f>S210*J210</f>
        <v/>
      </c>
      <c r="U210" s="12">
        <f>IF(T210&lt;=0,0,(rate_below/100)*MIN(T210,MAX(0,ceiling-D210))+(rate_above/100)*(T210-MIN(T210,MAX(0,ceiling-D210))))</f>
        <v/>
      </c>
      <c r="V210" s="12">
        <f>T210+U210</f>
        <v/>
      </c>
      <c r="W210" s="13">
        <f>IF(AND(C210="F",M210&lt;O210,SUMIFS(Categories!$AH$5:$AH$11,Categories!$A$5:$A$11,B210)=1),1,0)</f>
        <v/>
      </c>
      <c r="X210" s="12">
        <f>IF(W210=1,O210-M210,0)</f>
        <v/>
      </c>
      <c r="Y210" s="11">
        <f>IF(AND(W210=1,SUMIFS(Categories!$AI$5:$AI$11,Categories!$A$5:$A$11,B210)&gt;0),X210/SUMIFS(Categories!$AI$5:$AI$11,Categories!$A$5:$A$11,B210),0)</f>
        <v/>
      </c>
      <c r="Z210" s="12">
        <f>Y210*SUMIFS(Categories!$AJ$5:$AJ$11,Categories!$A$5:$A$11,B210)</f>
        <v/>
      </c>
      <c r="AA210" s="12">
        <f>Z210*J210</f>
        <v/>
      </c>
      <c r="AB210" s="12">
        <f>IF(AA210&lt;=0,0,(rate_below/100)*MIN(AA210,MAX(0,ceiling-D210))+(rate_above/100)*(AA210-MIN(AA210,MAX(0,ceiling-D210))))</f>
        <v/>
      </c>
      <c r="AC210" s="12">
        <f>AA210+AB210</f>
        <v/>
      </c>
      <c r="AD210" s="13">
        <f>SUMPRODUCT(($B$5:$B$216=B210)*($M$5:$M$216&lt;M210))+SUMPRODUCT(($B$5:$B$216=B210)*($M$5:$M$216=M210)*(ROW($M$5:$M$216)&lt;ROW(M210)))+1</f>
        <v/>
      </c>
      <c r="AE210" s="13">
        <f>COUNTIF($B$5:$B$216,B210)</f>
        <v/>
      </c>
      <c r="AF210" s="13">
        <f>SUMPRODUCT(($B$5:$B$216=B210)*($C$5:$C$216=C210)*($M$5:$M$216&lt;M210))+SUMPRODUCT(($B$5:$B$216=B210)*($C$5:$C$216=C210)*($M$5:$M$216=M210)*(ROW($M$5:$M$216)&lt;ROW(M210)))+1</f>
        <v/>
      </c>
      <c r="AG210" s="13">
        <f>COUNTIFS($B$5:$B$216,B210,$C$5:$C$216,C210)</f>
        <v/>
      </c>
    </row>
    <row r="211">
      <c r="A211" s="9" t="inlineStr">
        <is>
          <t>E207</t>
        </is>
      </c>
      <c r="B211" s="9" t="inlineStr">
        <is>
          <t>Sales</t>
        </is>
      </c>
      <c r="C211" s="9" t="inlineStr">
        <is>
          <t>F</t>
        </is>
      </c>
      <c r="D211" s="10" t="n">
        <v>74166.39999999999</v>
      </c>
      <c r="E211" s="10" t="n">
        <v>9641.629999999999</v>
      </c>
      <c r="F211" s="9" t="n">
        <v>5</v>
      </c>
      <c r="G211" s="9" t="n">
        <v>4</v>
      </c>
      <c r="H211" s="9" t="n">
        <v>1</v>
      </c>
      <c r="I211" s="9" t="n">
        <v>12</v>
      </c>
      <c r="J211" s="11">
        <f>H211*(I211/12)</f>
        <v/>
      </c>
      <c r="K211" s="12">
        <f>D211/J211</f>
        <v/>
      </c>
      <c r="L211" s="12">
        <f>E211/J211</f>
        <v/>
      </c>
      <c r="M211" s="12">
        <f>K211+L211</f>
        <v/>
      </c>
      <c r="N211" s="12">
        <f>D211+E211</f>
        <v/>
      </c>
      <c r="O211" s="12">
        <f>(SUMIFS($M$5:$M$216,$B$5:$B$216,B211,$AD$5:$AD$216,INT((AE211+1)/2))+SUMIFS($M$5:$M$216,$B$5:$B$216,B211,$AD$5:$AD$216,INT(AE211/2)+1))/2</f>
        <v/>
      </c>
      <c r="P211" s="13">
        <f>IF(AND(C211="F",M211&lt;O211,SUMIFS(Categories!$Z$5:$Z$11,Categories!$A$5:$A$11,B211)=1),1,0)</f>
        <v/>
      </c>
      <c r="Q211" s="12">
        <f>IF(P211=1,O211-M211,0)</f>
        <v/>
      </c>
      <c r="R211" s="11">
        <f>IF(AND(P211=1,SUMIFS(Categories!$AA$5:$AA$11,Categories!$A$5:$A$11,B211)&gt;0),Q211/SUMIFS(Categories!$AA$5:$AA$11,Categories!$A$5:$A$11,B211),0)</f>
        <v/>
      </c>
      <c r="S211" s="12">
        <f>R211*SUMIFS(Categories!$AB$5:$AB$11,Categories!$A$5:$A$11,B211)</f>
        <v/>
      </c>
      <c r="T211" s="12">
        <f>S211*J211</f>
        <v/>
      </c>
      <c r="U211" s="12">
        <f>IF(T211&lt;=0,0,(rate_below/100)*MIN(T211,MAX(0,ceiling-D211))+(rate_above/100)*(T211-MIN(T211,MAX(0,ceiling-D211))))</f>
        <v/>
      </c>
      <c r="V211" s="12">
        <f>T211+U211</f>
        <v/>
      </c>
      <c r="W211" s="13">
        <f>IF(AND(C211="F",M211&lt;O211,SUMIFS(Categories!$AH$5:$AH$11,Categories!$A$5:$A$11,B211)=1),1,0)</f>
        <v/>
      </c>
      <c r="X211" s="12">
        <f>IF(W211=1,O211-M211,0)</f>
        <v/>
      </c>
      <c r="Y211" s="11">
        <f>IF(AND(W211=1,SUMIFS(Categories!$AI$5:$AI$11,Categories!$A$5:$A$11,B211)&gt;0),X211/SUMIFS(Categories!$AI$5:$AI$11,Categories!$A$5:$A$11,B211),0)</f>
        <v/>
      </c>
      <c r="Z211" s="12">
        <f>Y211*SUMIFS(Categories!$AJ$5:$AJ$11,Categories!$A$5:$A$11,B211)</f>
        <v/>
      </c>
      <c r="AA211" s="12">
        <f>Z211*J211</f>
        <v/>
      </c>
      <c r="AB211" s="12">
        <f>IF(AA211&lt;=0,0,(rate_below/100)*MIN(AA211,MAX(0,ceiling-D211))+(rate_above/100)*(AA211-MIN(AA211,MAX(0,ceiling-D211))))</f>
        <v/>
      </c>
      <c r="AC211" s="12">
        <f>AA211+AB211</f>
        <v/>
      </c>
      <c r="AD211" s="13">
        <f>SUMPRODUCT(($B$5:$B$216=B211)*($M$5:$M$216&lt;M211))+SUMPRODUCT(($B$5:$B$216=B211)*($M$5:$M$216=M211)*(ROW($M$5:$M$216)&lt;ROW(M211)))+1</f>
        <v/>
      </c>
      <c r="AE211" s="13">
        <f>COUNTIF($B$5:$B$216,B211)</f>
        <v/>
      </c>
      <c r="AF211" s="13">
        <f>SUMPRODUCT(($B$5:$B$216=B211)*($C$5:$C$216=C211)*($M$5:$M$216&lt;M211))+SUMPRODUCT(($B$5:$B$216=B211)*($C$5:$C$216=C211)*($M$5:$M$216=M211)*(ROW($M$5:$M$216)&lt;ROW(M211)))+1</f>
        <v/>
      </c>
      <c r="AG211" s="13">
        <f>COUNTIFS($B$5:$B$216,B211,$C$5:$C$216,C211)</f>
        <v/>
      </c>
    </row>
    <row r="212">
      <c r="A212" s="9" t="inlineStr">
        <is>
          <t>E208</t>
        </is>
      </c>
      <c r="B212" s="9" t="inlineStr">
        <is>
          <t>Sales</t>
        </is>
      </c>
      <c r="C212" s="9" t="inlineStr">
        <is>
          <t>M</t>
        </is>
      </c>
      <c r="D212" s="10" t="n">
        <v>74166.39999999999</v>
      </c>
      <c r="E212" s="10" t="n">
        <v>19283.26</v>
      </c>
      <c r="F212" s="9" t="n">
        <v>5</v>
      </c>
      <c r="G212" s="9" t="n">
        <v>4</v>
      </c>
      <c r="H212" s="9" t="n">
        <v>1</v>
      </c>
      <c r="I212" s="9" t="n">
        <v>12</v>
      </c>
      <c r="J212" s="11">
        <f>H212*(I212/12)</f>
        <v/>
      </c>
      <c r="K212" s="12">
        <f>D212/J212</f>
        <v/>
      </c>
      <c r="L212" s="12">
        <f>E212/J212</f>
        <v/>
      </c>
      <c r="M212" s="12">
        <f>K212+L212</f>
        <v/>
      </c>
      <c r="N212" s="12">
        <f>D212+E212</f>
        <v/>
      </c>
      <c r="O212" s="12">
        <f>(SUMIFS($M$5:$M$216,$B$5:$B$216,B212,$AD$5:$AD$216,INT((AE212+1)/2))+SUMIFS($M$5:$M$216,$B$5:$B$216,B212,$AD$5:$AD$216,INT(AE212/2)+1))/2</f>
        <v/>
      </c>
      <c r="P212" s="13">
        <f>IF(AND(C212="F",M212&lt;O212,SUMIFS(Categories!$Z$5:$Z$11,Categories!$A$5:$A$11,B212)=1),1,0)</f>
        <v/>
      </c>
      <c r="Q212" s="12">
        <f>IF(P212=1,O212-M212,0)</f>
        <v/>
      </c>
      <c r="R212" s="11">
        <f>IF(AND(P212=1,SUMIFS(Categories!$AA$5:$AA$11,Categories!$A$5:$A$11,B212)&gt;0),Q212/SUMIFS(Categories!$AA$5:$AA$11,Categories!$A$5:$A$11,B212),0)</f>
        <v/>
      </c>
      <c r="S212" s="12">
        <f>R212*SUMIFS(Categories!$AB$5:$AB$11,Categories!$A$5:$A$11,B212)</f>
        <v/>
      </c>
      <c r="T212" s="12">
        <f>S212*J212</f>
        <v/>
      </c>
      <c r="U212" s="12">
        <f>IF(T212&lt;=0,0,(rate_below/100)*MIN(T212,MAX(0,ceiling-D212))+(rate_above/100)*(T212-MIN(T212,MAX(0,ceiling-D212))))</f>
        <v/>
      </c>
      <c r="V212" s="12">
        <f>T212+U212</f>
        <v/>
      </c>
      <c r="W212" s="13">
        <f>IF(AND(C212="F",M212&lt;O212,SUMIFS(Categories!$AH$5:$AH$11,Categories!$A$5:$A$11,B212)=1),1,0)</f>
        <v/>
      </c>
      <c r="X212" s="12">
        <f>IF(W212=1,O212-M212,0)</f>
        <v/>
      </c>
      <c r="Y212" s="11">
        <f>IF(AND(W212=1,SUMIFS(Categories!$AI$5:$AI$11,Categories!$A$5:$A$11,B212)&gt;0),X212/SUMIFS(Categories!$AI$5:$AI$11,Categories!$A$5:$A$11,B212),0)</f>
        <v/>
      </c>
      <c r="Z212" s="12">
        <f>Y212*SUMIFS(Categories!$AJ$5:$AJ$11,Categories!$A$5:$A$11,B212)</f>
        <v/>
      </c>
      <c r="AA212" s="12">
        <f>Z212*J212</f>
        <v/>
      </c>
      <c r="AB212" s="12">
        <f>IF(AA212&lt;=0,0,(rate_below/100)*MIN(AA212,MAX(0,ceiling-D212))+(rate_above/100)*(AA212-MIN(AA212,MAX(0,ceiling-D212))))</f>
        <v/>
      </c>
      <c r="AC212" s="12">
        <f>AA212+AB212</f>
        <v/>
      </c>
      <c r="AD212" s="13">
        <f>SUMPRODUCT(($B$5:$B$216=B212)*($M$5:$M$216&lt;M212))+SUMPRODUCT(($B$5:$B$216=B212)*($M$5:$M$216=M212)*(ROW($M$5:$M$216)&lt;ROW(M212)))+1</f>
        <v/>
      </c>
      <c r="AE212" s="13">
        <f>COUNTIF($B$5:$B$216,B212)</f>
        <v/>
      </c>
      <c r="AF212" s="13">
        <f>SUMPRODUCT(($B$5:$B$216=B212)*($C$5:$C$216=C212)*($M$5:$M$216&lt;M212))+SUMPRODUCT(($B$5:$B$216=B212)*($C$5:$C$216=C212)*($M$5:$M$216=M212)*(ROW($M$5:$M$216)&lt;ROW(M212)))+1</f>
        <v/>
      </c>
      <c r="AG212" s="13">
        <f>COUNTIFS($B$5:$B$216,B212,$C$5:$C$216,C212)</f>
        <v/>
      </c>
    </row>
    <row r="213">
      <c r="A213" s="9" t="inlineStr">
        <is>
          <t>E209</t>
        </is>
      </c>
      <c r="B213" s="9" t="inlineStr">
        <is>
          <t>Sales</t>
        </is>
      </c>
      <c r="C213" s="9" t="inlineStr">
        <is>
          <t>F</t>
        </is>
      </c>
      <c r="D213" s="10" t="n">
        <v>91063.92</v>
      </c>
      <c r="E213" s="10" t="n">
        <v>11838.31</v>
      </c>
      <c r="F213" s="9" t="n">
        <v>11.9</v>
      </c>
      <c r="G213" s="9" t="n">
        <v>5</v>
      </c>
      <c r="H213" s="9" t="n">
        <v>1</v>
      </c>
      <c r="I213" s="9" t="n">
        <v>12</v>
      </c>
      <c r="J213" s="11">
        <f>H213*(I213/12)</f>
        <v/>
      </c>
      <c r="K213" s="12">
        <f>D213/J213</f>
        <v/>
      </c>
      <c r="L213" s="12">
        <f>E213/J213</f>
        <v/>
      </c>
      <c r="M213" s="12">
        <f>K213+L213</f>
        <v/>
      </c>
      <c r="N213" s="12">
        <f>D213+E213</f>
        <v/>
      </c>
      <c r="O213" s="12">
        <f>(SUMIFS($M$5:$M$216,$B$5:$B$216,B213,$AD$5:$AD$216,INT((AE213+1)/2))+SUMIFS($M$5:$M$216,$B$5:$B$216,B213,$AD$5:$AD$216,INT(AE213/2)+1))/2</f>
        <v/>
      </c>
      <c r="P213" s="13">
        <f>IF(AND(C213="F",M213&lt;O213,SUMIFS(Categories!$Z$5:$Z$11,Categories!$A$5:$A$11,B213)=1),1,0)</f>
        <v/>
      </c>
      <c r="Q213" s="12">
        <f>IF(P213=1,O213-M213,0)</f>
        <v/>
      </c>
      <c r="R213" s="11">
        <f>IF(AND(P213=1,SUMIFS(Categories!$AA$5:$AA$11,Categories!$A$5:$A$11,B213)&gt;0),Q213/SUMIFS(Categories!$AA$5:$AA$11,Categories!$A$5:$A$11,B213),0)</f>
        <v/>
      </c>
      <c r="S213" s="12">
        <f>R213*SUMIFS(Categories!$AB$5:$AB$11,Categories!$A$5:$A$11,B213)</f>
        <v/>
      </c>
      <c r="T213" s="12">
        <f>S213*J213</f>
        <v/>
      </c>
      <c r="U213" s="12">
        <f>IF(T213&lt;=0,0,(rate_below/100)*MIN(T213,MAX(0,ceiling-D213))+(rate_above/100)*(T213-MIN(T213,MAX(0,ceiling-D213))))</f>
        <v/>
      </c>
      <c r="V213" s="12">
        <f>T213+U213</f>
        <v/>
      </c>
      <c r="W213" s="13">
        <f>IF(AND(C213="F",M213&lt;O213,SUMIFS(Categories!$AH$5:$AH$11,Categories!$A$5:$A$11,B213)=1),1,0)</f>
        <v/>
      </c>
      <c r="X213" s="12">
        <f>IF(W213=1,O213-M213,0)</f>
        <v/>
      </c>
      <c r="Y213" s="11">
        <f>IF(AND(W213=1,SUMIFS(Categories!$AI$5:$AI$11,Categories!$A$5:$A$11,B213)&gt;0),X213/SUMIFS(Categories!$AI$5:$AI$11,Categories!$A$5:$A$11,B213),0)</f>
        <v/>
      </c>
      <c r="Z213" s="12">
        <f>Y213*SUMIFS(Categories!$AJ$5:$AJ$11,Categories!$A$5:$A$11,B213)</f>
        <v/>
      </c>
      <c r="AA213" s="12">
        <f>Z213*J213</f>
        <v/>
      </c>
      <c r="AB213" s="12">
        <f>IF(AA213&lt;=0,0,(rate_below/100)*MIN(AA213,MAX(0,ceiling-D213))+(rate_above/100)*(AA213-MIN(AA213,MAX(0,ceiling-D213))))</f>
        <v/>
      </c>
      <c r="AC213" s="12">
        <f>AA213+AB213</f>
        <v/>
      </c>
      <c r="AD213" s="13">
        <f>SUMPRODUCT(($B$5:$B$216=B213)*($M$5:$M$216&lt;M213))+SUMPRODUCT(($B$5:$B$216=B213)*($M$5:$M$216=M213)*(ROW($M$5:$M$216)&lt;ROW(M213)))+1</f>
        <v/>
      </c>
      <c r="AE213" s="13">
        <f>COUNTIF($B$5:$B$216,B213)</f>
        <v/>
      </c>
      <c r="AF213" s="13">
        <f>SUMPRODUCT(($B$5:$B$216=B213)*($C$5:$C$216=C213)*($M$5:$M$216&lt;M213))+SUMPRODUCT(($B$5:$B$216=B213)*($C$5:$C$216=C213)*($M$5:$M$216=M213)*(ROW($M$5:$M$216)&lt;ROW(M213)))+1</f>
        <v/>
      </c>
      <c r="AG213" s="13">
        <f>COUNTIFS($B$5:$B$216,B213,$C$5:$C$216,C213)</f>
        <v/>
      </c>
    </row>
    <row r="214">
      <c r="A214" s="9" t="inlineStr">
        <is>
          <t>E210</t>
        </is>
      </c>
      <c r="B214" s="9" t="inlineStr">
        <is>
          <t>Sales</t>
        </is>
      </c>
      <c r="C214" s="9" t="inlineStr">
        <is>
          <t>M</t>
        </is>
      </c>
      <c r="D214" s="10" t="n">
        <v>91063.92</v>
      </c>
      <c r="E214" s="10" t="n">
        <v>23676.62</v>
      </c>
      <c r="F214" s="9" t="n">
        <v>11.9</v>
      </c>
      <c r="G214" s="9" t="n">
        <v>5</v>
      </c>
      <c r="H214" s="9" t="n">
        <v>1</v>
      </c>
      <c r="I214" s="9" t="n">
        <v>12</v>
      </c>
      <c r="J214" s="11">
        <f>H214*(I214/12)</f>
        <v/>
      </c>
      <c r="K214" s="12">
        <f>D214/J214</f>
        <v/>
      </c>
      <c r="L214" s="12">
        <f>E214/J214</f>
        <v/>
      </c>
      <c r="M214" s="12">
        <f>K214+L214</f>
        <v/>
      </c>
      <c r="N214" s="12">
        <f>D214+E214</f>
        <v/>
      </c>
      <c r="O214" s="12">
        <f>(SUMIFS($M$5:$M$216,$B$5:$B$216,B214,$AD$5:$AD$216,INT((AE214+1)/2))+SUMIFS($M$5:$M$216,$B$5:$B$216,B214,$AD$5:$AD$216,INT(AE214/2)+1))/2</f>
        <v/>
      </c>
      <c r="P214" s="13">
        <f>IF(AND(C214="F",M214&lt;O214,SUMIFS(Categories!$Z$5:$Z$11,Categories!$A$5:$A$11,B214)=1),1,0)</f>
        <v/>
      </c>
      <c r="Q214" s="12">
        <f>IF(P214=1,O214-M214,0)</f>
        <v/>
      </c>
      <c r="R214" s="11">
        <f>IF(AND(P214=1,SUMIFS(Categories!$AA$5:$AA$11,Categories!$A$5:$A$11,B214)&gt;0),Q214/SUMIFS(Categories!$AA$5:$AA$11,Categories!$A$5:$A$11,B214),0)</f>
        <v/>
      </c>
      <c r="S214" s="12">
        <f>R214*SUMIFS(Categories!$AB$5:$AB$11,Categories!$A$5:$A$11,B214)</f>
        <v/>
      </c>
      <c r="T214" s="12">
        <f>S214*J214</f>
        <v/>
      </c>
      <c r="U214" s="12">
        <f>IF(T214&lt;=0,0,(rate_below/100)*MIN(T214,MAX(0,ceiling-D214))+(rate_above/100)*(T214-MIN(T214,MAX(0,ceiling-D214))))</f>
        <v/>
      </c>
      <c r="V214" s="12">
        <f>T214+U214</f>
        <v/>
      </c>
      <c r="W214" s="13">
        <f>IF(AND(C214="F",M214&lt;O214,SUMIFS(Categories!$AH$5:$AH$11,Categories!$A$5:$A$11,B214)=1),1,0)</f>
        <v/>
      </c>
      <c r="X214" s="12">
        <f>IF(W214=1,O214-M214,0)</f>
        <v/>
      </c>
      <c r="Y214" s="11">
        <f>IF(AND(W214=1,SUMIFS(Categories!$AI$5:$AI$11,Categories!$A$5:$A$11,B214)&gt;0),X214/SUMIFS(Categories!$AI$5:$AI$11,Categories!$A$5:$A$11,B214),0)</f>
        <v/>
      </c>
      <c r="Z214" s="12">
        <f>Y214*SUMIFS(Categories!$AJ$5:$AJ$11,Categories!$A$5:$A$11,B214)</f>
        <v/>
      </c>
      <c r="AA214" s="12">
        <f>Z214*J214</f>
        <v/>
      </c>
      <c r="AB214" s="12">
        <f>IF(AA214&lt;=0,0,(rate_below/100)*MIN(AA214,MAX(0,ceiling-D214))+(rate_above/100)*(AA214-MIN(AA214,MAX(0,ceiling-D214))))</f>
        <v/>
      </c>
      <c r="AC214" s="12">
        <f>AA214+AB214</f>
        <v/>
      </c>
      <c r="AD214" s="13">
        <f>SUMPRODUCT(($B$5:$B$216=B214)*($M$5:$M$216&lt;M214))+SUMPRODUCT(($B$5:$B$216=B214)*($M$5:$M$216=M214)*(ROW($M$5:$M$216)&lt;ROW(M214)))+1</f>
        <v/>
      </c>
      <c r="AE214" s="13">
        <f>COUNTIF($B$5:$B$216,B214)</f>
        <v/>
      </c>
      <c r="AF214" s="13">
        <f>SUMPRODUCT(($B$5:$B$216=B214)*($C$5:$C$216=C214)*($M$5:$M$216&lt;M214))+SUMPRODUCT(($B$5:$B$216=B214)*($C$5:$C$216=C214)*($M$5:$M$216=M214)*(ROW($M$5:$M$216)&lt;ROW(M214)))+1</f>
        <v/>
      </c>
      <c r="AG214" s="13">
        <f>COUNTIFS($B$5:$B$216,B214,$C$5:$C$216,C214)</f>
        <v/>
      </c>
    </row>
    <row r="215">
      <c r="A215" s="9" t="inlineStr">
        <is>
          <t>E211</t>
        </is>
      </c>
      <c r="B215" s="9" t="inlineStr">
        <is>
          <t>Sales</t>
        </is>
      </c>
      <c r="C215" s="9" t="inlineStr">
        <is>
          <t>F</t>
        </is>
      </c>
      <c r="D215" s="10" t="n">
        <v>65018.8</v>
      </c>
      <c r="E215" s="10" t="n">
        <v>8452.440000000001</v>
      </c>
      <c r="F215" s="9" t="n">
        <v>3.7</v>
      </c>
      <c r="G215" s="9" t="n">
        <v>3</v>
      </c>
      <c r="H215" s="9" t="n">
        <v>1</v>
      </c>
      <c r="I215" s="9" t="n">
        <v>12</v>
      </c>
      <c r="J215" s="11">
        <f>H215*(I215/12)</f>
        <v/>
      </c>
      <c r="K215" s="12">
        <f>D215/J215</f>
        <v/>
      </c>
      <c r="L215" s="12">
        <f>E215/J215</f>
        <v/>
      </c>
      <c r="M215" s="12">
        <f>K215+L215</f>
        <v/>
      </c>
      <c r="N215" s="12">
        <f>D215+E215</f>
        <v/>
      </c>
      <c r="O215" s="12">
        <f>(SUMIFS($M$5:$M$216,$B$5:$B$216,B215,$AD$5:$AD$216,INT((AE215+1)/2))+SUMIFS($M$5:$M$216,$B$5:$B$216,B215,$AD$5:$AD$216,INT(AE215/2)+1))/2</f>
        <v/>
      </c>
      <c r="P215" s="13">
        <f>IF(AND(C215="F",M215&lt;O215,SUMIFS(Categories!$Z$5:$Z$11,Categories!$A$5:$A$11,B215)=1),1,0)</f>
        <v/>
      </c>
      <c r="Q215" s="12">
        <f>IF(P215=1,O215-M215,0)</f>
        <v/>
      </c>
      <c r="R215" s="11">
        <f>IF(AND(P215=1,SUMIFS(Categories!$AA$5:$AA$11,Categories!$A$5:$A$11,B215)&gt;0),Q215/SUMIFS(Categories!$AA$5:$AA$11,Categories!$A$5:$A$11,B215),0)</f>
        <v/>
      </c>
      <c r="S215" s="12">
        <f>R215*SUMIFS(Categories!$AB$5:$AB$11,Categories!$A$5:$A$11,B215)</f>
        <v/>
      </c>
      <c r="T215" s="12">
        <f>S215*J215</f>
        <v/>
      </c>
      <c r="U215" s="12">
        <f>IF(T215&lt;=0,0,(rate_below/100)*MIN(T215,MAX(0,ceiling-D215))+(rate_above/100)*(T215-MIN(T215,MAX(0,ceiling-D215))))</f>
        <v/>
      </c>
      <c r="V215" s="12">
        <f>T215+U215</f>
        <v/>
      </c>
      <c r="W215" s="13">
        <f>IF(AND(C215="F",M215&lt;O215,SUMIFS(Categories!$AH$5:$AH$11,Categories!$A$5:$A$11,B215)=1),1,0)</f>
        <v/>
      </c>
      <c r="X215" s="12">
        <f>IF(W215=1,O215-M215,0)</f>
        <v/>
      </c>
      <c r="Y215" s="11">
        <f>IF(AND(W215=1,SUMIFS(Categories!$AI$5:$AI$11,Categories!$A$5:$A$11,B215)&gt;0),X215/SUMIFS(Categories!$AI$5:$AI$11,Categories!$A$5:$A$11,B215),0)</f>
        <v/>
      </c>
      <c r="Z215" s="12">
        <f>Y215*SUMIFS(Categories!$AJ$5:$AJ$11,Categories!$A$5:$A$11,B215)</f>
        <v/>
      </c>
      <c r="AA215" s="12">
        <f>Z215*J215</f>
        <v/>
      </c>
      <c r="AB215" s="12">
        <f>IF(AA215&lt;=0,0,(rate_below/100)*MIN(AA215,MAX(0,ceiling-D215))+(rate_above/100)*(AA215-MIN(AA215,MAX(0,ceiling-D215))))</f>
        <v/>
      </c>
      <c r="AC215" s="12">
        <f>AA215+AB215</f>
        <v/>
      </c>
      <c r="AD215" s="13">
        <f>SUMPRODUCT(($B$5:$B$216=B215)*($M$5:$M$216&lt;M215))+SUMPRODUCT(($B$5:$B$216=B215)*($M$5:$M$216=M215)*(ROW($M$5:$M$216)&lt;ROW(M215)))+1</f>
        <v/>
      </c>
      <c r="AE215" s="13">
        <f>COUNTIF($B$5:$B$216,B215)</f>
        <v/>
      </c>
      <c r="AF215" s="13">
        <f>SUMPRODUCT(($B$5:$B$216=B215)*($C$5:$C$216=C215)*($M$5:$M$216&lt;M215))+SUMPRODUCT(($B$5:$B$216=B215)*($C$5:$C$216=C215)*($M$5:$M$216=M215)*(ROW($M$5:$M$216)&lt;ROW(M215)))+1</f>
        <v/>
      </c>
      <c r="AG215" s="13">
        <f>COUNTIFS($B$5:$B$216,B215,$C$5:$C$216,C215)</f>
        <v/>
      </c>
    </row>
    <row r="216">
      <c r="A216" s="9" t="inlineStr">
        <is>
          <t>E212</t>
        </is>
      </c>
      <c r="B216" s="9" t="inlineStr">
        <is>
          <t>Sales</t>
        </is>
      </c>
      <c r="C216" s="9" t="inlineStr">
        <is>
          <t>M</t>
        </is>
      </c>
      <c r="D216" s="10" t="n">
        <v>65018.8</v>
      </c>
      <c r="E216" s="10" t="n">
        <v>16904.89</v>
      </c>
      <c r="F216" s="9" t="n">
        <v>3.7</v>
      </c>
      <c r="G216" s="9" t="n">
        <v>3</v>
      </c>
      <c r="H216" s="9" t="n">
        <v>1</v>
      </c>
      <c r="I216" s="9" t="n">
        <v>12</v>
      </c>
      <c r="J216" s="11">
        <f>H216*(I216/12)</f>
        <v/>
      </c>
      <c r="K216" s="12">
        <f>D216/J216</f>
        <v/>
      </c>
      <c r="L216" s="12">
        <f>E216/J216</f>
        <v/>
      </c>
      <c r="M216" s="12">
        <f>K216+L216</f>
        <v/>
      </c>
      <c r="N216" s="12">
        <f>D216+E216</f>
        <v/>
      </c>
      <c r="O216" s="12">
        <f>(SUMIFS($M$5:$M$216,$B$5:$B$216,B216,$AD$5:$AD$216,INT((AE216+1)/2))+SUMIFS($M$5:$M$216,$B$5:$B$216,B216,$AD$5:$AD$216,INT(AE216/2)+1))/2</f>
        <v/>
      </c>
      <c r="P216" s="13">
        <f>IF(AND(C216="F",M216&lt;O216,SUMIFS(Categories!$Z$5:$Z$11,Categories!$A$5:$A$11,B216)=1),1,0)</f>
        <v/>
      </c>
      <c r="Q216" s="12">
        <f>IF(P216=1,O216-M216,0)</f>
        <v/>
      </c>
      <c r="R216" s="11">
        <f>IF(AND(P216=1,SUMIFS(Categories!$AA$5:$AA$11,Categories!$A$5:$A$11,B216)&gt;0),Q216/SUMIFS(Categories!$AA$5:$AA$11,Categories!$A$5:$A$11,B216),0)</f>
        <v/>
      </c>
      <c r="S216" s="12">
        <f>R216*SUMIFS(Categories!$AB$5:$AB$11,Categories!$A$5:$A$11,B216)</f>
        <v/>
      </c>
      <c r="T216" s="12">
        <f>S216*J216</f>
        <v/>
      </c>
      <c r="U216" s="12">
        <f>IF(T216&lt;=0,0,(rate_below/100)*MIN(T216,MAX(0,ceiling-D216))+(rate_above/100)*(T216-MIN(T216,MAX(0,ceiling-D216))))</f>
        <v/>
      </c>
      <c r="V216" s="12">
        <f>T216+U216</f>
        <v/>
      </c>
      <c r="W216" s="13">
        <f>IF(AND(C216="F",M216&lt;O216,SUMIFS(Categories!$AH$5:$AH$11,Categories!$A$5:$A$11,B216)=1),1,0)</f>
        <v/>
      </c>
      <c r="X216" s="12">
        <f>IF(W216=1,O216-M216,0)</f>
        <v/>
      </c>
      <c r="Y216" s="11">
        <f>IF(AND(W216=1,SUMIFS(Categories!$AI$5:$AI$11,Categories!$A$5:$A$11,B216)&gt;0),X216/SUMIFS(Categories!$AI$5:$AI$11,Categories!$A$5:$A$11,B216),0)</f>
        <v/>
      </c>
      <c r="Z216" s="12">
        <f>Y216*SUMIFS(Categories!$AJ$5:$AJ$11,Categories!$A$5:$A$11,B216)</f>
        <v/>
      </c>
      <c r="AA216" s="12">
        <f>Z216*J216</f>
        <v/>
      </c>
      <c r="AB216" s="12">
        <f>IF(AA216&lt;=0,0,(rate_below/100)*MIN(AA216,MAX(0,ceiling-D216))+(rate_above/100)*(AA216-MIN(AA216,MAX(0,ceiling-D216))))</f>
        <v/>
      </c>
      <c r="AC216" s="12">
        <f>AA216+AB216</f>
        <v/>
      </c>
      <c r="AD216" s="13">
        <f>SUMPRODUCT(($B$5:$B$216=B216)*($M$5:$M$216&lt;M216))+SUMPRODUCT(($B$5:$B$216=B216)*($M$5:$M$216=M216)*(ROW($M$5:$M$216)&lt;ROW(M216)))+1</f>
        <v/>
      </c>
      <c r="AE216" s="13">
        <f>COUNTIF($B$5:$B$216,B216)</f>
        <v/>
      </c>
      <c r="AF216" s="13">
        <f>SUMPRODUCT(($B$5:$B$216=B216)*($C$5:$C$216=C216)*($M$5:$M$216&lt;M216))+SUMPRODUCT(($B$5:$B$216=B216)*($C$5:$C$216=C216)*($M$5:$M$216=M216)*(ROW($M$5:$M$216)&lt;ROW(M216)))+1</f>
        <v/>
      </c>
      <c r="AG216" s="13">
        <f>COUNTIFS($B$5:$B$216,B216,$C$5:$C$216,C216)</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K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7" customWidth="1" min="3" max="3"/>
    <col width="7"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s>
  <sheetData>
    <row r="1">
      <c r="A1" s="1" t="inlineStr">
        <is>
          <t>Category-level calculation</t>
        </is>
      </c>
    </row>
    <row r="2">
      <c r="A2" s="2" t="inlineStr">
        <is>
          <t>Regression: OLS of n_total on grade and tenure within each category, solved from explicit sums (no LINEST, no array formulas). Guard conditions mirror calc.js: fewer than 4 observations or a constant predictor means the regression is undefined, and the whole gap is treated as unexplained.</t>
        </is>
      </c>
    </row>
    <row r="4" ht="30" customHeight="1">
      <c r="A4" s="3" t="inlineStr">
        <is>
          <t>category</t>
        </is>
      </c>
      <c r="B4" s="3" t="inlineStr">
        <is>
          <t>headcount</t>
        </is>
      </c>
      <c r="C4" s="3" t="inlineStr">
        <is>
          <t>n_F</t>
        </is>
      </c>
      <c r="D4" s="3" t="inlineStr">
        <is>
          <t>n_M</t>
        </is>
      </c>
      <c r="E4" s="3" t="inlineStr">
        <is>
          <t>mean_M</t>
        </is>
      </c>
      <c r="F4" s="3" t="inlineStr">
        <is>
          <t>mean_F</t>
        </is>
      </c>
      <c r="G4" s="3" t="inlineStr">
        <is>
          <t>median_all</t>
        </is>
      </c>
      <c r="H4" s="3" t="inlineStr">
        <is>
          <t>raw_gap_mean_%</t>
        </is>
      </c>
      <c r="I4" s="3" t="inlineStr">
        <is>
          <t>median_M</t>
        </is>
      </c>
      <c r="J4" s="3" t="inlineStr">
        <is>
          <t>median_F</t>
        </is>
      </c>
      <c r="K4" s="3" t="inlineStr">
        <is>
          <t>raw_gap_median_%</t>
        </is>
      </c>
      <c r="L4" s="3" t="inlineStr">
        <is>
          <t>var_M</t>
        </is>
      </c>
      <c r="M4" s="3" t="inlineStr">
        <is>
          <t>var_F</t>
        </is>
      </c>
      <c r="N4" s="3" t="inlineStr">
        <is>
          <t>variable_gap_%</t>
        </is>
      </c>
      <c r="O4" s="3" t="inlineStr">
        <is>
          <t>base_M</t>
        </is>
      </c>
      <c r="P4" s="3" t="inlineStr">
        <is>
          <t>base_F</t>
        </is>
      </c>
      <c r="Q4" s="3" t="inlineStr">
        <is>
          <t>base_gap_%</t>
        </is>
      </c>
      <c r="R4" s="3" t="inlineStr">
        <is>
          <t>var_grade</t>
        </is>
      </c>
      <c r="S4" s="3" t="inlineStr">
        <is>
          <t>var_tenure</t>
        </is>
      </c>
      <c r="T4" s="3" t="inlineStr">
        <is>
          <t>reg_ok</t>
        </is>
      </c>
      <c r="U4" s="3" t="inlineStr">
        <is>
          <t>coef_grade</t>
        </is>
      </c>
      <c r="V4" s="3" t="inlineStr">
        <is>
          <t>coef_tenure</t>
        </is>
      </c>
      <c r="W4" s="3" t="inlineStr">
        <is>
          <t>r2</t>
        </is>
      </c>
      <c r="X4" s="3" t="inlineStr">
        <is>
          <t>explained_%</t>
        </is>
      </c>
      <c r="Y4" s="3" t="inlineStr">
        <is>
          <t>unexplained_%</t>
        </is>
      </c>
      <c r="Z4" s="3" t="inlineStr">
        <is>
          <t>correct_min</t>
        </is>
      </c>
      <c r="AA4" s="3" t="inlineStr">
        <is>
          <t>totalDef_min</t>
        </is>
      </c>
      <c r="AB4" s="3" t="inlineStr">
        <is>
          <t>need_min</t>
        </is>
      </c>
      <c r="AC4" s="3" t="inlineStr">
        <is>
          <t>adjust_min</t>
        </is>
      </c>
      <c r="AD4" s="3" t="inlineStr">
        <is>
          <t>contrib_min</t>
        </is>
      </c>
      <c r="AE4" s="3" t="inlineStr">
        <is>
          <t>cost_min</t>
        </is>
      </c>
      <c r="AF4" s="3" t="inlineStr">
        <is>
          <t>recip_min</t>
        </is>
      </c>
      <c r="AG4" s="3" t="inlineStr">
        <is>
          <t>unexpl_after_min</t>
        </is>
      </c>
      <c r="AH4" s="3" t="inlineStr">
        <is>
          <t>correct_full</t>
        </is>
      </c>
      <c r="AI4" s="3" t="inlineStr">
        <is>
          <t>totalDef_full</t>
        </is>
      </c>
      <c r="AJ4" s="3" t="inlineStr">
        <is>
          <t>need_full</t>
        </is>
      </c>
      <c r="AK4" s="3" t="inlineStr">
        <is>
          <t>adjust_full</t>
        </is>
      </c>
      <c r="AL4" s="3" t="inlineStr">
        <is>
          <t>contrib_full</t>
        </is>
      </c>
      <c r="AM4" s="3" t="inlineStr">
        <is>
          <t>cost_full</t>
        </is>
      </c>
      <c r="AN4" s="3" t="inlineStr">
        <is>
          <t>recip_full</t>
        </is>
      </c>
      <c r="AO4" s="3" t="inlineStr">
        <is>
          <t>unexpl_after_full</t>
        </is>
      </c>
      <c r="AP4" s="3" t="inlineStr">
        <is>
          <t>unreliable</t>
        </is>
      </c>
      <c r="AQ4" s="3" t="inlineStr">
        <is>
          <t>reverse_gap</t>
        </is>
      </c>
      <c r="AR4" s="3" t="inlineStr"/>
      <c r="AS4" s="3" t="inlineStr"/>
      <c r="AT4" s="3" t="inlineStr"/>
      <c r="AU4" s="3" t="inlineStr"/>
      <c r="AV4" s="3" t="inlineStr"/>
      <c r="AW4" s="3" t="inlineStr"/>
      <c r="AX4" s="3" t="inlineStr"/>
      <c r="AY4" s="3" t="inlineStr"/>
      <c r="AZ4" s="3" t="inlineStr"/>
      <c r="BA4" s="3" t="inlineStr">
        <is>
          <t>n</t>
        </is>
      </c>
      <c r="BB4" s="3" t="inlineStr">
        <is>
          <t>Sum_g</t>
        </is>
      </c>
      <c r="BC4" s="3" t="inlineStr">
        <is>
          <t>Sum_t</t>
        </is>
      </c>
      <c r="BD4" s="3" t="inlineStr">
        <is>
          <t>Sum_y</t>
        </is>
      </c>
      <c r="BE4" s="3" t="inlineStr">
        <is>
          <t>Sum_gg</t>
        </is>
      </c>
      <c r="BF4" s="3" t="inlineStr">
        <is>
          <t>Sum_tt</t>
        </is>
      </c>
      <c r="BG4" s="3" t="inlineStr">
        <is>
          <t>Sum_gt</t>
        </is>
      </c>
      <c r="BH4" s="3" t="inlineStr">
        <is>
          <t>Sum_gy</t>
        </is>
      </c>
      <c r="BI4" s="3" t="inlineStr">
        <is>
          <t>Sum_ty</t>
        </is>
      </c>
      <c r="BJ4" s="3" t="inlineStr">
        <is>
          <t>Sum_yy</t>
        </is>
      </c>
      <c r="BK4" s="3" t="inlineStr">
        <is>
          <t>det</t>
        </is>
      </c>
    </row>
    <row r="5">
      <c r="A5" s="9" t="inlineStr">
        <is>
          <t>Engineering</t>
        </is>
      </c>
      <c r="B5" s="13">
        <f>COUNTIF(Data!$B$5:$B$216,$A5)</f>
        <v/>
      </c>
      <c r="C5" s="13">
        <f>COUNTIFS(Data!$B$5:$B$216,$A5,Data!$C$5:$C$216,"F")</f>
        <v/>
      </c>
      <c r="D5" s="13">
        <f>COUNTIFS(Data!$B$5:$B$216,$A5,Data!$C$5:$C$216,"M")</f>
        <v/>
      </c>
      <c r="E5" s="12">
        <f>IF(D5=0,0,AVERAGEIFS(Data!$M$5:$M$216,Data!$B$5:$B$216,$A5,Data!$C$5:$C$216,"M"))</f>
        <v/>
      </c>
      <c r="F5" s="12">
        <f>IF(C5=0,0,AVERAGEIFS(Data!$M$5:$M$216,Data!$B$5:$B$216,$A5,Data!$C$5:$C$216,"F"))</f>
        <v/>
      </c>
      <c r="G5" s="12">
        <f>IF(B5=0,0,SUMIFS(Data!$O$5:$O$216,Data!$B$5:$B$216,$A5,Data!$AD$5:$AD$216,1))</f>
        <v/>
      </c>
      <c r="H5" s="14">
        <f>IF(OR(E5&lt;=0,C5=0,D5=0),0,(E5-F5)/E5*100)</f>
        <v/>
      </c>
      <c r="I5" s="12">
        <f>IF(D5=0,0,(SUMIFS(Data!$M$5:$M$216,Data!$B$5:$B$216,$A5,Data!$C$5:$C$216,"M",Data!$AF$5:$AF$216,INT((D5+1)/2))+SUMIFS(Data!$M$5:$M$216,Data!$B$5:$B$216,$A5,Data!$C$5:$C$216,"M",Data!$AF$5:$AF$216,INT(D5/2)+1))/2)</f>
        <v/>
      </c>
      <c r="J5" s="12">
        <f>IF(C5=0,0,(SUMIFS(Data!$M$5:$M$216,Data!$B$5:$B$216,$A5,Data!$C$5:$C$216,"F",Data!$AF$5:$AF$216,INT((C5+1)/2))+SUMIFS(Data!$M$5:$M$216,Data!$B$5:$B$216,$A5,Data!$C$5:$C$216,"F",Data!$AF$5:$AF$216,INT(C5/2)+1))/2)</f>
        <v/>
      </c>
      <c r="K5" s="14">
        <f>IF(OR(I5&lt;=0,C5=0,D5=0),0,(I5-J5)/I5*100)</f>
        <v/>
      </c>
      <c r="L5" s="12">
        <f>IF(D5=0,0,AVERAGEIFS(Data!$L$5:$L$216,Data!$B$5:$B$216,$A5,Data!$C$5:$C$216,"M"))</f>
        <v/>
      </c>
      <c r="M5" s="12">
        <f>IF(C5=0,0,AVERAGEIFS(Data!$L$5:$L$216,Data!$B$5:$B$216,$A5,Data!$C$5:$C$216,"F"))</f>
        <v/>
      </c>
      <c r="N5" s="14">
        <f>IF(OR(L5&lt;=0,C5=0,D5=0),0,(L5-M5)/L5*100)</f>
        <v/>
      </c>
      <c r="O5" s="12">
        <f>IF(D5=0,0,AVERAGEIFS(Data!$K$5:$K$216,Data!$B$5:$B$216,$A5,Data!$C$5:$C$216,"M"))</f>
        <v/>
      </c>
      <c r="P5" s="12">
        <f>IF(C5=0,0,AVERAGEIFS(Data!$K$5:$K$216,Data!$B$5:$B$216,$A5,Data!$C$5:$C$216,"F"))</f>
        <v/>
      </c>
      <c r="Q5" s="14">
        <f>IF(OR(O5&lt;=0,C5=0,D5=0),0,(O5-P5)/O5*100)</f>
        <v/>
      </c>
      <c r="R5" s="11">
        <f>IF(B5&lt;2,0,SUMPRODUCT((Data!$B$5:$B$216=$A5)*Data!$G$5:$G$216*Data!$G$5:$G$216)/B5-(SUMIFS(Data!$G$5:$G$216,Data!$B$5:$B$216,$A5)/B5)^2)</f>
        <v/>
      </c>
      <c r="S5" s="11">
        <f>IF(B5&lt;2,0,SUMPRODUCT((Data!$B$5:$B$216=$A5)*Data!$F$5:$F$216*Data!$F$5:$F$216)/B5-(SUMIFS(Data!$F$5:$F$216,Data!$B$5:$B$216,$A5)/B5)^2)</f>
        <v/>
      </c>
      <c r="T5" s="13">
        <f>IF(AND(B5&gt;=4,R5&gt;0.000000001,S5&gt;0.000000001),1,0)</f>
        <v/>
      </c>
      <c r="U5" s="12">
        <f>IF(OR(T5=0,ABS(BK5)&lt;0.000000001),0,((BH5-BB5*BD5/B5)*(BF5-BC5^2/B5)-(BI5-BC5*BD5/B5)*(BG5-BB5*BC5/B5))/BK5)</f>
        <v/>
      </c>
      <c r="V5" s="12">
        <f>IF(OR(T5=0,ABS(BK5)&lt;0.000000001),0,((BI5-BC5*BD5/B5)*(BE5-BB5^2/B5)-(BH5-BB5*BD5/B5)*(BG5-BB5*BC5/B5))/BK5)</f>
        <v/>
      </c>
      <c r="W5" s="11">
        <f>IF(OR(T5=0,ABS(BK5)&lt;0.000000001,(BJ5-BD5^2/B5)&lt;0.000000001),"",(U5*(BH5-BB5*BD5/B5)+V5*(BI5-BC5*BD5/B5))/(BJ5-BD5^2/B5))</f>
        <v/>
      </c>
      <c r="X5" s="14">
        <f>IF(H5&gt;=0,MAX(0,MIN(IF(OR(T5=0,E5&lt;=0),0,(U5*(IF(D5=0,0,AVERAGEIFS(Data!$G$5:$G$216,Data!$B$5:$B$216,$A5,Data!$C$5:$C$216,"M"))-IF(C5=0,0,AVERAGEIFS(Data!$G$5:$G$216,Data!$B$5:$B$216,$A5,Data!$C$5:$C$216,"F")))+V5*(IF(D5=0,0,AVERAGEIFS(Data!$F$5:$F$216,Data!$B$5:$B$216,$A5,Data!$C$5:$C$216,"M"))-IF(C5=0,0,AVERAGEIFS(Data!$F$5:$F$216,Data!$B$5:$B$216,$A5,Data!$C$5:$C$216,"F"))))/E5*100),H5)),MIN(0,MAX(IF(OR(T5=0,E5&lt;=0),0,(U5*(IF(D5=0,0,AVERAGEIFS(Data!$G$5:$G$216,Data!$B$5:$B$216,$A5,Data!$C$5:$C$216,"M"))-IF(C5=0,0,AVERAGEIFS(Data!$G$5:$G$216,Data!$B$5:$B$216,$A5,Data!$C$5:$C$216,"F")))+V5*(IF(D5=0,0,AVERAGEIFS(Data!$F$5:$F$216,Data!$B$5:$B$216,$A5,Data!$C$5:$C$216,"M"))-IF(C5=0,0,AVERAGEIFS(Data!$F$5:$F$216,Data!$B$5:$B$216,$A5,Data!$C$5:$C$216,"F"))))/E5*100),H5)))</f>
        <v/>
      </c>
      <c r="Y5" s="14">
        <f>H5-X5</f>
        <v/>
      </c>
      <c r="Z5" s="13">
        <f>IF(AND(H5&gt;=0,Y5&gt;threshold_pct),1,0)</f>
        <v/>
      </c>
      <c r="AA5" s="12">
        <f>IF(Z5=0,0,SUMIFS(Data!$Q$5:$Q$216,Data!$B$5:$B$216,$A5))</f>
        <v/>
      </c>
      <c r="AB5" s="12">
        <f>IF(Z5=0,0,(Y5-threshold_pct)/100*E5*C5)</f>
        <v/>
      </c>
      <c r="AC5" s="12">
        <f>SUMIFS(Data!$T$5:$T$216,Data!$B$5:$B$216,$A5)</f>
        <v/>
      </c>
      <c r="AD5" s="12">
        <f>SUMIFS(Data!$U$5:$U$216,Data!$B$5:$B$216,$A5)</f>
        <v/>
      </c>
      <c r="AE5" s="12">
        <f>AC5+AD5</f>
        <v/>
      </c>
      <c r="AF5" s="13">
        <f>SUMIFS(Data!$P$5:$P$216,Data!$B$5:$B$216,$A5)</f>
        <v/>
      </c>
      <c r="AG5" s="14">
        <f>IF(E5&lt;=0,0,(E5-(IF(C5=0,0,AVERAGEIFS(Data!$M$5:$M$216,Data!$B$5:$B$216,$A5,Data!$C$5:$C$216,"F"))+IF(C5=0,0,SUMIFS(Data!$S$5:$S$216,Data!$B$5:$B$216,$A5,Data!$C$5:$C$216,"F")/C5)))/E5*100-X5)</f>
        <v/>
      </c>
      <c r="AH5" s="13">
        <f>IF(AND(H5&gt;=0,Y5&gt;0),1,0)</f>
        <v/>
      </c>
      <c r="AI5" s="12">
        <f>IF(AH5=0,0,SUMIFS(Data!$X$5:$X$216,Data!$B$5:$B$216,$A5))</f>
        <v/>
      </c>
      <c r="AJ5" s="12">
        <f>IF(AH5=0,0,Y5/100*E5*C5)</f>
        <v/>
      </c>
      <c r="AK5" s="12">
        <f>SUMIFS(Data!$AA$5:$AA$216,Data!$B$5:$B$216,$A5)</f>
        <v/>
      </c>
      <c r="AL5" s="12">
        <f>SUMIFS(Data!$AB$5:$AB$216,Data!$B$5:$B$216,$A5)</f>
        <v/>
      </c>
      <c r="AM5" s="12">
        <f>AK5+AL5</f>
        <v/>
      </c>
      <c r="AN5" s="13">
        <f>SUMIFS(Data!$W$5:$W$216,Data!$B$5:$B$216,$A5)</f>
        <v/>
      </c>
      <c r="AO5" s="14">
        <f>IF(E5&lt;=0,0,(E5-(IF(C5=0,0,AVERAGEIFS(Data!$M$5:$M$216,Data!$B$5:$B$216,$A5,Data!$C$5:$C$216,"F"))+IF(C5=0,0,SUMIFS(Data!$Z$5:$Z$216,Data!$B$5:$B$216,$A5,Data!$C$5:$C$216,"F")/C5)))/E5*100-X5)</f>
        <v/>
      </c>
      <c r="AP5" s="13">
        <f>IF(OR(B5&lt;10,C5&lt;3,D5&lt;3),1,0)</f>
        <v/>
      </c>
      <c r="AQ5" s="13">
        <f>IF(H5&lt;0,1,0)</f>
        <v/>
      </c>
      <c r="BA5" s="11">
        <f>B5</f>
        <v/>
      </c>
      <c r="BB5" s="11">
        <f>SUMIFS(Data!$G$5:$G$216,Data!$B$5:$B$216,$A5)</f>
        <v/>
      </c>
      <c r="BC5" s="11">
        <f>SUMIFS(Data!$F$5:$F$216,Data!$B$5:$B$216,$A5)</f>
        <v/>
      </c>
      <c r="BD5" s="11">
        <f>SUMIFS(Data!$M$5:$M$216,Data!$B$5:$B$216,$A5)</f>
        <v/>
      </c>
      <c r="BE5" s="11">
        <f>SUMPRODUCT((Data!$B$5:$B$216=$A5)*Data!$G$5:$G$216*Data!$G$5:$G$216)</f>
        <v/>
      </c>
      <c r="BF5" s="11">
        <f>SUMPRODUCT((Data!$B$5:$B$216=$A5)*Data!$F$5:$F$216*Data!$F$5:$F$216)</f>
        <v/>
      </c>
      <c r="BG5" s="11">
        <f>SUMPRODUCT((Data!$B$5:$B$216=$A5)*Data!$G$5:$G$216*Data!$F$5:$F$216)</f>
        <v/>
      </c>
      <c r="BH5" s="11">
        <f>SUMPRODUCT((Data!$B$5:$B$216=$A5)*Data!$G$5:$G$216*Data!$M$5:$M$216)</f>
        <v/>
      </c>
      <c r="BI5" s="11">
        <f>SUMPRODUCT((Data!$B$5:$B$216=$A5)*Data!$F$5:$F$216*Data!$M$5:$M$216)</f>
        <v/>
      </c>
      <c r="BJ5" s="11">
        <f>SUMPRODUCT((Data!$B$5:$B$216=$A5)*Data!$M$5:$M$216*Data!$M$5:$M$216)</f>
        <v/>
      </c>
      <c r="BK5" s="11">
        <f>IF(T5=0,0,((BE5-BB5^2/B5)*(BF5-BC5^2/B5)-(BG5-BB5*BC5/B5)^2))</f>
        <v/>
      </c>
    </row>
    <row r="6">
      <c r="A6" s="9" t="inlineStr">
        <is>
          <t>Operations</t>
        </is>
      </c>
      <c r="B6" s="13">
        <f>COUNTIF(Data!$B$5:$B$216,$A6)</f>
        <v/>
      </c>
      <c r="C6" s="13">
        <f>COUNTIFS(Data!$B$5:$B$216,$A6,Data!$C$5:$C$216,"F")</f>
        <v/>
      </c>
      <c r="D6" s="13">
        <f>COUNTIFS(Data!$B$5:$B$216,$A6,Data!$C$5:$C$216,"M")</f>
        <v/>
      </c>
      <c r="E6" s="12">
        <f>IF(D6=0,0,AVERAGEIFS(Data!$M$5:$M$216,Data!$B$5:$B$216,$A6,Data!$C$5:$C$216,"M"))</f>
        <v/>
      </c>
      <c r="F6" s="12">
        <f>IF(C6=0,0,AVERAGEIFS(Data!$M$5:$M$216,Data!$B$5:$B$216,$A6,Data!$C$5:$C$216,"F"))</f>
        <v/>
      </c>
      <c r="G6" s="12">
        <f>IF(B6=0,0,SUMIFS(Data!$O$5:$O$216,Data!$B$5:$B$216,$A6,Data!$AD$5:$AD$216,1))</f>
        <v/>
      </c>
      <c r="H6" s="14">
        <f>IF(OR(E6&lt;=0,C6=0,D6=0),0,(E6-F6)/E6*100)</f>
        <v/>
      </c>
      <c r="I6" s="12">
        <f>IF(D6=0,0,(SUMIFS(Data!$M$5:$M$216,Data!$B$5:$B$216,$A6,Data!$C$5:$C$216,"M",Data!$AF$5:$AF$216,INT((D6+1)/2))+SUMIFS(Data!$M$5:$M$216,Data!$B$5:$B$216,$A6,Data!$C$5:$C$216,"M",Data!$AF$5:$AF$216,INT(D6/2)+1))/2)</f>
        <v/>
      </c>
      <c r="J6" s="12">
        <f>IF(C6=0,0,(SUMIFS(Data!$M$5:$M$216,Data!$B$5:$B$216,$A6,Data!$C$5:$C$216,"F",Data!$AF$5:$AF$216,INT((C6+1)/2))+SUMIFS(Data!$M$5:$M$216,Data!$B$5:$B$216,$A6,Data!$C$5:$C$216,"F",Data!$AF$5:$AF$216,INT(C6/2)+1))/2)</f>
        <v/>
      </c>
      <c r="K6" s="14">
        <f>IF(OR(I6&lt;=0,C6=0,D6=0),0,(I6-J6)/I6*100)</f>
        <v/>
      </c>
      <c r="L6" s="12">
        <f>IF(D6=0,0,AVERAGEIFS(Data!$L$5:$L$216,Data!$B$5:$B$216,$A6,Data!$C$5:$C$216,"M"))</f>
        <v/>
      </c>
      <c r="M6" s="12">
        <f>IF(C6=0,0,AVERAGEIFS(Data!$L$5:$L$216,Data!$B$5:$B$216,$A6,Data!$C$5:$C$216,"F"))</f>
        <v/>
      </c>
      <c r="N6" s="14">
        <f>IF(OR(L6&lt;=0,C6=0,D6=0),0,(L6-M6)/L6*100)</f>
        <v/>
      </c>
      <c r="O6" s="12">
        <f>IF(D6=0,0,AVERAGEIFS(Data!$K$5:$K$216,Data!$B$5:$B$216,$A6,Data!$C$5:$C$216,"M"))</f>
        <v/>
      </c>
      <c r="P6" s="12">
        <f>IF(C6=0,0,AVERAGEIFS(Data!$K$5:$K$216,Data!$B$5:$B$216,$A6,Data!$C$5:$C$216,"F"))</f>
        <v/>
      </c>
      <c r="Q6" s="14">
        <f>IF(OR(O6&lt;=0,C6=0,D6=0),0,(O6-P6)/O6*100)</f>
        <v/>
      </c>
      <c r="R6" s="11">
        <f>IF(B6&lt;2,0,SUMPRODUCT((Data!$B$5:$B$216=$A6)*Data!$G$5:$G$216*Data!$G$5:$G$216)/B6-(SUMIFS(Data!$G$5:$G$216,Data!$B$5:$B$216,$A6)/B6)^2)</f>
        <v/>
      </c>
      <c r="S6" s="11">
        <f>IF(B6&lt;2,0,SUMPRODUCT((Data!$B$5:$B$216=$A6)*Data!$F$5:$F$216*Data!$F$5:$F$216)/B6-(SUMIFS(Data!$F$5:$F$216,Data!$B$5:$B$216,$A6)/B6)^2)</f>
        <v/>
      </c>
      <c r="T6" s="13">
        <f>IF(AND(B6&gt;=4,R6&gt;0.000000001,S6&gt;0.000000001),1,0)</f>
        <v/>
      </c>
      <c r="U6" s="12">
        <f>IF(OR(T6=0,ABS(BK6)&lt;0.000000001),0,((BH6-BB6*BD6/B6)*(BF6-BC6^2/B6)-(BI6-BC6*BD6/B6)*(BG6-BB6*BC6/B6))/BK6)</f>
        <v/>
      </c>
      <c r="V6" s="12">
        <f>IF(OR(T6=0,ABS(BK6)&lt;0.000000001),0,((BI6-BC6*BD6/B6)*(BE6-BB6^2/B6)-(BH6-BB6*BD6/B6)*(BG6-BB6*BC6/B6))/BK6)</f>
        <v/>
      </c>
      <c r="W6" s="11">
        <f>IF(OR(T6=0,ABS(BK6)&lt;0.000000001,(BJ6-BD6^2/B6)&lt;0.000000001),"",(U6*(BH6-BB6*BD6/B6)+V6*(BI6-BC6*BD6/B6))/(BJ6-BD6^2/B6))</f>
        <v/>
      </c>
      <c r="X6" s="14">
        <f>IF(H6&gt;=0,MAX(0,MIN(IF(OR(T6=0,E6&lt;=0),0,(U6*(IF(D6=0,0,AVERAGEIFS(Data!$G$5:$G$216,Data!$B$5:$B$216,$A6,Data!$C$5:$C$216,"M"))-IF(C6=0,0,AVERAGEIFS(Data!$G$5:$G$216,Data!$B$5:$B$216,$A6,Data!$C$5:$C$216,"F")))+V6*(IF(D6=0,0,AVERAGEIFS(Data!$F$5:$F$216,Data!$B$5:$B$216,$A6,Data!$C$5:$C$216,"M"))-IF(C6=0,0,AVERAGEIFS(Data!$F$5:$F$216,Data!$B$5:$B$216,$A6,Data!$C$5:$C$216,"F"))))/E6*100),H6)),MIN(0,MAX(IF(OR(T6=0,E6&lt;=0),0,(U6*(IF(D6=0,0,AVERAGEIFS(Data!$G$5:$G$216,Data!$B$5:$B$216,$A6,Data!$C$5:$C$216,"M"))-IF(C6=0,0,AVERAGEIFS(Data!$G$5:$G$216,Data!$B$5:$B$216,$A6,Data!$C$5:$C$216,"F")))+V6*(IF(D6=0,0,AVERAGEIFS(Data!$F$5:$F$216,Data!$B$5:$B$216,$A6,Data!$C$5:$C$216,"M"))-IF(C6=0,0,AVERAGEIFS(Data!$F$5:$F$216,Data!$B$5:$B$216,$A6,Data!$C$5:$C$216,"F"))))/E6*100),H6)))</f>
        <v/>
      </c>
      <c r="Y6" s="14">
        <f>H6-X6</f>
        <v/>
      </c>
      <c r="Z6" s="13">
        <f>IF(AND(H6&gt;=0,Y6&gt;threshold_pct),1,0)</f>
        <v/>
      </c>
      <c r="AA6" s="12">
        <f>IF(Z6=0,0,SUMIFS(Data!$Q$5:$Q$216,Data!$B$5:$B$216,$A6))</f>
        <v/>
      </c>
      <c r="AB6" s="12">
        <f>IF(Z6=0,0,(Y6-threshold_pct)/100*E6*C6)</f>
        <v/>
      </c>
      <c r="AC6" s="12">
        <f>SUMIFS(Data!$T$5:$T$216,Data!$B$5:$B$216,$A6)</f>
        <v/>
      </c>
      <c r="AD6" s="12">
        <f>SUMIFS(Data!$U$5:$U$216,Data!$B$5:$B$216,$A6)</f>
        <v/>
      </c>
      <c r="AE6" s="12">
        <f>AC6+AD6</f>
        <v/>
      </c>
      <c r="AF6" s="13">
        <f>SUMIFS(Data!$P$5:$P$216,Data!$B$5:$B$216,$A6)</f>
        <v/>
      </c>
      <c r="AG6" s="14">
        <f>IF(E6&lt;=0,0,(E6-(IF(C6=0,0,AVERAGEIFS(Data!$M$5:$M$216,Data!$B$5:$B$216,$A6,Data!$C$5:$C$216,"F"))+IF(C6=0,0,SUMIFS(Data!$S$5:$S$216,Data!$B$5:$B$216,$A6,Data!$C$5:$C$216,"F")/C6)))/E6*100-X6)</f>
        <v/>
      </c>
      <c r="AH6" s="13">
        <f>IF(AND(H6&gt;=0,Y6&gt;0),1,0)</f>
        <v/>
      </c>
      <c r="AI6" s="12">
        <f>IF(AH6=0,0,SUMIFS(Data!$X$5:$X$216,Data!$B$5:$B$216,$A6))</f>
        <v/>
      </c>
      <c r="AJ6" s="12">
        <f>IF(AH6=0,0,Y6/100*E6*C6)</f>
        <v/>
      </c>
      <c r="AK6" s="12">
        <f>SUMIFS(Data!$AA$5:$AA$216,Data!$B$5:$B$216,$A6)</f>
        <v/>
      </c>
      <c r="AL6" s="12">
        <f>SUMIFS(Data!$AB$5:$AB$216,Data!$B$5:$B$216,$A6)</f>
        <v/>
      </c>
      <c r="AM6" s="12">
        <f>AK6+AL6</f>
        <v/>
      </c>
      <c r="AN6" s="13">
        <f>SUMIFS(Data!$W$5:$W$216,Data!$B$5:$B$216,$A6)</f>
        <v/>
      </c>
      <c r="AO6" s="14">
        <f>IF(E6&lt;=0,0,(E6-(IF(C6=0,0,AVERAGEIFS(Data!$M$5:$M$216,Data!$B$5:$B$216,$A6,Data!$C$5:$C$216,"F"))+IF(C6=0,0,SUMIFS(Data!$Z$5:$Z$216,Data!$B$5:$B$216,$A6,Data!$C$5:$C$216,"F")/C6)))/E6*100-X6)</f>
        <v/>
      </c>
      <c r="AP6" s="13">
        <f>IF(OR(B6&lt;10,C6&lt;3,D6&lt;3),1,0)</f>
        <v/>
      </c>
      <c r="AQ6" s="13">
        <f>IF(H6&lt;0,1,0)</f>
        <v/>
      </c>
      <c r="BA6" s="11">
        <f>B6</f>
        <v/>
      </c>
      <c r="BB6" s="11">
        <f>SUMIFS(Data!$G$5:$G$216,Data!$B$5:$B$216,$A6)</f>
        <v/>
      </c>
      <c r="BC6" s="11">
        <f>SUMIFS(Data!$F$5:$F$216,Data!$B$5:$B$216,$A6)</f>
        <v/>
      </c>
      <c r="BD6" s="11">
        <f>SUMIFS(Data!$M$5:$M$216,Data!$B$5:$B$216,$A6)</f>
        <v/>
      </c>
      <c r="BE6" s="11">
        <f>SUMPRODUCT((Data!$B$5:$B$216=$A6)*Data!$G$5:$G$216*Data!$G$5:$G$216)</f>
        <v/>
      </c>
      <c r="BF6" s="11">
        <f>SUMPRODUCT((Data!$B$5:$B$216=$A6)*Data!$F$5:$F$216*Data!$F$5:$F$216)</f>
        <v/>
      </c>
      <c r="BG6" s="11">
        <f>SUMPRODUCT((Data!$B$5:$B$216=$A6)*Data!$G$5:$G$216*Data!$F$5:$F$216)</f>
        <v/>
      </c>
      <c r="BH6" s="11">
        <f>SUMPRODUCT((Data!$B$5:$B$216=$A6)*Data!$G$5:$G$216*Data!$M$5:$M$216)</f>
        <v/>
      </c>
      <c r="BI6" s="11">
        <f>SUMPRODUCT((Data!$B$5:$B$216=$A6)*Data!$F$5:$F$216*Data!$M$5:$M$216)</f>
        <v/>
      </c>
      <c r="BJ6" s="11">
        <f>SUMPRODUCT((Data!$B$5:$B$216=$A6)*Data!$M$5:$M$216*Data!$M$5:$M$216)</f>
        <v/>
      </c>
      <c r="BK6" s="11">
        <f>IF(T6=0,0,((BE6-BB6^2/B6)*(BF6-BC6^2/B6)-(BG6-BB6*BC6/B6)^2))</f>
        <v/>
      </c>
    </row>
    <row r="7">
      <c r="A7" s="9" t="inlineStr">
        <is>
          <t>Legal</t>
        </is>
      </c>
      <c r="B7" s="13">
        <f>COUNTIF(Data!$B$5:$B$216,$A7)</f>
        <v/>
      </c>
      <c r="C7" s="13">
        <f>COUNTIFS(Data!$B$5:$B$216,$A7,Data!$C$5:$C$216,"F")</f>
        <v/>
      </c>
      <c r="D7" s="13">
        <f>COUNTIFS(Data!$B$5:$B$216,$A7,Data!$C$5:$C$216,"M")</f>
        <v/>
      </c>
      <c r="E7" s="12">
        <f>IF(D7=0,0,AVERAGEIFS(Data!$M$5:$M$216,Data!$B$5:$B$216,$A7,Data!$C$5:$C$216,"M"))</f>
        <v/>
      </c>
      <c r="F7" s="12">
        <f>IF(C7=0,0,AVERAGEIFS(Data!$M$5:$M$216,Data!$B$5:$B$216,$A7,Data!$C$5:$C$216,"F"))</f>
        <v/>
      </c>
      <c r="G7" s="12">
        <f>IF(B7=0,0,SUMIFS(Data!$O$5:$O$216,Data!$B$5:$B$216,$A7,Data!$AD$5:$AD$216,1))</f>
        <v/>
      </c>
      <c r="H7" s="14">
        <f>IF(OR(E7&lt;=0,C7=0,D7=0),0,(E7-F7)/E7*100)</f>
        <v/>
      </c>
      <c r="I7" s="12">
        <f>IF(D7=0,0,(SUMIFS(Data!$M$5:$M$216,Data!$B$5:$B$216,$A7,Data!$C$5:$C$216,"M",Data!$AF$5:$AF$216,INT((D7+1)/2))+SUMIFS(Data!$M$5:$M$216,Data!$B$5:$B$216,$A7,Data!$C$5:$C$216,"M",Data!$AF$5:$AF$216,INT(D7/2)+1))/2)</f>
        <v/>
      </c>
      <c r="J7" s="12">
        <f>IF(C7=0,0,(SUMIFS(Data!$M$5:$M$216,Data!$B$5:$B$216,$A7,Data!$C$5:$C$216,"F",Data!$AF$5:$AF$216,INT((C7+1)/2))+SUMIFS(Data!$M$5:$M$216,Data!$B$5:$B$216,$A7,Data!$C$5:$C$216,"F",Data!$AF$5:$AF$216,INT(C7/2)+1))/2)</f>
        <v/>
      </c>
      <c r="K7" s="14">
        <f>IF(OR(I7&lt;=0,C7=0,D7=0),0,(I7-J7)/I7*100)</f>
        <v/>
      </c>
      <c r="L7" s="12">
        <f>IF(D7=0,0,AVERAGEIFS(Data!$L$5:$L$216,Data!$B$5:$B$216,$A7,Data!$C$5:$C$216,"M"))</f>
        <v/>
      </c>
      <c r="M7" s="12">
        <f>IF(C7=0,0,AVERAGEIFS(Data!$L$5:$L$216,Data!$B$5:$B$216,$A7,Data!$C$5:$C$216,"F"))</f>
        <v/>
      </c>
      <c r="N7" s="14">
        <f>IF(OR(L7&lt;=0,C7=0,D7=0),0,(L7-M7)/L7*100)</f>
        <v/>
      </c>
      <c r="O7" s="12">
        <f>IF(D7=0,0,AVERAGEIFS(Data!$K$5:$K$216,Data!$B$5:$B$216,$A7,Data!$C$5:$C$216,"M"))</f>
        <v/>
      </c>
      <c r="P7" s="12">
        <f>IF(C7=0,0,AVERAGEIFS(Data!$K$5:$K$216,Data!$B$5:$B$216,$A7,Data!$C$5:$C$216,"F"))</f>
        <v/>
      </c>
      <c r="Q7" s="14">
        <f>IF(OR(O7&lt;=0,C7=0,D7=0),0,(O7-P7)/O7*100)</f>
        <v/>
      </c>
      <c r="R7" s="11">
        <f>IF(B7&lt;2,0,SUMPRODUCT((Data!$B$5:$B$216=$A7)*Data!$G$5:$G$216*Data!$G$5:$G$216)/B7-(SUMIFS(Data!$G$5:$G$216,Data!$B$5:$B$216,$A7)/B7)^2)</f>
        <v/>
      </c>
      <c r="S7" s="11">
        <f>IF(B7&lt;2,0,SUMPRODUCT((Data!$B$5:$B$216=$A7)*Data!$F$5:$F$216*Data!$F$5:$F$216)/B7-(SUMIFS(Data!$F$5:$F$216,Data!$B$5:$B$216,$A7)/B7)^2)</f>
        <v/>
      </c>
      <c r="T7" s="13">
        <f>IF(AND(B7&gt;=4,R7&gt;0.000000001,S7&gt;0.000000001),1,0)</f>
        <v/>
      </c>
      <c r="U7" s="12">
        <f>IF(OR(T7=0,ABS(BK7)&lt;0.000000001),0,((BH7-BB7*BD7/B7)*(BF7-BC7^2/B7)-(BI7-BC7*BD7/B7)*(BG7-BB7*BC7/B7))/BK7)</f>
        <v/>
      </c>
      <c r="V7" s="12">
        <f>IF(OR(T7=0,ABS(BK7)&lt;0.000000001),0,((BI7-BC7*BD7/B7)*(BE7-BB7^2/B7)-(BH7-BB7*BD7/B7)*(BG7-BB7*BC7/B7))/BK7)</f>
        <v/>
      </c>
      <c r="W7" s="11">
        <f>IF(OR(T7=0,ABS(BK7)&lt;0.000000001,(BJ7-BD7^2/B7)&lt;0.000000001),"",(U7*(BH7-BB7*BD7/B7)+V7*(BI7-BC7*BD7/B7))/(BJ7-BD7^2/B7))</f>
        <v/>
      </c>
      <c r="X7" s="14">
        <f>IF(H7&gt;=0,MAX(0,MIN(IF(OR(T7=0,E7&lt;=0),0,(U7*(IF(D7=0,0,AVERAGEIFS(Data!$G$5:$G$216,Data!$B$5:$B$216,$A7,Data!$C$5:$C$216,"M"))-IF(C7=0,0,AVERAGEIFS(Data!$G$5:$G$216,Data!$B$5:$B$216,$A7,Data!$C$5:$C$216,"F")))+V7*(IF(D7=0,0,AVERAGEIFS(Data!$F$5:$F$216,Data!$B$5:$B$216,$A7,Data!$C$5:$C$216,"M"))-IF(C7=0,0,AVERAGEIFS(Data!$F$5:$F$216,Data!$B$5:$B$216,$A7,Data!$C$5:$C$216,"F"))))/E7*100),H7)),MIN(0,MAX(IF(OR(T7=0,E7&lt;=0),0,(U7*(IF(D7=0,0,AVERAGEIFS(Data!$G$5:$G$216,Data!$B$5:$B$216,$A7,Data!$C$5:$C$216,"M"))-IF(C7=0,0,AVERAGEIFS(Data!$G$5:$G$216,Data!$B$5:$B$216,$A7,Data!$C$5:$C$216,"F")))+V7*(IF(D7=0,0,AVERAGEIFS(Data!$F$5:$F$216,Data!$B$5:$B$216,$A7,Data!$C$5:$C$216,"M"))-IF(C7=0,0,AVERAGEIFS(Data!$F$5:$F$216,Data!$B$5:$B$216,$A7,Data!$C$5:$C$216,"F"))))/E7*100),H7)))</f>
        <v/>
      </c>
      <c r="Y7" s="14">
        <f>H7-X7</f>
        <v/>
      </c>
      <c r="Z7" s="13">
        <f>IF(AND(H7&gt;=0,Y7&gt;threshold_pct),1,0)</f>
        <v/>
      </c>
      <c r="AA7" s="12">
        <f>IF(Z7=0,0,SUMIFS(Data!$Q$5:$Q$216,Data!$B$5:$B$216,$A7))</f>
        <v/>
      </c>
      <c r="AB7" s="12">
        <f>IF(Z7=0,0,(Y7-threshold_pct)/100*E7*C7)</f>
        <v/>
      </c>
      <c r="AC7" s="12">
        <f>SUMIFS(Data!$T$5:$T$216,Data!$B$5:$B$216,$A7)</f>
        <v/>
      </c>
      <c r="AD7" s="12">
        <f>SUMIFS(Data!$U$5:$U$216,Data!$B$5:$B$216,$A7)</f>
        <v/>
      </c>
      <c r="AE7" s="12">
        <f>AC7+AD7</f>
        <v/>
      </c>
      <c r="AF7" s="13">
        <f>SUMIFS(Data!$P$5:$P$216,Data!$B$5:$B$216,$A7)</f>
        <v/>
      </c>
      <c r="AG7" s="14">
        <f>IF(E7&lt;=0,0,(E7-(IF(C7=0,0,AVERAGEIFS(Data!$M$5:$M$216,Data!$B$5:$B$216,$A7,Data!$C$5:$C$216,"F"))+IF(C7=0,0,SUMIFS(Data!$S$5:$S$216,Data!$B$5:$B$216,$A7,Data!$C$5:$C$216,"F")/C7)))/E7*100-X7)</f>
        <v/>
      </c>
      <c r="AH7" s="13">
        <f>IF(AND(H7&gt;=0,Y7&gt;0),1,0)</f>
        <v/>
      </c>
      <c r="AI7" s="12">
        <f>IF(AH7=0,0,SUMIFS(Data!$X$5:$X$216,Data!$B$5:$B$216,$A7))</f>
        <v/>
      </c>
      <c r="AJ7" s="12">
        <f>IF(AH7=0,0,Y7/100*E7*C7)</f>
        <v/>
      </c>
      <c r="AK7" s="12">
        <f>SUMIFS(Data!$AA$5:$AA$216,Data!$B$5:$B$216,$A7)</f>
        <v/>
      </c>
      <c r="AL7" s="12">
        <f>SUMIFS(Data!$AB$5:$AB$216,Data!$B$5:$B$216,$A7)</f>
        <v/>
      </c>
      <c r="AM7" s="12">
        <f>AK7+AL7</f>
        <v/>
      </c>
      <c r="AN7" s="13">
        <f>SUMIFS(Data!$W$5:$W$216,Data!$B$5:$B$216,$A7)</f>
        <v/>
      </c>
      <c r="AO7" s="14">
        <f>IF(E7&lt;=0,0,(E7-(IF(C7=0,0,AVERAGEIFS(Data!$M$5:$M$216,Data!$B$5:$B$216,$A7,Data!$C$5:$C$216,"F"))+IF(C7=0,0,SUMIFS(Data!$Z$5:$Z$216,Data!$B$5:$B$216,$A7,Data!$C$5:$C$216,"F")/C7)))/E7*100-X7)</f>
        <v/>
      </c>
      <c r="AP7" s="13">
        <f>IF(OR(B7&lt;10,C7&lt;3,D7&lt;3),1,0)</f>
        <v/>
      </c>
      <c r="AQ7" s="13">
        <f>IF(H7&lt;0,1,0)</f>
        <v/>
      </c>
      <c r="BA7" s="11">
        <f>B7</f>
        <v/>
      </c>
      <c r="BB7" s="11">
        <f>SUMIFS(Data!$G$5:$G$216,Data!$B$5:$B$216,$A7)</f>
        <v/>
      </c>
      <c r="BC7" s="11">
        <f>SUMIFS(Data!$F$5:$F$216,Data!$B$5:$B$216,$A7)</f>
        <v/>
      </c>
      <c r="BD7" s="11">
        <f>SUMIFS(Data!$M$5:$M$216,Data!$B$5:$B$216,$A7)</f>
        <v/>
      </c>
      <c r="BE7" s="11">
        <f>SUMPRODUCT((Data!$B$5:$B$216=$A7)*Data!$G$5:$G$216*Data!$G$5:$G$216)</f>
        <v/>
      </c>
      <c r="BF7" s="11">
        <f>SUMPRODUCT((Data!$B$5:$B$216=$A7)*Data!$F$5:$F$216*Data!$F$5:$F$216)</f>
        <v/>
      </c>
      <c r="BG7" s="11">
        <f>SUMPRODUCT((Data!$B$5:$B$216=$A7)*Data!$G$5:$G$216*Data!$F$5:$F$216)</f>
        <v/>
      </c>
      <c r="BH7" s="11">
        <f>SUMPRODUCT((Data!$B$5:$B$216=$A7)*Data!$G$5:$G$216*Data!$M$5:$M$216)</f>
        <v/>
      </c>
      <c r="BI7" s="11">
        <f>SUMPRODUCT((Data!$B$5:$B$216=$A7)*Data!$F$5:$F$216*Data!$M$5:$M$216)</f>
        <v/>
      </c>
      <c r="BJ7" s="11">
        <f>SUMPRODUCT((Data!$B$5:$B$216=$A7)*Data!$M$5:$M$216*Data!$M$5:$M$216)</f>
        <v/>
      </c>
      <c r="BK7" s="11">
        <f>IF(T7=0,0,((BE7-BB7^2/B7)*(BF7-BC7^2/B7)-(BG7-BB7*BC7/B7)^2))</f>
        <v/>
      </c>
    </row>
    <row r="8">
      <c r="A8" s="9" t="inlineStr">
        <is>
          <t>Marketing</t>
        </is>
      </c>
      <c r="B8" s="13">
        <f>COUNTIF(Data!$B$5:$B$216,$A8)</f>
        <v/>
      </c>
      <c r="C8" s="13">
        <f>COUNTIFS(Data!$B$5:$B$216,$A8,Data!$C$5:$C$216,"F")</f>
        <v/>
      </c>
      <c r="D8" s="13">
        <f>COUNTIFS(Data!$B$5:$B$216,$A8,Data!$C$5:$C$216,"M")</f>
        <v/>
      </c>
      <c r="E8" s="12">
        <f>IF(D8=0,0,AVERAGEIFS(Data!$M$5:$M$216,Data!$B$5:$B$216,$A8,Data!$C$5:$C$216,"M"))</f>
        <v/>
      </c>
      <c r="F8" s="12">
        <f>IF(C8=0,0,AVERAGEIFS(Data!$M$5:$M$216,Data!$B$5:$B$216,$A8,Data!$C$5:$C$216,"F"))</f>
        <v/>
      </c>
      <c r="G8" s="12">
        <f>IF(B8=0,0,SUMIFS(Data!$O$5:$O$216,Data!$B$5:$B$216,$A8,Data!$AD$5:$AD$216,1))</f>
        <v/>
      </c>
      <c r="H8" s="14">
        <f>IF(OR(E8&lt;=0,C8=0,D8=0),0,(E8-F8)/E8*100)</f>
        <v/>
      </c>
      <c r="I8" s="12">
        <f>IF(D8=0,0,(SUMIFS(Data!$M$5:$M$216,Data!$B$5:$B$216,$A8,Data!$C$5:$C$216,"M",Data!$AF$5:$AF$216,INT((D8+1)/2))+SUMIFS(Data!$M$5:$M$216,Data!$B$5:$B$216,$A8,Data!$C$5:$C$216,"M",Data!$AF$5:$AF$216,INT(D8/2)+1))/2)</f>
        <v/>
      </c>
      <c r="J8" s="12">
        <f>IF(C8=0,0,(SUMIFS(Data!$M$5:$M$216,Data!$B$5:$B$216,$A8,Data!$C$5:$C$216,"F",Data!$AF$5:$AF$216,INT((C8+1)/2))+SUMIFS(Data!$M$5:$M$216,Data!$B$5:$B$216,$A8,Data!$C$5:$C$216,"F",Data!$AF$5:$AF$216,INT(C8/2)+1))/2)</f>
        <v/>
      </c>
      <c r="K8" s="14">
        <f>IF(OR(I8&lt;=0,C8=0,D8=0),0,(I8-J8)/I8*100)</f>
        <v/>
      </c>
      <c r="L8" s="12">
        <f>IF(D8=0,0,AVERAGEIFS(Data!$L$5:$L$216,Data!$B$5:$B$216,$A8,Data!$C$5:$C$216,"M"))</f>
        <v/>
      </c>
      <c r="M8" s="12">
        <f>IF(C8=0,0,AVERAGEIFS(Data!$L$5:$L$216,Data!$B$5:$B$216,$A8,Data!$C$5:$C$216,"F"))</f>
        <v/>
      </c>
      <c r="N8" s="14">
        <f>IF(OR(L8&lt;=0,C8=0,D8=0),0,(L8-M8)/L8*100)</f>
        <v/>
      </c>
      <c r="O8" s="12">
        <f>IF(D8=0,0,AVERAGEIFS(Data!$K$5:$K$216,Data!$B$5:$B$216,$A8,Data!$C$5:$C$216,"M"))</f>
        <v/>
      </c>
      <c r="P8" s="12">
        <f>IF(C8=0,0,AVERAGEIFS(Data!$K$5:$K$216,Data!$B$5:$B$216,$A8,Data!$C$5:$C$216,"F"))</f>
        <v/>
      </c>
      <c r="Q8" s="14">
        <f>IF(OR(O8&lt;=0,C8=0,D8=0),0,(O8-P8)/O8*100)</f>
        <v/>
      </c>
      <c r="R8" s="11">
        <f>IF(B8&lt;2,0,SUMPRODUCT((Data!$B$5:$B$216=$A8)*Data!$G$5:$G$216*Data!$G$5:$G$216)/B8-(SUMIFS(Data!$G$5:$G$216,Data!$B$5:$B$216,$A8)/B8)^2)</f>
        <v/>
      </c>
      <c r="S8" s="11">
        <f>IF(B8&lt;2,0,SUMPRODUCT((Data!$B$5:$B$216=$A8)*Data!$F$5:$F$216*Data!$F$5:$F$216)/B8-(SUMIFS(Data!$F$5:$F$216,Data!$B$5:$B$216,$A8)/B8)^2)</f>
        <v/>
      </c>
      <c r="T8" s="13">
        <f>IF(AND(B8&gt;=4,R8&gt;0.000000001,S8&gt;0.000000001),1,0)</f>
        <v/>
      </c>
      <c r="U8" s="12">
        <f>IF(OR(T8=0,ABS(BK8)&lt;0.000000001),0,((BH8-BB8*BD8/B8)*(BF8-BC8^2/B8)-(BI8-BC8*BD8/B8)*(BG8-BB8*BC8/B8))/BK8)</f>
        <v/>
      </c>
      <c r="V8" s="12">
        <f>IF(OR(T8=0,ABS(BK8)&lt;0.000000001),0,((BI8-BC8*BD8/B8)*(BE8-BB8^2/B8)-(BH8-BB8*BD8/B8)*(BG8-BB8*BC8/B8))/BK8)</f>
        <v/>
      </c>
      <c r="W8" s="11">
        <f>IF(OR(T8=0,ABS(BK8)&lt;0.000000001,(BJ8-BD8^2/B8)&lt;0.000000001),"",(U8*(BH8-BB8*BD8/B8)+V8*(BI8-BC8*BD8/B8))/(BJ8-BD8^2/B8))</f>
        <v/>
      </c>
      <c r="X8" s="14">
        <f>IF(H8&gt;=0,MAX(0,MIN(IF(OR(T8=0,E8&lt;=0),0,(U8*(IF(D8=0,0,AVERAGEIFS(Data!$G$5:$G$216,Data!$B$5:$B$216,$A8,Data!$C$5:$C$216,"M"))-IF(C8=0,0,AVERAGEIFS(Data!$G$5:$G$216,Data!$B$5:$B$216,$A8,Data!$C$5:$C$216,"F")))+V8*(IF(D8=0,0,AVERAGEIFS(Data!$F$5:$F$216,Data!$B$5:$B$216,$A8,Data!$C$5:$C$216,"M"))-IF(C8=0,0,AVERAGEIFS(Data!$F$5:$F$216,Data!$B$5:$B$216,$A8,Data!$C$5:$C$216,"F"))))/E8*100),H8)),MIN(0,MAX(IF(OR(T8=0,E8&lt;=0),0,(U8*(IF(D8=0,0,AVERAGEIFS(Data!$G$5:$G$216,Data!$B$5:$B$216,$A8,Data!$C$5:$C$216,"M"))-IF(C8=0,0,AVERAGEIFS(Data!$G$5:$G$216,Data!$B$5:$B$216,$A8,Data!$C$5:$C$216,"F")))+V8*(IF(D8=0,0,AVERAGEIFS(Data!$F$5:$F$216,Data!$B$5:$B$216,$A8,Data!$C$5:$C$216,"M"))-IF(C8=0,0,AVERAGEIFS(Data!$F$5:$F$216,Data!$B$5:$B$216,$A8,Data!$C$5:$C$216,"F"))))/E8*100),H8)))</f>
        <v/>
      </c>
      <c r="Y8" s="14">
        <f>H8-X8</f>
        <v/>
      </c>
      <c r="Z8" s="13">
        <f>IF(AND(H8&gt;=0,Y8&gt;threshold_pct),1,0)</f>
        <v/>
      </c>
      <c r="AA8" s="12">
        <f>IF(Z8=0,0,SUMIFS(Data!$Q$5:$Q$216,Data!$B$5:$B$216,$A8))</f>
        <v/>
      </c>
      <c r="AB8" s="12">
        <f>IF(Z8=0,0,(Y8-threshold_pct)/100*E8*C8)</f>
        <v/>
      </c>
      <c r="AC8" s="12">
        <f>SUMIFS(Data!$T$5:$T$216,Data!$B$5:$B$216,$A8)</f>
        <v/>
      </c>
      <c r="AD8" s="12">
        <f>SUMIFS(Data!$U$5:$U$216,Data!$B$5:$B$216,$A8)</f>
        <v/>
      </c>
      <c r="AE8" s="12">
        <f>AC8+AD8</f>
        <v/>
      </c>
      <c r="AF8" s="13">
        <f>SUMIFS(Data!$P$5:$P$216,Data!$B$5:$B$216,$A8)</f>
        <v/>
      </c>
      <c r="AG8" s="14">
        <f>IF(E8&lt;=0,0,(E8-(IF(C8=0,0,AVERAGEIFS(Data!$M$5:$M$216,Data!$B$5:$B$216,$A8,Data!$C$5:$C$216,"F"))+IF(C8=0,0,SUMIFS(Data!$S$5:$S$216,Data!$B$5:$B$216,$A8,Data!$C$5:$C$216,"F")/C8)))/E8*100-X8)</f>
        <v/>
      </c>
      <c r="AH8" s="13">
        <f>IF(AND(H8&gt;=0,Y8&gt;0),1,0)</f>
        <v/>
      </c>
      <c r="AI8" s="12">
        <f>IF(AH8=0,0,SUMIFS(Data!$X$5:$X$216,Data!$B$5:$B$216,$A8))</f>
        <v/>
      </c>
      <c r="AJ8" s="12">
        <f>IF(AH8=0,0,Y8/100*E8*C8)</f>
        <v/>
      </c>
      <c r="AK8" s="12">
        <f>SUMIFS(Data!$AA$5:$AA$216,Data!$B$5:$B$216,$A8)</f>
        <v/>
      </c>
      <c r="AL8" s="12">
        <f>SUMIFS(Data!$AB$5:$AB$216,Data!$B$5:$B$216,$A8)</f>
        <v/>
      </c>
      <c r="AM8" s="12">
        <f>AK8+AL8</f>
        <v/>
      </c>
      <c r="AN8" s="13">
        <f>SUMIFS(Data!$W$5:$W$216,Data!$B$5:$B$216,$A8)</f>
        <v/>
      </c>
      <c r="AO8" s="14">
        <f>IF(E8&lt;=0,0,(E8-(IF(C8=0,0,AVERAGEIFS(Data!$M$5:$M$216,Data!$B$5:$B$216,$A8,Data!$C$5:$C$216,"F"))+IF(C8=0,0,SUMIFS(Data!$Z$5:$Z$216,Data!$B$5:$B$216,$A8,Data!$C$5:$C$216,"F")/C8)))/E8*100-X8)</f>
        <v/>
      </c>
      <c r="AP8" s="13">
        <f>IF(OR(B8&lt;10,C8&lt;3,D8&lt;3),1,0)</f>
        <v/>
      </c>
      <c r="AQ8" s="13">
        <f>IF(H8&lt;0,1,0)</f>
        <v/>
      </c>
      <c r="BA8" s="11">
        <f>B8</f>
        <v/>
      </c>
      <c r="BB8" s="11">
        <f>SUMIFS(Data!$G$5:$G$216,Data!$B$5:$B$216,$A8)</f>
        <v/>
      </c>
      <c r="BC8" s="11">
        <f>SUMIFS(Data!$F$5:$F$216,Data!$B$5:$B$216,$A8)</f>
        <v/>
      </c>
      <c r="BD8" s="11">
        <f>SUMIFS(Data!$M$5:$M$216,Data!$B$5:$B$216,$A8)</f>
        <v/>
      </c>
      <c r="BE8" s="11">
        <f>SUMPRODUCT((Data!$B$5:$B$216=$A8)*Data!$G$5:$G$216*Data!$G$5:$G$216)</f>
        <v/>
      </c>
      <c r="BF8" s="11">
        <f>SUMPRODUCT((Data!$B$5:$B$216=$A8)*Data!$F$5:$F$216*Data!$F$5:$F$216)</f>
        <v/>
      </c>
      <c r="BG8" s="11">
        <f>SUMPRODUCT((Data!$B$5:$B$216=$A8)*Data!$G$5:$G$216*Data!$F$5:$F$216)</f>
        <v/>
      </c>
      <c r="BH8" s="11">
        <f>SUMPRODUCT((Data!$B$5:$B$216=$A8)*Data!$G$5:$G$216*Data!$M$5:$M$216)</f>
        <v/>
      </c>
      <c r="BI8" s="11">
        <f>SUMPRODUCT((Data!$B$5:$B$216=$A8)*Data!$F$5:$F$216*Data!$M$5:$M$216)</f>
        <v/>
      </c>
      <c r="BJ8" s="11">
        <f>SUMPRODUCT((Data!$B$5:$B$216=$A8)*Data!$M$5:$M$216*Data!$M$5:$M$216)</f>
        <v/>
      </c>
      <c r="BK8" s="11">
        <f>IF(T8=0,0,((BE8-BB8^2/B8)*(BF8-BC8^2/B8)-(BG8-BB8*BC8/B8)^2))</f>
        <v/>
      </c>
    </row>
    <row r="9">
      <c r="A9" s="9" t="inlineStr">
        <is>
          <t>Manufacturing</t>
        </is>
      </c>
      <c r="B9" s="13">
        <f>COUNTIF(Data!$B$5:$B$216,$A9)</f>
        <v/>
      </c>
      <c r="C9" s="13">
        <f>COUNTIFS(Data!$B$5:$B$216,$A9,Data!$C$5:$C$216,"F")</f>
        <v/>
      </c>
      <c r="D9" s="13">
        <f>COUNTIFS(Data!$B$5:$B$216,$A9,Data!$C$5:$C$216,"M")</f>
        <v/>
      </c>
      <c r="E9" s="12">
        <f>IF(D9=0,0,AVERAGEIFS(Data!$M$5:$M$216,Data!$B$5:$B$216,$A9,Data!$C$5:$C$216,"M"))</f>
        <v/>
      </c>
      <c r="F9" s="12">
        <f>IF(C9=0,0,AVERAGEIFS(Data!$M$5:$M$216,Data!$B$5:$B$216,$A9,Data!$C$5:$C$216,"F"))</f>
        <v/>
      </c>
      <c r="G9" s="12">
        <f>IF(B9=0,0,SUMIFS(Data!$O$5:$O$216,Data!$B$5:$B$216,$A9,Data!$AD$5:$AD$216,1))</f>
        <v/>
      </c>
      <c r="H9" s="14">
        <f>IF(OR(E9&lt;=0,C9=0,D9=0),0,(E9-F9)/E9*100)</f>
        <v/>
      </c>
      <c r="I9" s="12">
        <f>IF(D9=0,0,(SUMIFS(Data!$M$5:$M$216,Data!$B$5:$B$216,$A9,Data!$C$5:$C$216,"M",Data!$AF$5:$AF$216,INT((D9+1)/2))+SUMIFS(Data!$M$5:$M$216,Data!$B$5:$B$216,$A9,Data!$C$5:$C$216,"M",Data!$AF$5:$AF$216,INT(D9/2)+1))/2)</f>
        <v/>
      </c>
      <c r="J9" s="12">
        <f>IF(C9=0,0,(SUMIFS(Data!$M$5:$M$216,Data!$B$5:$B$216,$A9,Data!$C$5:$C$216,"F",Data!$AF$5:$AF$216,INT((C9+1)/2))+SUMIFS(Data!$M$5:$M$216,Data!$B$5:$B$216,$A9,Data!$C$5:$C$216,"F",Data!$AF$5:$AF$216,INT(C9/2)+1))/2)</f>
        <v/>
      </c>
      <c r="K9" s="14">
        <f>IF(OR(I9&lt;=0,C9=0,D9=0),0,(I9-J9)/I9*100)</f>
        <v/>
      </c>
      <c r="L9" s="12">
        <f>IF(D9=0,0,AVERAGEIFS(Data!$L$5:$L$216,Data!$B$5:$B$216,$A9,Data!$C$5:$C$216,"M"))</f>
        <v/>
      </c>
      <c r="M9" s="12">
        <f>IF(C9=0,0,AVERAGEIFS(Data!$L$5:$L$216,Data!$B$5:$B$216,$A9,Data!$C$5:$C$216,"F"))</f>
        <v/>
      </c>
      <c r="N9" s="14">
        <f>IF(OR(L9&lt;=0,C9=0,D9=0),0,(L9-M9)/L9*100)</f>
        <v/>
      </c>
      <c r="O9" s="12">
        <f>IF(D9=0,0,AVERAGEIFS(Data!$K$5:$K$216,Data!$B$5:$B$216,$A9,Data!$C$5:$C$216,"M"))</f>
        <v/>
      </c>
      <c r="P9" s="12">
        <f>IF(C9=0,0,AVERAGEIFS(Data!$K$5:$K$216,Data!$B$5:$B$216,$A9,Data!$C$5:$C$216,"F"))</f>
        <v/>
      </c>
      <c r="Q9" s="14">
        <f>IF(OR(O9&lt;=0,C9=0,D9=0),0,(O9-P9)/O9*100)</f>
        <v/>
      </c>
      <c r="R9" s="11">
        <f>IF(B9&lt;2,0,SUMPRODUCT((Data!$B$5:$B$216=$A9)*Data!$G$5:$G$216*Data!$G$5:$G$216)/B9-(SUMIFS(Data!$G$5:$G$216,Data!$B$5:$B$216,$A9)/B9)^2)</f>
        <v/>
      </c>
      <c r="S9" s="11">
        <f>IF(B9&lt;2,0,SUMPRODUCT((Data!$B$5:$B$216=$A9)*Data!$F$5:$F$216*Data!$F$5:$F$216)/B9-(SUMIFS(Data!$F$5:$F$216,Data!$B$5:$B$216,$A9)/B9)^2)</f>
        <v/>
      </c>
      <c r="T9" s="13">
        <f>IF(AND(B9&gt;=4,R9&gt;0.000000001,S9&gt;0.000000001),1,0)</f>
        <v/>
      </c>
      <c r="U9" s="12">
        <f>IF(OR(T9=0,ABS(BK9)&lt;0.000000001),0,((BH9-BB9*BD9/B9)*(BF9-BC9^2/B9)-(BI9-BC9*BD9/B9)*(BG9-BB9*BC9/B9))/BK9)</f>
        <v/>
      </c>
      <c r="V9" s="12">
        <f>IF(OR(T9=0,ABS(BK9)&lt;0.000000001),0,((BI9-BC9*BD9/B9)*(BE9-BB9^2/B9)-(BH9-BB9*BD9/B9)*(BG9-BB9*BC9/B9))/BK9)</f>
        <v/>
      </c>
      <c r="W9" s="11">
        <f>IF(OR(T9=0,ABS(BK9)&lt;0.000000001,(BJ9-BD9^2/B9)&lt;0.000000001),"",(U9*(BH9-BB9*BD9/B9)+V9*(BI9-BC9*BD9/B9))/(BJ9-BD9^2/B9))</f>
        <v/>
      </c>
      <c r="X9" s="14">
        <f>IF(H9&gt;=0,MAX(0,MIN(IF(OR(T9=0,E9&lt;=0),0,(U9*(IF(D9=0,0,AVERAGEIFS(Data!$G$5:$G$216,Data!$B$5:$B$216,$A9,Data!$C$5:$C$216,"M"))-IF(C9=0,0,AVERAGEIFS(Data!$G$5:$G$216,Data!$B$5:$B$216,$A9,Data!$C$5:$C$216,"F")))+V9*(IF(D9=0,0,AVERAGEIFS(Data!$F$5:$F$216,Data!$B$5:$B$216,$A9,Data!$C$5:$C$216,"M"))-IF(C9=0,0,AVERAGEIFS(Data!$F$5:$F$216,Data!$B$5:$B$216,$A9,Data!$C$5:$C$216,"F"))))/E9*100),H9)),MIN(0,MAX(IF(OR(T9=0,E9&lt;=0),0,(U9*(IF(D9=0,0,AVERAGEIFS(Data!$G$5:$G$216,Data!$B$5:$B$216,$A9,Data!$C$5:$C$216,"M"))-IF(C9=0,0,AVERAGEIFS(Data!$G$5:$G$216,Data!$B$5:$B$216,$A9,Data!$C$5:$C$216,"F")))+V9*(IF(D9=0,0,AVERAGEIFS(Data!$F$5:$F$216,Data!$B$5:$B$216,$A9,Data!$C$5:$C$216,"M"))-IF(C9=0,0,AVERAGEIFS(Data!$F$5:$F$216,Data!$B$5:$B$216,$A9,Data!$C$5:$C$216,"F"))))/E9*100),H9)))</f>
        <v/>
      </c>
      <c r="Y9" s="14">
        <f>H9-X9</f>
        <v/>
      </c>
      <c r="Z9" s="13">
        <f>IF(AND(H9&gt;=0,Y9&gt;threshold_pct),1,0)</f>
        <v/>
      </c>
      <c r="AA9" s="12">
        <f>IF(Z9=0,0,SUMIFS(Data!$Q$5:$Q$216,Data!$B$5:$B$216,$A9))</f>
        <v/>
      </c>
      <c r="AB9" s="12">
        <f>IF(Z9=0,0,(Y9-threshold_pct)/100*E9*C9)</f>
        <v/>
      </c>
      <c r="AC9" s="12">
        <f>SUMIFS(Data!$T$5:$T$216,Data!$B$5:$B$216,$A9)</f>
        <v/>
      </c>
      <c r="AD9" s="12">
        <f>SUMIFS(Data!$U$5:$U$216,Data!$B$5:$B$216,$A9)</f>
        <v/>
      </c>
      <c r="AE9" s="12">
        <f>AC9+AD9</f>
        <v/>
      </c>
      <c r="AF9" s="13">
        <f>SUMIFS(Data!$P$5:$P$216,Data!$B$5:$B$216,$A9)</f>
        <v/>
      </c>
      <c r="AG9" s="14">
        <f>IF(E9&lt;=0,0,(E9-(IF(C9=0,0,AVERAGEIFS(Data!$M$5:$M$216,Data!$B$5:$B$216,$A9,Data!$C$5:$C$216,"F"))+IF(C9=0,0,SUMIFS(Data!$S$5:$S$216,Data!$B$5:$B$216,$A9,Data!$C$5:$C$216,"F")/C9)))/E9*100-X9)</f>
        <v/>
      </c>
      <c r="AH9" s="13">
        <f>IF(AND(H9&gt;=0,Y9&gt;0),1,0)</f>
        <v/>
      </c>
      <c r="AI9" s="12">
        <f>IF(AH9=0,0,SUMIFS(Data!$X$5:$X$216,Data!$B$5:$B$216,$A9))</f>
        <v/>
      </c>
      <c r="AJ9" s="12">
        <f>IF(AH9=0,0,Y9/100*E9*C9)</f>
        <v/>
      </c>
      <c r="AK9" s="12">
        <f>SUMIFS(Data!$AA$5:$AA$216,Data!$B$5:$B$216,$A9)</f>
        <v/>
      </c>
      <c r="AL9" s="12">
        <f>SUMIFS(Data!$AB$5:$AB$216,Data!$B$5:$B$216,$A9)</f>
        <v/>
      </c>
      <c r="AM9" s="12">
        <f>AK9+AL9</f>
        <v/>
      </c>
      <c r="AN9" s="13">
        <f>SUMIFS(Data!$W$5:$W$216,Data!$B$5:$B$216,$A9)</f>
        <v/>
      </c>
      <c r="AO9" s="14">
        <f>IF(E9&lt;=0,0,(E9-(IF(C9=0,0,AVERAGEIFS(Data!$M$5:$M$216,Data!$B$5:$B$216,$A9,Data!$C$5:$C$216,"F"))+IF(C9=0,0,SUMIFS(Data!$Z$5:$Z$216,Data!$B$5:$B$216,$A9,Data!$C$5:$C$216,"F")/C9)))/E9*100-X9)</f>
        <v/>
      </c>
      <c r="AP9" s="13">
        <f>IF(OR(B9&lt;10,C9&lt;3,D9&lt;3),1,0)</f>
        <v/>
      </c>
      <c r="AQ9" s="13">
        <f>IF(H9&lt;0,1,0)</f>
        <v/>
      </c>
      <c r="BA9" s="11">
        <f>B9</f>
        <v/>
      </c>
      <c r="BB9" s="11">
        <f>SUMIFS(Data!$G$5:$G$216,Data!$B$5:$B$216,$A9)</f>
        <v/>
      </c>
      <c r="BC9" s="11">
        <f>SUMIFS(Data!$F$5:$F$216,Data!$B$5:$B$216,$A9)</f>
        <v/>
      </c>
      <c r="BD9" s="11">
        <f>SUMIFS(Data!$M$5:$M$216,Data!$B$5:$B$216,$A9)</f>
        <v/>
      </c>
      <c r="BE9" s="11">
        <f>SUMPRODUCT((Data!$B$5:$B$216=$A9)*Data!$G$5:$G$216*Data!$G$5:$G$216)</f>
        <v/>
      </c>
      <c r="BF9" s="11">
        <f>SUMPRODUCT((Data!$B$5:$B$216=$A9)*Data!$F$5:$F$216*Data!$F$5:$F$216)</f>
        <v/>
      </c>
      <c r="BG9" s="11">
        <f>SUMPRODUCT((Data!$B$5:$B$216=$A9)*Data!$G$5:$G$216*Data!$F$5:$F$216)</f>
        <v/>
      </c>
      <c r="BH9" s="11">
        <f>SUMPRODUCT((Data!$B$5:$B$216=$A9)*Data!$G$5:$G$216*Data!$M$5:$M$216)</f>
        <v/>
      </c>
      <c r="BI9" s="11">
        <f>SUMPRODUCT((Data!$B$5:$B$216=$A9)*Data!$F$5:$F$216*Data!$M$5:$M$216)</f>
        <v/>
      </c>
      <c r="BJ9" s="11">
        <f>SUMPRODUCT((Data!$B$5:$B$216=$A9)*Data!$M$5:$M$216*Data!$M$5:$M$216)</f>
        <v/>
      </c>
      <c r="BK9" s="11">
        <f>IF(T9=0,0,((BE9-BB9^2/B9)*(BF9-BC9^2/B9)-(BG9-BB9*BC9/B9)^2))</f>
        <v/>
      </c>
    </row>
    <row r="10">
      <c r="A10" s="9" t="inlineStr">
        <is>
          <t>Customer Support</t>
        </is>
      </c>
      <c r="B10" s="13">
        <f>COUNTIF(Data!$B$5:$B$216,$A10)</f>
        <v/>
      </c>
      <c r="C10" s="13">
        <f>COUNTIFS(Data!$B$5:$B$216,$A10,Data!$C$5:$C$216,"F")</f>
        <v/>
      </c>
      <c r="D10" s="13">
        <f>COUNTIFS(Data!$B$5:$B$216,$A10,Data!$C$5:$C$216,"M")</f>
        <v/>
      </c>
      <c r="E10" s="12">
        <f>IF(D10=0,0,AVERAGEIFS(Data!$M$5:$M$216,Data!$B$5:$B$216,$A10,Data!$C$5:$C$216,"M"))</f>
        <v/>
      </c>
      <c r="F10" s="12">
        <f>IF(C10=0,0,AVERAGEIFS(Data!$M$5:$M$216,Data!$B$5:$B$216,$A10,Data!$C$5:$C$216,"F"))</f>
        <v/>
      </c>
      <c r="G10" s="12">
        <f>IF(B10=0,0,SUMIFS(Data!$O$5:$O$216,Data!$B$5:$B$216,$A10,Data!$AD$5:$AD$216,1))</f>
        <v/>
      </c>
      <c r="H10" s="14">
        <f>IF(OR(E10&lt;=0,C10=0,D10=0),0,(E10-F10)/E10*100)</f>
        <v/>
      </c>
      <c r="I10" s="12">
        <f>IF(D10=0,0,(SUMIFS(Data!$M$5:$M$216,Data!$B$5:$B$216,$A10,Data!$C$5:$C$216,"M",Data!$AF$5:$AF$216,INT((D10+1)/2))+SUMIFS(Data!$M$5:$M$216,Data!$B$5:$B$216,$A10,Data!$C$5:$C$216,"M",Data!$AF$5:$AF$216,INT(D10/2)+1))/2)</f>
        <v/>
      </c>
      <c r="J10" s="12">
        <f>IF(C10=0,0,(SUMIFS(Data!$M$5:$M$216,Data!$B$5:$B$216,$A10,Data!$C$5:$C$216,"F",Data!$AF$5:$AF$216,INT((C10+1)/2))+SUMIFS(Data!$M$5:$M$216,Data!$B$5:$B$216,$A10,Data!$C$5:$C$216,"F",Data!$AF$5:$AF$216,INT(C10/2)+1))/2)</f>
        <v/>
      </c>
      <c r="K10" s="14">
        <f>IF(OR(I10&lt;=0,C10=0,D10=0),0,(I10-J10)/I10*100)</f>
        <v/>
      </c>
      <c r="L10" s="12">
        <f>IF(D10=0,0,AVERAGEIFS(Data!$L$5:$L$216,Data!$B$5:$B$216,$A10,Data!$C$5:$C$216,"M"))</f>
        <v/>
      </c>
      <c r="M10" s="12">
        <f>IF(C10=0,0,AVERAGEIFS(Data!$L$5:$L$216,Data!$B$5:$B$216,$A10,Data!$C$5:$C$216,"F"))</f>
        <v/>
      </c>
      <c r="N10" s="14">
        <f>IF(OR(L10&lt;=0,C10=0,D10=0),0,(L10-M10)/L10*100)</f>
        <v/>
      </c>
      <c r="O10" s="12">
        <f>IF(D10=0,0,AVERAGEIFS(Data!$K$5:$K$216,Data!$B$5:$B$216,$A10,Data!$C$5:$C$216,"M"))</f>
        <v/>
      </c>
      <c r="P10" s="12">
        <f>IF(C10=0,0,AVERAGEIFS(Data!$K$5:$K$216,Data!$B$5:$B$216,$A10,Data!$C$5:$C$216,"F"))</f>
        <v/>
      </c>
      <c r="Q10" s="14">
        <f>IF(OR(O10&lt;=0,C10=0,D10=0),0,(O10-P10)/O10*100)</f>
        <v/>
      </c>
      <c r="R10" s="11">
        <f>IF(B10&lt;2,0,SUMPRODUCT((Data!$B$5:$B$216=$A10)*Data!$G$5:$G$216*Data!$G$5:$G$216)/B10-(SUMIFS(Data!$G$5:$G$216,Data!$B$5:$B$216,$A10)/B10)^2)</f>
        <v/>
      </c>
      <c r="S10" s="11">
        <f>IF(B10&lt;2,0,SUMPRODUCT((Data!$B$5:$B$216=$A10)*Data!$F$5:$F$216*Data!$F$5:$F$216)/B10-(SUMIFS(Data!$F$5:$F$216,Data!$B$5:$B$216,$A10)/B10)^2)</f>
        <v/>
      </c>
      <c r="T10" s="13">
        <f>IF(AND(B10&gt;=4,R10&gt;0.000000001,S10&gt;0.000000001),1,0)</f>
        <v/>
      </c>
      <c r="U10" s="12">
        <f>IF(OR(T10=0,ABS(BK10)&lt;0.000000001),0,((BH10-BB10*BD10/B10)*(BF10-BC10^2/B10)-(BI10-BC10*BD10/B10)*(BG10-BB10*BC10/B10))/BK10)</f>
        <v/>
      </c>
      <c r="V10" s="12">
        <f>IF(OR(T10=0,ABS(BK10)&lt;0.000000001),0,((BI10-BC10*BD10/B10)*(BE10-BB10^2/B10)-(BH10-BB10*BD10/B10)*(BG10-BB10*BC10/B10))/BK10)</f>
        <v/>
      </c>
      <c r="W10" s="11">
        <f>IF(OR(T10=0,ABS(BK10)&lt;0.000000001,(BJ10-BD10^2/B10)&lt;0.000000001),"",(U10*(BH10-BB10*BD10/B10)+V10*(BI10-BC10*BD10/B10))/(BJ10-BD10^2/B10))</f>
        <v/>
      </c>
      <c r="X10" s="14">
        <f>IF(H10&gt;=0,MAX(0,MIN(IF(OR(T10=0,E10&lt;=0),0,(U10*(IF(D10=0,0,AVERAGEIFS(Data!$G$5:$G$216,Data!$B$5:$B$216,$A10,Data!$C$5:$C$216,"M"))-IF(C10=0,0,AVERAGEIFS(Data!$G$5:$G$216,Data!$B$5:$B$216,$A10,Data!$C$5:$C$216,"F")))+V10*(IF(D10=0,0,AVERAGEIFS(Data!$F$5:$F$216,Data!$B$5:$B$216,$A10,Data!$C$5:$C$216,"M"))-IF(C10=0,0,AVERAGEIFS(Data!$F$5:$F$216,Data!$B$5:$B$216,$A10,Data!$C$5:$C$216,"F"))))/E10*100),H10)),MIN(0,MAX(IF(OR(T10=0,E10&lt;=0),0,(U10*(IF(D10=0,0,AVERAGEIFS(Data!$G$5:$G$216,Data!$B$5:$B$216,$A10,Data!$C$5:$C$216,"M"))-IF(C10=0,0,AVERAGEIFS(Data!$G$5:$G$216,Data!$B$5:$B$216,$A10,Data!$C$5:$C$216,"F")))+V10*(IF(D10=0,0,AVERAGEIFS(Data!$F$5:$F$216,Data!$B$5:$B$216,$A10,Data!$C$5:$C$216,"M"))-IF(C10=0,0,AVERAGEIFS(Data!$F$5:$F$216,Data!$B$5:$B$216,$A10,Data!$C$5:$C$216,"F"))))/E10*100),H10)))</f>
        <v/>
      </c>
      <c r="Y10" s="14">
        <f>H10-X10</f>
        <v/>
      </c>
      <c r="Z10" s="13">
        <f>IF(AND(H10&gt;=0,Y10&gt;threshold_pct),1,0)</f>
        <v/>
      </c>
      <c r="AA10" s="12">
        <f>IF(Z10=0,0,SUMIFS(Data!$Q$5:$Q$216,Data!$B$5:$B$216,$A10))</f>
        <v/>
      </c>
      <c r="AB10" s="12">
        <f>IF(Z10=0,0,(Y10-threshold_pct)/100*E10*C10)</f>
        <v/>
      </c>
      <c r="AC10" s="12">
        <f>SUMIFS(Data!$T$5:$T$216,Data!$B$5:$B$216,$A10)</f>
        <v/>
      </c>
      <c r="AD10" s="12">
        <f>SUMIFS(Data!$U$5:$U$216,Data!$B$5:$B$216,$A10)</f>
        <v/>
      </c>
      <c r="AE10" s="12">
        <f>AC10+AD10</f>
        <v/>
      </c>
      <c r="AF10" s="13">
        <f>SUMIFS(Data!$P$5:$P$216,Data!$B$5:$B$216,$A10)</f>
        <v/>
      </c>
      <c r="AG10" s="14">
        <f>IF(E10&lt;=0,0,(E10-(IF(C10=0,0,AVERAGEIFS(Data!$M$5:$M$216,Data!$B$5:$B$216,$A10,Data!$C$5:$C$216,"F"))+IF(C10=0,0,SUMIFS(Data!$S$5:$S$216,Data!$B$5:$B$216,$A10,Data!$C$5:$C$216,"F")/C10)))/E10*100-X10)</f>
        <v/>
      </c>
      <c r="AH10" s="13">
        <f>IF(AND(H10&gt;=0,Y10&gt;0),1,0)</f>
        <v/>
      </c>
      <c r="AI10" s="12">
        <f>IF(AH10=0,0,SUMIFS(Data!$X$5:$X$216,Data!$B$5:$B$216,$A10))</f>
        <v/>
      </c>
      <c r="AJ10" s="12">
        <f>IF(AH10=0,0,Y10/100*E10*C10)</f>
        <v/>
      </c>
      <c r="AK10" s="12">
        <f>SUMIFS(Data!$AA$5:$AA$216,Data!$B$5:$B$216,$A10)</f>
        <v/>
      </c>
      <c r="AL10" s="12">
        <f>SUMIFS(Data!$AB$5:$AB$216,Data!$B$5:$B$216,$A10)</f>
        <v/>
      </c>
      <c r="AM10" s="12">
        <f>AK10+AL10</f>
        <v/>
      </c>
      <c r="AN10" s="13">
        <f>SUMIFS(Data!$W$5:$W$216,Data!$B$5:$B$216,$A10)</f>
        <v/>
      </c>
      <c r="AO10" s="14">
        <f>IF(E10&lt;=0,0,(E10-(IF(C10=0,0,AVERAGEIFS(Data!$M$5:$M$216,Data!$B$5:$B$216,$A10,Data!$C$5:$C$216,"F"))+IF(C10=0,0,SUMIFS(Data!$Z$5:$Z$216,Data!$B$5:$B$216,$A10,Data!$C$5:$C$216,"F")/C10)))/E10*100-X10)</f>
        <v/>
      </c>
      <c r="AP10" s="13">
        <f>IF(OR(B10&lt;10,C10&lt;3,D10&lt;3),1,0)</f>
        <v/>
      </c>
      <c r="AQ10" s="13">
        <f>IF(H10&lt;0,1,0)</f>
        <v/>
      </c>
      <c r="BA10" s="11">
        <f>B10</f>
        <v/>
      </c>
      <c r="BB10" s="11">
        <f>SUMIFS(Data!$G$5:$G$216,Data!$B$5:$B$216,$A10)</f>
        <v/>
      </c>
      <c r="BC10" s="11">
        <f>SUMIFS(Data!$F$5:$F$216,Data!$B$5:$B$216,$A10)</f>
        <v/>
      </c>
      <c r="BD10" s="11">
        <f>SUMIFS(Data!$M$5:$M$216,Data!$B$5:$B$216,$A10)</f>
        <v/>
      </c>
      <c r="BE10" s="11">
        <f>SUMPRODUCT((Data!$B$5:$B$216=$A10)*Data!$G$5:$G$216*Data!$G$5:$G$216)</f>
        <v/>
      </c>
      <c r="BF10" s="11">
        <f>SUMPRODUCT((Data!$B$5:$B$216=$A10)*Data!$F$5:$F$216*Data!$F$5:$F$216)</f>
        <v/>
      </c>
      <c r="BG10" s="11">
        <f>SUMPRODUCT((Data!$B$5:$B$216=$A10)*Data!$G$5:$G$216*Data!$F$5:$F$216)</f>
        <v/>
      </c>
      <c r="BH10" s="11">
        <f>SUMPRODUCT((Data!$B$5:$B$216=$A10)*Data!$G$5:$G$216*Data!$M$5:$M$216)</f>
        <v/>
      </c>
      <c r="BI10" s="11">
        <f>SUMPRODUCT((Data!$B$5:$B$216=$A10)*Data!$F$5:$F$216*Data!$M$5:$M$216)</f>
        <v/>
      </c>
      <c r="BJ10" s="11">
        <f>SUMPRODUCT((Data!$B$5:$B$216=$A10)*Data!$M$5:$M$216*Data!$M$5:$M$216)</f>
        <v/>
      </c>
      <c r="BK10" s="11">
        <f>IF(T10=0,0,((BE10-BB10^2/B10)*(BF10-BC10^2/B10)-(BG10-BB10*BC10/B10)^2))</f>
        <v/>
      </c>
    </row>
    <row r="11">
      <c r="A11" s="9" t="inlineStr">
        <is>
          <t>Sales</t>
        </is>
      </c>
      <c r="B11" s="13">
        <f>COUNTIF(Data!$B$5:$B$216,$A11)</f>
        <v/>
      </c>
      <c r="C11" s="13">
        <f>COUNTIFS(Data!$B$5:$B$216,$A11,Data!$C$5:$C$216,"F")</f>
        <v/>
      </c>
      <c r="D11" s="13">
        <f>COUNTIFS(Data!$B$5:$B$216,$A11,Data!$C$5:$C$216,"M")</f>
        <v/>
      </c>
      <c r="E11" s="12">
        <f>IF(D11=0,0,AVERAGEIFS(Data!$M$5:$M$216,Data!$B$5:$B$216,$A11,Data!$C$5:$C$216,"M"))</f>
        <v/>
      </c>
      <c r="F11" s="12">
        <f>IF(C11=0,0,AVERAGEIFS(Data!$M$5:$M$216,Data!$B$5:$B$216,$A11,Data!$C$5:$C$216,"F"))</f>
        <v/>
      </c>
      <c r="G11" s="12">
        <f>IF(B11=0,0,SUMIFS(Data!$O$5:$O$216,Data!$B$5:$B$216,$A11,Data!$AD$5:$AD$216,1))</f>
        <v/>
      </c>
      <c r="H11" s="14">
        <f>IF(OR(E11&lt;=0,C11=0,D11=0),0,(E11-F11)/E11*100)</f>
        <v/>
      </c>
      <c r="I11" s="12">
        <f>IF(D11=0,0,(SUMIFS(Data!$M$5:$M$216,Data!$B$5:$B$216,$A11,Data!$C$5:$C$216,"M",Data!$AF$5:$AF$216,INT((D11+1)/2))+SUMIFS(Data!$M$5:$M$216,Data!$B$5:$B$216,$A11,Data!$C$5:$C$216,"M",Data!$AF$5:$AF$216,INT(D11/2)+1))/2)</f>
        <v/>
      </c>
      <c r="J11" s="12">
        <f>IF(C11=0,0,(SUMIFS(Data!$M$5:$M$216,Data!$B$5:$B$216,$A11,Data!$C$5:$C$216,"F",Data!$AF$5:$AF$216,INT((C11+1)/2))+SUMIFS(Data!$M$5:$M$216,Data!$B$5:$B$216,$A11,Data!$C$5:$C$216,"F",Data!$AF$5:$AF$216,INT(C11/2)+1))/2)</f>
        <v/>
      </c>
      <c r="K11" s="14">
        <f>IF(OR(I11&lt;=0,C11=0,D11=0),0,(I11-J11)/I11*100)</f>
        <v/>
      </c>
      <c r="L11" s="12">
        <f>IF(D11=0,0,AVERAGEIFS(Data!$L$5:$L$216,Data!$B$5:$B$216,$A11,Data!$C$5:$C$216,"M"))</f>
        <v/>
      </c>
      <c r="M11" s="12">
        <f>IF(C11=0,0,AVERAGEIFS(Data!$L$5:$L$216,Data!$B$5:$B$216,$A11,Data!$C$5:$C$216,"F"))</f>
        <v/>
      </c>
      <c r="N11" s="14">
        <f>IF(OR(L11&lt;=0,C11=0,D11=0),0,(L11-M11)/L11*100)</f>
        <v/>
      </c>
      <c r="O11" s="12">
        <f>IF(D11=0,0,AVERAGEIFS(Data!$K$5:$K$216,Data!$B$5:$B$216,$A11,Data!$C$5:$C$216,"M"))</f>
        <v/>
      </c>
      <c r="P11" s="12">
        <f>IF(C11=0,0,AVERAGEIFS(Data!$K$5:$K$216,Data!$B$5:$B$216,$A11,Data!$C$5:$C$216,"F"))</f>
        <v/>
      </c>
      <c r="Q11" s="14">
        <f>IF(OR(O11&lt;=0,C11=0,D11=0),0,(O11-P11)/O11*100)</f>
        <v/>
      </c>
      <c r="R11" s="11">
        <f>IF(B11&lt;2,0,SUMPRODUCT((Data!$B$5:$B$216=$A11)*Data!$G$5:$G$216*Data!$G$5:$G$216)/B11-(SUMIFS(Data!$G$5:$G$216,Data!$B$5:$B$216,$A11)/B11)^2)</f>
        <v/>
      </c>
      <c r="S11" s="11">
        <f>IF(B11&lt;2,0,SUMPRODUCT((Data!$B$5:$B$216=$A11)*Data!$F$5:$F$216*Data!$F$5:$F$216)/B11-(SUMIFS(Data!$F$5:$F$216,Data!$B$5:$B$216,$A11)/B11)^2)</f>
        <v/>
      </c>
      <c r="T11" s="13">
        <f>IF(AND(B11&gt;=4,R11&gt;0.000000001,S11&gt;0.000000001),1,0)</f>
        <v/>
      </c>
      <c r="U11" s="12">
        <f>IF(OR(T11=0,ABS(BK11)&lt;0.000000001),0,((BH11-BB11*BD11/B11)*(BF11-BC11^2/B11)-(BI11-BC11*BD11/B11)*(BG11-BB11*BC11/B11))/BK11)</f>
        <v/>
      </c>
      <c r="V11" s="12">
        <f>IF(OR(T11=0,ABS(BK11)&lt;0.000000001),0,((BI11-BC11*BD11/B11)*(BE11-BB11^2/B11)-(BH11-BB11*BD11/B11)*(BG11-BB11*BC11/B11))/BK11)</f>
        <v/>
      </c>
      <c r="W11" s="11">
        <f>IF(OR(T11=0,ABS(BK11)&lt;0.000000001,(BJ11-BD11^2/B11)&lt;0.000000001),"",(U11*(BH11-BB11*BD11/B11)+V11*(BI11-BC11*BD11/B11))/(BJ11-BD11^2/B11))</f>
        <v/>
      </c>
      <c r="X11" s="14">
        <f>IF(H11&gt;=0,MAX(0,MIN(IF(OR(T11=0,E11&lt;=0),0,(U11*(IF(D11=0,0,AVERAGEIFS(Data!$G$5:$G$216,Data!$B$5:$B$216,$A11,Data!$C$5:$C$216,"M"))-IF(C11=0,0,AVERAGEIFS(Data!$G$5:$G$216,Data!$B$5:$B$216,$A11,Data!$C$5:$C$216,"F")))+V11*(IF(D11=0,0,AVERAGEIFS(Data!$F$5:$F$216,Data!$B$5:$B$216,$A11,Data!$C$5:$C$216,"M"))-IF(C11=0,0,AVERAGEIFS(Data!$F$5:$F$216,Data!$B$5:$B$216,$A11,Data!$C$5:$C$216,"F"))))/E11*100),H11)),MIN(0,MAX(IF(OR(T11=0,E11&lt;=0),0,(U11*(IF(D11=0,0,AVERAGEIFS(Data!$G$5:$G$216,Data!$B$5:$B$216,$A11,Data!$C$5:$C$216,"M"))-IF(C11=0,0,AVERAGEIFS(Data!$G$5:$G$216,Data!$B$5:$B$216,$A11,Data!$C$5:$C$216,"F")))+V11*(IF(D11=0,0,AVERAGEIFS(Data!$F$5:$F$216,Data!$B$5:$B$216,$A11,Data!$C$5:$C$216,"M"))-IF(C11=0,0,AVERAGEIFS(Data!$F$5:$F$216,Data!$B$5:$B$216,$A11,Data!$C$5:$C$216,"F"))))/E11*100),H11)))</f>
        <v/>
      </c>
      <c r="Y11" s="14">
        <f>H11-X11</f>
        <v/>
      </c>
      <c r="Z11" s="13">
        <f>IF(AND(H11&gt;=0,Y11&gt;threshold_pct),1,0)</f>
        <v/>
      </c>
      <c r="AA11" s="12">
        <f>IF(Z11=0,0,SUMIFS(Data!$Q$5:$Q$216,Data!$B$5:$B$216,$A11))</f>
        <v/>
      </c>
      <c r="AB11" s="12">
        <f>IF(Z11=0,0,(Y11-threshold_pct)/100*E11*C11)</f>
        <v/>
      </c>
      <c r="AC11" s="12">
        <f>SUMIFS(Data!$T$5:$T$216,Data!$B$5:$B$216,$A11)</f>
        <v/>
      </c>
      <c r="AD11" s="12">
        <f>SUMIFS(Data!$U$5:$U$216,Data!$B$5:$B$216,$A11)</f>
        <v/>
      </c>
      <c r="AE11" s="12">
        <f>AC11+AD11</f>
        <v/>
      </c>
      <c r="AF11" s="13">
        <f>SUMIFS(Data!$P$5:$P$216,Data!$B$5:$B$216,$A11)</f>
        <v/>
      </c>
      <c r="AG11" s="14">
        <f>IF(E11&lt;=0,0,(E11-(IF(C11=0,0,AVERAGEIFS(Data!$M$5:$M$216,Data!$B$5:$B$216,$A11,Data!$C$5:$C$216,"F"))+IF(C11=0,0,SUMIFS(Data!$S$5:$S$216,Data!$B$5:$B$216,$A11,Data!$C$5:$C$216,"F")/C11)))/E11*100-X11)</f>
        <v/>
      </c>
      <c r="AH11" s="13">
        <f>IF(AND(H11&gt;=0,Y11&gt;0),1,0)</f>
        <v/>
      </c>
      <c r="AI11" s="12">
        <f>IF(AH11=0,0,SUMIFS(Data!$X$5:$X$216,Data!$B$5:$B$216,$A11))</f>
        <v/>
      </c>
      <c r="AJ11" s="12">
        <f>IF(AH11=0,0,Y11/100*E11*C11)</f>
        <v/>
      </c>
      <c r="AK11" s="12">
        <f>SUMIFS(Data!$AA$5:$AA$216,Data!$B$5:$B$216,$A11)</f>
        <v/>
      </c>
      <c r="AL11" s="12">
        <f>SUMIFS(Data!$AB$5:$AB$216,Data!$B$5:$B$216,$A11)</f>
        <v/>
      </c>
      <c r="AM11" s="12">
        <f>AK11+AL11</f>
        <v/>
      </c>
      <c r="AN11" s="13">
        <f>SUMIFS(Data!$W$5:$W$216,Data!$B$5:$B$216,$A11)</f>
        <v/>
      </c>
      <c r="AO11" s="14">
        <f>IF(E11&lt;=0,0,(E11-(IF(C11=0,0,AVERAGEIFS(Data!$M$5:$M$216,Data!$B$5:$B$216,$A11,Data!$C$5:$C$216,"F"))+IF(C11=0,0,SUMIFS(Data!$Z$5:$Z$216,Data!$B$5:$B$216,$A11,Data!$C$5:$C$216,"F")/C11)))/E11*100-X11)</f>
        <v/>
      </c>
      <c r="AP11" s="13">
        <f>IF(OR(B11&lt;10,C11&lt;3,D11&lt;3),1,0)</f>
        <v/>
      </c>
      <c r="AQ11" s="13">
        <f>IF(H11&lt;0,1,0)</f>
        <v/>
      </c>
      <c r="BA11" s="11">
        <f>B11</f>
        <v/>
      </c>
      <c r="BB11" s="11">
        <f>SUMIFS(Data!$G$5:$G$216,Data!$B$5:$B$216,$A11)</f>
        <v/>
      </c>
      <c r="BC11" s="11">
        <f>SUMIFS(Data!$F$5:$F$216,Data!$B$5:$B$216,$A11)</f>
        <v/>
      </c>
      <c r="BD11" s="11">
        <f>SUMIFS(Data!$M$5:$M$216,Data!$B$5:$B$216,$A11)</f>
        <v/>
      </c>
      <c r="BE11" s="11">
        <f>SUMPRODUCT((Data!$B$5:$B$216=$A11)*Data!$G$5:$G$216*Data!$G$5:$G$216)</f>
        <v/>
      </c>
      <c r="BF11" s="11">
        <f>SUMPRODUCT((Data!$B$5:$B$216=$A11)*Data!$F$5:$F$216*Data!$F$5:$F$216)</f>
        <v/>
      </c>
      <c r="BG11" s="11">
        <f>SUMPRODUCT((Data!$B$5:$B$216=$A11)*Data!$G$5:$G$216*Data!$F$5:$F$216)</f>
        <v/>
      </c>
      <c r="BH11" s="11">
        <f>SUMPRODUCT((Data!$B$5:$B$216=$A11)*Data!$G$5:$G$216*Data!$M$5:$M$216)</f>
        <v/>
      </c>
      <c r="BI11" s="11">
        <f>SUMPRODUCT((Data!$B$5:$B$216=$A11)*Data!$F$5:$F$216*Data!$M$5:$M$216)</f>
        <v/>
      </c>
      <c r="BJ11" s="11">
        <f>SUMPRODUCT((Data!$B$5:$B$216=$A11)*Data!$M$5:$M$216*Data!$M$5:$M$216)</f>
        <v/>
      </c>
      <c r="BK11" s="11">
        <f>IF(T11=0,0,((BE11-BB11^2/B11)*(BF11-BC11^2/B11)-(BG11-BB11*BC11/B11)^2))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0" customWidth="1" min="1" max="1"/>
    <col width="20" customWidth="1" min="2" max="2"/>
    <col width="20" customWidth="1" min="3" max="3"/>
    <col width="20" customWidth="1" min="4" max="4"/>
  </cols>
  <sheetData>
    <row r="1">
      <c r="A1" s="1" t="inlineStr">
        <is>
          <t>Totals</t>
        </is>
      </c>
    </row>
    <row r="2">
      <c r="A2" s="2" t="inlineStr">
        <is>
          <t>Every figure here is a formula referencing the Data and Categories sheets. No number on this sheet is typed in by hand.</t>
        </is>
      </c>
    </row>
    <row r="4">
      <c r="A4" s="7" t="inlineStr">
        <is>
          <t>Payroll before adjustment</t>
        </is>
      </c>
      <c r="B4" s="15">
        <f>SUM(Data!$N$5:$N$216)</f>
        <v/>
      </c>
    </row>
    <row r="5">
      <c r="A5" t="inlineStr">
        <is>
          <t>Headcount</t>
        </is>
      </c>
      <c r="B5" s="16">
        <f>COUNTA(Data!$A$5:$A$216)</f>
        <v/>
      </c>
    </row>
    <row r="7" ht="30" customHeight="1">
      <c r="A7" s="3" t="inlineStr">
        <is>
          <t>Metric</t>
        </is>
      </c>
      <c r="B7" s="3" t="inlineStr">
        <is>
          <t>Minimum compliance</t>
        </is>
      </c>
      <c r="C7" s="3" t="inlineStr">
        <is>
          <t>Full equalisation</t>
        </is>
      </c>
      <c r="D7" s="3" t="inlineStr">
        <is>
          <t>Difference</t>
        </is>
      </c>
    </row>
    <row r="8">
      <c r="A8" s="4" t="inlineStr">
        <is>
          <t>Pay adjustment</t>
        </is>
      </c>
      <c r="B8" s="12">
        <f>SUM(Categories!$AC$5:$AC$11)</f>
        <v/>
      </c>
      <c r="C8" s="12">
        <f>SUM(Categories!$AK$5:$AK$11)</f>
        <v/>
      </c>
      <c r="D8" s="12">
        <f>C8-B8</f>
        <v/>
      </c>
    </row>
    <row r="9">
      <c r="A9" s="4" t="inlineStr">
        <is>
          <t>Employer contributions</t>
        </is>
      </c>
      <c r="B9" s="12">
        <f>SUM(Categories!$AD$5:$AD$11)</f>
        <v/>
      </c>
      <c r="C9" s="12">
        <f>SUM(Categories!$AL$5:$AL$11)</f>
        <v/>
      </c>
      <c r="D9" s="12">
        <f>C9-B9</f>
        <v/>
      </c>
    </row>
    <row r="10">
      <c r="A10" s="17" t="inlineStr">
        <is>
          <t>Total</t>
        </is>
      </c>
      <c r="B10" s="18">
        <f>B8+B9</f>
        <v/>
      </c>
      <c r="C10" s="18">
        <f>C8+C9</f>
        <v/>
      </c>
      <c r="D10" s="18">
        <f>C10-B10</f>
        <v/>
      </c>
    </row>
    <row r="11">
      <c r="A11" s="4" t="inlineStr">
        <is>
          <t>As % of payroll</t>
        </is>
      </c>
      <c r="B11" s="14">
        <f>IF($B$4=0,0,B10/$B$4*100)</f>
        <v/>
      </c>
      <c r="C11" s="14">
        <f>IF($B$4=0,0,C10/$B$4*100)</f>
        <v/>
      </c>
      <c r="D11" s="14">
        <f>C11-B11</f>
        <v/>
      </c>
    </row>
    <row r="12">
      <c r="A12" s="4" t="inlineStr">
        <is>
          <t>Employees receiving an uplift</t>
        </is>
      </c>
      <c r="B12" s="19">
        <f>SUM(Categories!$AF$5:$AF$11)</f>
        <v/>
      </c>
      <c r="C12" s="19">
        <f>SUM(Categories!$AN$5:$AN$11)</f>
        <v/>
      </c>
      <c r="D12" s="19">
        <f>C12-B12</f>
        <v/>
      </c>
    </row>
    <row r="13">
      <c r="A13" s="4" t="inlineStr">
        <is>
          <t>Current-year effect</t>
        </is>
      </c>
      <c r="B13" s="12">
        <f>B10*(13-implementation_month)/12</f>
        <v/>
      </c>
      <c r="C13" s="12">
        <f>C10*(13-implementation_month)/12</f>
        <v/>
      </c>
      <c r="D13" s="12">
        <f>C13-B13</f>
        <v/>
      </c>
    </row>
    <row r="14">
      <c r="A14" s="4" t="inlineStr">
        <is>
          <t>Next-year effect</t>
        </is>
      </c>
      <c r="B14" s="12">
        <f>B10</f>
        <v/>
      </c>
      <c r="C14" s="12">
        <f>C10</f>
        <v/>
      </c>
      <c r="D14" s="12">
        <f>C14-B14</f>
        <v/>
      </c>
    </row>
    <row r="16">
      <c r="A16" s="7" t="inlineStr">
        <is>
          <t>Reconciliation with the calculator</t>
        </is>
      </c>
    </row>
    <row r="17">
      <c r="A17" s="8" t="inlineStr">
        <is>
          <t>Filled in at the reconciliation step: totals from the HTML calculator are entered here and compared against B10 / C10. Any discrepancy above one cent is a blocker.</t>
        </is>
      </c>
    </row>
    <row r="18"/>
  </sheetData>
  <mergeCells count="1">
    <mergeCell ref="A17:D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0" customWidth="1" min="1" max="1"/>
    <col width="110" customWidth="1" min="2" max="2"/>
  </cols>
  <sheetData>
    <row r="1">
      <c r="A1" s="1" t="inlineStr">
        <is>
          <t>Legend and method</t>
        </is>
      </c>
    </row>
    <row r="3">
      <c r="A3" s="7" t="inlineStr">
        <is>
          <t>Colours</t>
        </is>
      </c>
      <c r="B3" t="inlineStr"/>
    </row>
    <row r="4" ht="15" customHeight="1">
      <c r="A4" s="20" t="inlineStr">
        <is>
          <t>Yellow</t>
        </is>
      </c>
      <c r="B4" s="21" t="inlineStr">
        <is>
          <t>Source data. Comes from the CSV, never calculated.</t>
        </is>
      </c>
    </row>
    <row r="5" ht="15" customHeight="1">
      <c r="A5" s="20" t="inlineStr">
        <is>
          <t>Blue</t>
        </is>
      </c>
      <c r="B5" s="21" t="inlineStr">
        <is>
          <t>Calculated by formula. Nothing to edit — it recalculates itself.</t>
        </is>
      </c>
    </row>
    <row r="6" ht="15" customHeight="1">
      <c r="A6" s="20" t="inlineStr">
        <is>
          <t>Green</t>
        </is>
      </c>
      <c r="B6" s="21" t="inlineStr">
        <is>
          <t>A setting on the Settings sheet. These are meant to be changed.</t>
        </is>
      </c>
    </row>
    <row r="7">
      <c r="A7" s="7" t="inlineStr"/>
      <c r="B7" t="inlineStr"/>
    </row>
    <row r="8">
      <c r="A8" s="7" t="inlineStr">
        <is>
          <t>Units</t>
        </is>
      </c>
      <c r="B8" t="inlineStr"/>
    </row>
    <row r="9" ht="26" customHeight="1">
      <c r="A9" s="20" t="inlineStr">
        <is>
          <t>Where to find them</t>
        </is>
      </c>
      <c r="B9" s="21" t="inlineStr">
        <is>
          <t>The units for each column are in a comment on its header cell on the Data sheet (red corner marker — hover over it). The same information, in short, is below.</t>
        </is>
      </c>
    </row>
    <row r="10" ht="26" customHeight="1">
      <c r="A10" s="20" t="inlineStr">
        <is>
          <t>base_salary, variable_pay</t>
        </is>
      </c>
      <c r="B10" s="21" t="inlineStr">
        <is>
          <t>Euros actually paid for the period, not annualised. Someone on a 0.5 FTE contract, or who worked 7 months, shows what they actually received. Variable pay follows the same convention as base salary.</t>
        </is>
      </c>
    </row>
    <row r="11" ht="26" customHeight="1">
      <c r="A11" s="20" t="inlineStr">
        <is>
          <t>n_base, n_var, n_total</t>
        </is>
      </c>
      <c r="B11" s="21" t="inlineStr">
        <is>
          <t>Euros per year at full time, obtained by dividing actual pay by factor. Employees can only be compared on these figures: otherwise half the gap would be a difference in working time rather than in pay.</t>
        </is>
      </c>
    </row>
    <row r="12" ht="26" customHeight="1">
      <c r="A12" s="20" t="inlineStr">
        <is>
          <t>grade</t>
        </is>
      </c>
      <c r="B12" s="21" t="inlineStr">
        <is>
          <t>Position in the grade ladder: a higher number means a higher grade. Only the ordering matters to the calculation; the absolute value carries no meaning.</t>
        </is>
      </c>
    </row>
    <row r="13">
      <c r="A13" s="7" t="inlineStr"/>
      <c r="B13" t="inlineStr"/>
    </row>
    <row r="14">
      <c r="A14" s="7" t="inlineStr">
        <is>
          <t>Order of calculation</t>
        </is>
      </c>
      <c r="B14" t="inlineStr"/>
    </row>
    <row r="15" ht="26" customHeight="1">
      <c r="A15" s="20" t="inlineStr">
        <is>
          <t>1. Normalisation</t>
        </is>
      </c>
      <c r="B15" s="21" t="inlineStr">
        <is>
          <t>factor = fte x (months_worked / 12). Base salary and variable pay are divided by factor, converting them to a full-time, full-year equivalent. Only normalised figures are comparable across employees.</t>
        </is>
      </c>
    </row>
    <row r="16" ht="26" customHeight="1">
      <c r="A16" s="20" t="inlineStr">
        <is>
          <t>2. Gaps</t>
        </is>
      </c>
      <c r="B16" s="21" t="inlineStr">
        <is>
          <t>raw_gap = (mean_M - mean_F) / mean_M x 100, computed on n_total (normalised base plus variable pay), separately for each category.</t>
        </is>
      </c>
    </row>
    <row r="17" ht="52" customHeight="1">
      <c r="A17" s="20" t="inlineStr">
        <is>
          <t>3. Regression</t>
        </is>
      </c>
      <c r="B17" s="21" t="inlineStr">
        <is>
          <t>OLS of n_total on grade and tenure within each category, solved from explicit sums via Cramer's rule. It answers one question: how much of the gap is accounted for by grade and tenure. The guard mirrors calc.js — fewer than 4 observations or a constant predictor means the regression is undefined, explained = 0, and the whole gap is treated as unexplained (the conservative direction).</t>
        </is>
      </c>
    </row>
    <row r="18" ht="39" customHeight="1">
      <c r="A18" s="20" t="inlineStr">
        <is>
          <t>4. Explained share</t>
        </is>
      </c>
      <c r="B18" s="21" t="inlineStr">
        <is>
          <t>explained = coef_grade x (mean male grade - mean female grade) + coef_tenure x (mean male tenure - mean female tenure), expressed as % of mean_M. Capped at the size of the gap itself: the model cannot explain more than exists.</t>
        </is>
      </c>
    </row>
    <row r="19" ht="39" customHeight="1">
      <c r="A19" s="20" t="inlineStr">
        <is>
          <t>5. Selecting recipients</t>
        </is>
      </c>
      <c r="B19" s="21" t="inlineStr">
        <is>
          <t>Women whose normalised n_total falls below the median of their own category (the median across the whole category, both genders). Categories where the gap favours women are not adjusted in either scenario — levelling only ever moves pay upwards.</t>
        </is>
      </c>
    </row>
    <row r="20" ht="26" customHeight="1">
      <c r="A20" s="20" t="inlineStr">
        <is>
          <t>6. Distribution</t>
        </is>
      </c>
      <c r="B20" s="21" t="inlineStr">
        <is>
          <t>Proportional to the shortfall against the median: share = (median - n_total) / sum of all shortfalls. The further below the middle an employee sits, the larger the portion of the budget they receive.</t>
        </is>
      </c>
    </row>
    <row r="21" ht="52" customHeight="1">
      <c r="A21" s="20" t="inlineStr">
        <is>
          <t>Two distinct quantities</t>
        </is>
      </c>
      <c r="B21" s="21" t="inlineStr">
        <is>
          <t>The average category gap and an individual's shortfall do different jobs. The average gap determines HOW MUCH MONEY the category needs in total (step 5, the need formula). The shortfall against the median determines HOW THAT MONEY IS SPLIT between people (step 6). The average gap does not enter an individual uplift: a person's shortfall is measured against the category median, not against the male average.</t>
        </is>
      </c>
    </row>
    <row r="22" ht="26" customHeight="1">
      <c r="A22" s="20" t="inlineStr">
        <is>
          <t>Consequence</t>
        </is>
      </c>
      <c r="B22" s="21" t="inlineStr">
        <is>
          <t>A woman paid above the median receives nothing, even where her category's gap is large. The method lifts the bottom half rather than every woman across the board.</t>
        </is>
      </c>
    </row>
    <row r="23" ht="39" customHeight="1">
      <c r="A23" s="20" t="inlineStr">
        <is>
          <t>7. Contributions</t>
        </is>
      </c>
      <c r="B23" s="21" t="inlineStr">
        <is>
          <t>Charged on the increase in base pay, not on total salary, and always against actual base pay. The portion of the uplift that fits under the ceiling attracts the full rate; the portion above it attracts the reduced rate.</t>
        </is>
      </c>
    </row>
    <row r="24" ht="26" customHeight="1">
      <c r="A24" s="20" t="inlineStr">
        <is>
          <t>8. Totals</t>
        </is>
      </c>
      <c r="B24" s="21" t="inlineStr">
        <is>
          <t>Current-year effect = full amount x (13 - implementation month) / 12. Implementing in January gives 12/12, in December 1/12.</t>
        </is>
      </c>
    </row>
    <row r="25">
      <c r="A25" s="7" t="inlineStr"/>
      <c r="B25" t="inlineStr"/>
    </row>
    <row r="26">
      <c r="A26" s="7" t="inlineStr">
        <is>
          <t>The two scenarios</t>
        </is>
      </c>
      <c r="B26" t="inlineStr"/>
    </row>
    <row r="27" ht="26" customHeight="1">
      <c r="A27" s="20" t="inlineStr">
        <is>
          <t>Minimum compliance</t>
        </is>
      </c>
      <c r="B27" s="21" t="inlineStr">
        <is>
          <t>Bring the unexplained gap down to the threshold (5% by default). Categories already below the threshold are left untouched.</t>
        </is>
      </c>
    </row>
    <row r="28" ht="15" customHeight="1">
      <c r="A28" s="20" t="inlineStr">
        <is>
          <t>Full equalisation</t>
        </is>
      </c>
      <c r="B28" s="21" t="inlineStr">
        <is>
          <t>Bring the unexplained gap to zero in every category where it is positive.</t>
        </is>
      </c>
    </row>
    <row r="29">
      <c r="A29" s="7" t="inlineStr"/>
      <c r="B29" t="inlineStr"/>
    </row>
    <row r="30">
      <c r="A30" s="7" t="inlineStr">
        <is>
          <t>Caveats</t>
        </is>
      </c>
      <c r="B30" t="inlineStr"/>
    </row>
    <row r="31" ht="39" customHeight="1">
      <c r="A31" s="20" t="inlineStr">
        <is>
          <t>What explained means</t>
        </is>
      </c>
      <c r="B31" s="21" t="inlineStr">
        <is>
          <t>The word is technical, not exculpatory. If women are systematically not promoted through the grades, the regression will attribute the gap to grade and call it explained. That is a limitation of the method, not a finding about fairness.</t>
        </is>
      </c>
    </row>
    <row r="32" ht="39" customHeight="1">
      <c r="A32" s="20" t="inlineStr">
        <is>
          <t>No array formulas</t>
        </is>
      </c>
      <c r="B32" s="21" t="inlineStr">
        <is>
          <t>The whole model is built on ordinary formulas: SUMIFS, SUMPRODUCT, COUNTIFS. Ctrl+Shift+Enter is never required, in any version of Excel. Medians are computed via rank (the helper columns _rank_cat / _rank_sex on the Data sheet) and the regression from explicit sums rather than LINEST.</t>
        </is>
      </c>
    </row>
    <row r="33" ht="39" customHeight="1">
      <c r="A33" s="20" t="inlineStr">
        <is>
          <t>PRNG</t>
        </is>
      </c>
      <c r="B33" s="21" t="inlineStr">
        <is>
          <t>The demo data is generated by mulberry32 + Box-Muller from a fixed seed. That cannot be reproduced byte-for-byte in Excel formulas, so the array is exported as plain numbers. Everything computed on top of it is live.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2026-08-31T07:26:45Z</dcterms:created>
  <dcterms:modified xmlns:dcterms="http://purl.org/dc/terms/" xmlns:xsi="http://www.w3.org/2001/XMLSchema-instance" xsi:type="dcterms:W3CDTF">2026-08-31T07:26:45Z</dcterms:modified>
</cp:coreProperties>
</file>